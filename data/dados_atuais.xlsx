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993" documentId="1_{DDE4A242-D13A-46DE-8B65-653B9F6ECEB2}" xr6:coauthVersionLast="47" xr6:coauthVersionMax="47" xr10:uidLastSave="{1BDC4156-BBB0-4099-B70E-C104FFA7FD76}"/>
  <bookViews>
    <workbookView xWindow="-110" yWindow="-110" windowWidth="19420" windowHeight="10300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  <definedName name="_FiltrarBaseDados" localSheetId="0" hidden="1">Controle!$A$2:$AL$707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54" i="1" l="1"/>
  <c r="AK551" i="1"/>
  <c r="AK543" i="1"/>
  <c r="AK540" i="1"/>
  <c r="AK526" i="1"/>
  <c r="AK560" i="1"/>
  <c r="AK567" i="1"/>
  <c r="AK562" i="1"/>
  <c r="AK561" i="1"/>
  <c r="AK558" i="1"/>
  <c r="AK546" i="1"/>
  <c r="AK544" i="1"/>
  <c r="AK542" i="1"/>
  <c r="AK536" i="1"/>
  <c r="AK537" i="1"/>
  <c r="AK535" i="1"/>
  <c r="AJ533" i="1"/>
  <c r="AK532" i="1"/>
  <c r="AK529" i="1"/>
  <c r="AK525" i="1"/>
  <c r="AK524" i="1"/>
  <c r="AK522" i="1"/>
  <c r="AK515" i="1"/>
  <c r="AK519" i="1"/>
  <c r="AK518" i="1"/>
  <c r="AK517" i="1"/>
  <c r="AK516" i="1"/>
  <c r="AK502" i="1"/>
  <c r="AK501" i="1"/>
  <c r="AK500" i="1"/>
  <c r="AK499" i="1"/>
  <c r="AK498" i="1"/>
  <c r="AK523" i="1"/>
  <c r="AK521" i="1"/>
  <c r="AK520" i="1"/>
  <c r="AK514" i="1"/>
  <c r="AK513" i="1"/>
  <c r="AK512" i="1"/>
  <c r="AK511" i="1"/>
  <c r="AK510" i="1"/>
  <c r="AK509" i="1"/>
  <c r="AK508" i="1"/>
  <c r="AK507" i="1"/>
  <c r="AK506" i="1"/>
  <c r="AK505" i="1"/>
  <c r="AK503" i="1"/>
  <c r="AG525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8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89" i="1"/>
  <c r="Y552" i="1"/>
  <c r="Y553" i="1"/>
  <c r="Y555" i="1"/>
  <c r="Y554" i="1"/>
  <c r="Y557" i="1"/>
  <c r="Y556" i="1"/>
  <c r="Y559" i="1"/>
  <c r="Y590" i="1"/>
  <c r="Y558" i="1"/>
  <c r="Y561" i="1"/>
  <c r="Y591" i="1"/>
  <c r="Y560" i="1"/>
  <c r="Y562" i="1"/>
  <c r="Y592" i="1"/>
  <c r="Y593" i="1"/>
  <c r="Y595" i="1"/>
  <c r="Y596" i="1"/>
  <c r="Y597" i="1"/>
  <c r="Y594" i="1"/>
  <c r="Y598" i="1"/>
  <c r="Y601" i="1"/>
  <c r="Y599" i="1"/>
  <c r="Y564" i="1"/>
  <c r="Y600" i="1"/>
  <c r="Y563" i="1"/>
  <c r="Y603" i="1"/>
  <c r="Y565" i="1"/>
  <c r="Y602" i="1"/>
  <c r="Y566" i="1"/>
  <c r="Y604" i="1"/>
  <c r="Y605" i="1"/>
  <c r="Y606" i="1"/>
  <c r="Y567" i="1"/>
  <c r="Y607" i="1"/>
  <c r="Y569" i="1"/>
  <c r="Y347" i="1"/>
  <c r="Y568" i="1"/>
  <c r="Y608" i="1"/>
  <c r="Y609" i="1"/>
  <c r="Y570" i="1"/>
  <c r="Y611" i="1"/>
  <c r="Y614" i="1"/>
  <c r="Y610" i="1"/>
  <c r="Y613" i="1"/>
  <c r="Y572" i="1"/>
  <c r="Y573" i="1"/>
  <c r="Y571" i="1"/>
  <c r="Y612" i="1"/>
  <c r="Y617" i="1"/>
  <c r="Y620" i="1"/>
  <c r="Y619" i="1"/>
  <c r="Y615" i="1"/>
  <c r="Y618" i="1"/>
  <c r="Y616" i="1"/>
  <c r="Y623" i="1"/>
  <c r="Y621" i="1"/>
  <c r="Y624" i="1"/>
  <c r="Y574" i="1"/>
  <c r="Y622" i="1"/>
  <c r="Y575" i="1"/>
  <c r="Y628" i="1"/>
  <c r="Y625" i="1"/>
  <c r="Y627" i="1"/>
  <c r="Y631" i="1"/>
  <c r="Y626" i="1"/>
  <c r="Y629" i="1"/>
  <c r="Y630" i="1"/>
  <c r="Y382" i="1"/>
  <c r="Y576" i="1"/>
  <c r="Y632" i="1"/>
  <c r="Y633" i="1"/>
  <c r="Y634" i="1"/>
  <c r="Y578" i="1"/>
  <c r="Y577" i="1"/>
  <c r="Y637" i="1"/>
  <c r="Y635" i="1"/>
  <c r="Y636" i="1"/>
  <c r="Y640" i="1"/>
  <c r="Y639" i="1"/>
  <c r="Y641" i="1"/>
  <c r="Y638" i="1"/>
  <c r="Y642" i="1"/>
  <c r="Y579" i="1"/>
  <c r="Y643" i="1"/>
  <c r="Y644" i="1"/>
  <c r="Y647" i="1"/>
  <c r="Y645" i="1"/>
  <c r="Y646" i="1"/>
  <c r="Y649" i="1"/>
  <c r="Y648" i="1"/>
  <c r="Y653" i="1"/>
  <c r="Y651" i="1"/>
  <c r="Y650" i="1"/>
  <c r="Y580" i="1"/>
  <c r="Y652" i="1"/>
  <c r="Y654" i="1"/>
  <c r="Y655" i="1"/>
  <c r="Y656" i="1"/>
  <c r="Y657" i="1"/>
  <c r="Y581" i="1"/>
  <c r="Y658" i="1"/>
  <c r="Y582" i="1"/>
  <c r="Y659" i="1"/>
  <c r="Y660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3" i="1"/>
  <c r="Y584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H525" i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8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89" i="1"/>
  <c r="AH589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0" i="1"/>
  <c r="AH590" i="1" s="1"/>
  <c r="AG333" i="1"/>
  <c r="AH333" i="1" s="1"/>
  <c r="AG84" i="1"/>
  <c r="AG558" i="1"/>
  <c r="AH558" i="1" s="1"/>
  <c r="AG561" i="1"/>
  <c r="AH561" i="1" s="1"/>
  <c r="AG591" i="1"/>
  <c r="AH591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2" i="1"/>
  <c r="AH592" i="1" s="1"/>
  <c r="AG86" i="1"/>
  <c r="AH86" i="1" s="1"/>
  <c r="AG91" i="1"/>
  <c r="AH91" i="1" s="1"/>
  <c r="AG593" i="1"/>
  <c r="AH593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5" i="1"/>
  <c r="AH595" i="1" s="1"/>
  <c r="AG596" i="1"/>
  <c r="AH596" i="1" s="1"/>
  <c r="AG597" i="1"/>
  <c r="AH597" i="1" s="1"/>
  <c r="AG594" i="1"/>
  <c r="AH594" i="1" s="1"/>
  <c r="AG598" i="1"/>
  <c r="AH598" i="1" s="1"/>
  <c r="AG340" i="1"/>
  <c r="AH340" i="1" s="1"/>
  <c r="AG601" i="1"/>
  <c r="AH601" i="1" s="1"/>
  <c r="AG599" i="1"/>
  <c r="AH599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0" i="1"/>
  <c r="AH600" i="1" s="1"/>
  <c r="AG563" i="1"/>
  <c r="AH563" i="1" s="1"/>
  <c r="AG603" i="1"/>
  <c r="AH603" i="1" s="1"/>
  <c r="AG565" i="1"/>
  <c r="AH565" i="1" s="1"/>
  <c r="AG348" i="1"/>
  <c r="AH348" i="1" s="1"/>
  <c r="AG94" i="1"/>
  <c r="AH94" i="1" s="1"/>
  <c r="AG352" i="1"/>
  <c r="AH352" i="1" s="1"/>
  <c r="AG602" i="1"/>
  <c r="AH602" i="1" s="1"/>
  <c r="AG350" i="1"/>
  <c r="AH350" i="1" s="1"/>
  <c r="AG351" i="1"/>
  <c r="AH351" i="1" s="1"/>
  <c r="AG566" i="1"/>
  <c r="AH566" i="1" s="1"/>
  <c r="AG604" i="1"/>
  <c r="AH604" i="1" s="1"/>
  <c r="AG605" i="1"/>
  <c r="AH605" i="1" s="1"/>
  <c r="AG353" i="1"/>
  <c r="AH353" i="1" s="1"/>
  <c r="AG354" i="1"/>
  <c r="AH354" i="1" s="1"/>
  <c r="AG606" i="1"/>
  <c r="AH606" i="1" s="1"/>
  <c r="AG567" i="1"/>
  <c r="AH567" i="1" s="1"/>
  <c r="AG356" i="1"/>
  <c r="AH356" i="1" s="1"/>
  <c r="AG349" i="1"/>
  <c r="AG607" i="1"/>
  <c r="AH607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8" i="1"/>
  <c r="AH608" i="1" s="1"/>
  <c r="AG100" i="1"/>
  <c r="AH100" i="1" s="1"/>
  <c r="AG357" i="1"/>
  <c r="AH357" i="1" s="1"/>
  <c r="AG359" i="1"/>
  <c r="AH359" i="1" s="1"/>
  <c r="AG609" i="1"/>
  <c r="AH609" i="1" s="1"/>
  <c r="AG570" i="1"/>
  <c r="AH570" i="1" s="1"/>
  <c r="AG611" i="1"/>
  <c r="AH611" i="1" s="1"/>
  <c r="AG362" i="1"/>
  <c r="AG614" i="1"/>
  <c r="AH614" i="1" s="1"/>
  <c r="AG358" i="1"/>
  <c r="AH358" i="1" s="1"/>
  <c r="AG360" i="1"/>
  <c r="AH360" i="1" s="1"/>
  <c r="AG610" i="1"/>
  <c r="AH610" i="1" s="1"/>
  <c r="AG102" i="1"/>
  <c r="AH102" i="1" s="1"/>
  <c r="AG101" i="1"/>
  <c r="AH101" i="1" s="1"/>
  <c r="AG361" i="1"/>
  <c r="AH361" i="1" s="1"/>
  <c r="AG613" i="1"/>
  <c r="AH613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2" i="1"/>
  <c r="AH612" i="1" s="1"/>
  <c r="AG617" i="1"/>
  <c r="AH617" i="1" s="1"/>
  <c r="AG620" i="1"/>
  <c r="AH620" i="1" s="1"/>
  <c r="AG619" i="1"/>
  <c r="AH619" i="1" s="1"/>
  <c r="AG110" i="1"/>
  <c r="AG615" i="1"/>
  <c r="AH615" i="1" s="1"/>
  <c r="AG618" i="1"/>
  <c r="AH618" i="1" s="1"/>
  <c r="AG111" i="1"/>
  <c r="AH111" i="1" s="1"/>
  <c r="AG370" i="1"/>
  <c r="AH370" i="1" s="1"/>
  <c r="AG616" i="1"/>
  <c r="AH616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3" i="1"/>
  <c r="AH623" i="1" s="1"/>
  <c r="AG621" i="1"/>
  <c r="AH621" i="1" s="1"/>
  <c r="AG366" i="1"/>
  <c r="AH366" i="1" s="1"/>
  <c r="AG109" i="1"/>
  <c r="AH109" i="1" s="1"/>
  <c r="AG371" i="1"/>
  <c r="AH371" i="1" s="1"/>
  <c r="AG624" i="1"/>
  <c r="AH624" i="1" s="1"/>
  <c r="AG112" i="1"/>
  <c r="AG376" i="1"/>
  <c r="AH376" i="1" s="1"/>
  <c r="AG574" i="1"/>
  <c r="AH574" i="1" s="1"/>
  <c r="AG622" i="1"/>
  <c r="AH622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8" i="1"/>
  <c r="AH628" i="1" s="1"/>
  <c r="AG117" i="1"/>
  <c r="AH117" i="1" s="1"/>
  <c r="AG118" i="1"/>
  <c r="AH118" i="1" s="1"/>
  <c r="AG625" i="1"/>
  <c r="AH625" i="1" s="1"/>
  <c r="AG379" i="1"/>
  <c r="AH379" i="1" s="1"/>
  <c r="AG374" i="1"/>
  <c r="AH374" i="1" s="1"/>
  <c r="AG627" i="1"/>
  <c r="AH627" i="1" s="1"/>
  <c r="AG631" i="1"/>
  <c r="AH631" i="1" s="1"/>
  <c r="AG626" i="1"/>
  <c r="AH626" i="1" s="1"/>
  <c r="AG119" i="1"/>
  <c r="AH119" i="1" s="1"/>
  <c r="AG629" i="1"/>
  <c r="AH629" i="1" s="1"/>
  <c r="AG630" i="1"/>
  <c r="AH630" i="1" s="1"/>
  <c r="AG381" i="1"/>
  <c r="AG382" i="1"/>
  <c r="AH382" i="1" s="1"/>
  <c r="AG576" i="1"/>
  <c r="AH576" i="1" s="1"/>
  <c r="AG90" i="1"/>
  <c r="AH90" i="1" s="1"/>
  <c r="AG632" i="1"/>
  <c r="AH632" i="1" s="1"/>
  <c r="AG384" i="1"/>
  <c r="AH384" i="1" s="1"/>
  <c r="AG121" i="1"/>
  <c r="AH121" i="1" s="1"/>
  <c r="AG383" i="1"/>
  <c r="AH383" i="1" s="1"/>
  <c r="AG633" i="1"/>
  <c r="AH633" i="1" s="1"/>
  <c r="AG634" i="1"/>
  <c r="AH634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7" i="1"/>
  <c r="AH637" i="1" s="1"/>
  <c r="AG126" i="1"/>
  <c r="AH126" i="1" s="1"/>
  <c r="AG127" i="1"/>
  <c r="AH127" i="1" s="1"/>
  <c r="AG635" i="1"/>
  <c r="AH635" i="1" s="1"/>
  <c r="AG636" i="1"/>
  <c r="AH636" i="1" s="1"/>
  <c r="AG640" i="1"/>
  <c r="AH640" i="1" s="1"/>
  <c r="AG389" i="1"/>
  <c r="AH389" i="1" s="1"/>
  <c r="AG639" i="1"/>
  <c r="AH639" i="1" s="1"/>
  <c r="AG641" i="1"/>
  <c r="AH641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8" i="1"/>
  <c r="AH638" i="1" s="1"/>
  <c r="AG642" i="1"/>
  <c r="AH642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3" i="1"/>
  <c r="AH643" i="1" s="1"/>
  <c r="AG644" i="1"/>
  <c r="AH644" i="1" s="1"/>
  <c r="AG132" i="1"/>
  <c r="AH132" i="1" s="1"/>
  <c r="AG647" i="1"/>
  <c r="AH647" i="1" s="1"/>
  <c r="AG645" i="1"/>
  <c r="AH645" i="1" s="1"/>
  <c r="AG646" i="1"/>
  <c r="AH646" i="1" s="1"/>
  <c r="AG133" i="1"/>
  <c r="AH133" i="1" s="1"/>
  <c r="AG131" i="1"/>
  <c r="AH131" i="1" s="1"/>
  <c r="AG134" i="1"/>
  <c r="AH134" i="1" s="1"/>
  <c r="AG649" i="1"/>
  <c r="AH649" i="1" s="1"/>
  <c r="AG648" i="1"/>
  <c r="AH648" i="1" s="1"/>
  <c r="AG653" i="1"/>
  <c r="AH653" i="1" s="1"/>
  <c r="AG136" i="1"/>
  <c r="AH136" i="1" s="1"/>
  <c r="AG651" i="1"/>
  <c r="AH651" i="1" s="1"/>
  <c r="AG650" i="1"/>
  <c r="AH650" i="1" s="1"/>
  <c r="AG580" i="1"/>
  <c r="AH580" i="1" s="1"/>
  <c r="AG652" i="1"/>
  <c r="AH652" i="1" s="1"/>
  <c r="AG138" i="1"/>
  <c r="AH138" i="1" s="1"/>
  <c r="AG400" i="1"/>
  <c r="AH400" i="1" s="1"/>
  <c r="AG141" i="1"/>
  <c r="AH141" i="1" s="1"/>
  <c r="AG140" i="1"/>
  <c r="AH140" i="1" s="1"/>
  <c r="AG401" i="1"/>
  <c r="AG654" i="1"/>
  <c r="AH654" i="1" s="1"/>
  <c r="AG655" i="1"/>
  <c r="AH655" i="1" s="1"/>
  <c r="AG656" i="1"/>
  <c r="AG144" i="1"/>
  <c r="AH144" i="1" s="1"/>
  <c r="AG657" i="1"/>
  <c r="AG581" i="1"/>
  <c r="AH581" i="1" s="1"/>
  <c r="AG658" i="1"/>
  <c r="AG145" i="1"/>
  <c r="AH145" i="1" s="1"/>
  <c r="AG582" i="1"/>
  <c r="AH582" i="1" s="1"/>
  <c r="AG146" i="1"/>
  <c r="AH146" i="1" s="1"/>
  <c r="AG147" i="1"/>
  <c r="AH147" i="1" s="1"/>
  <c r="AG659" i="1"/>
  <c r="AG150" i="1"/>
  <c r="AH150" i="1" s="1"/>
  <c r="AG660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3" i="1"/>
  <c r="AH583" i="1" s="1"/>
  <c r="AG584" i="1"/>
  <c r="AH584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658" i="1" l="1"/>
  <c r="AH112" i="1"/>
  <c r="AH28" i="1"/>
  <c r="AH415" i="1"/>
  <c r="AH657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8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6" i="1"/>
  <c r="AH659" i="1"/>
  <c r="AH660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3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<sst xmlns="http://schemas.openxmlformats.org/spreadsheetml/2006/main" count="7067" uniqueCount="1493">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</sst>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4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256393.97999999995</c:v>
                </c:pt>
                <c:pt idx="2">
                  <c:v>129115.21333333336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477201.14416666667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17"/>
  <sheetViews>
    <sheetView showGridLines="0" tabSelected="1" zoomScaleNormal="100" workbookViewId="0">
      <pane xSplit="1" ySplit="2" topLeftCell="B310" activePane="bottomRight" state="frozen"/>
      <selection pane="topRight" activeCell="B1" sqref="B1"/>
      <selection pane="bottomLeft" activeCell="A3" sqref="A3"/>
      <selection pane="bottomRight" activeCell="G283" sqref="G283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179687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hidden="1" customWidth="1"/>
    <col min="21" max="21" width="16.453125" hidden="1" customWidth="1"/>
    <col min="22" max="24" width="15.453125" hidden="1" customWidth="1"/>
    <col min="25" max="25" width="15.453125" customWidth="1"/>
    <col min="26" max="26" width="13.54296875" bestFit="1" customWidth="1"/>
    <col min="27" max="27" width="11.453125" bestFit="1" customWidth="1"/>
    <col min="28" max="28" width="16.179687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81640625" hidden="1" customWidth="1"/>
    <col min="35" max="35" width="16.453125" bestFit="1" customWidth="1"/>
    <col min="36" max="36" width="24.1796875" customWidth="1"/>
    <col min="37" max="37" width="16.453125" bestFit="1" customWidth="1"/>
    <col min="38" max="38" width="14.81640625" hidden="1" customWidth="1"/>
    <col min="39" max="39" width="91.1796875" customWidth="1"/>
    <col min="40" max="40" width="28.26953125" style="50" customWidth="1"/>
  </cols>
  <sheetData>
    <row r="1" spans="1:40" ht="151.4" customHeight="1" x14ac:dyDescent="0.35"/>
    <row r="2" spans="1:40" ht="31.5" x14ac:dyDescent="0.3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ht="14.4" hidden="1" x14ac:dyDescent="0.35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5" hidden="1" x14ac:dyDescent="0.35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ht="14.4" hidden="1" x14ac:dyDescent="0.35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ht="14.4" hidden="1" x14ac:dyDescent="0.35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ht="14.4" hidden="1" x14ac:dyDescent="0.35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ht="14.4" hidden="1" x14ac:dyDescent="0.35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0.399999999999999" hidden="1" x14ac:dyDescent="0.35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ht="14.4" hidden="1" x14ac:dyDescent="0.35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ht="14.4" hidden="1" x14ac:dyDescent="0.35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ht="14.4" hidden="1" x14ac:dyDescent="0.35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0.399999999999999" hidden="1" x14ac:dyDescent="0.35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20.399999999999999" hidden="1" x14ac:dyDescent="0.35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ht="14.4" hidden="1" x14ac:dyDescent="0.35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5" hidden="1" x14ac:dyDescent="0.35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399999999999999" hidden="1" x14ac:dyDescent="0.35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1" hidden="1" x14ac:dyDescent="0.35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ht="14.4" hidden="1" x14ac:dyDescent="0.35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ht="14.4" hidden="1" x14ac:dyDescent="0.35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ht="14.4" hidden="1" x14ac:dyDescent="0.35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ht="14.4" hidden="1" x14ac:dyDescent="0.35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ht="14.4" hidden="1" x14ac:dyDescent="0.35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ht="14.4" hidden="1" x14ac:dyDescent="0.35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ht="14.4" hidden="1" x14ac:dyDescent="0.35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5" hidden="1" x14ac:dyDescent="0.35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ht="14.4" hidden="1" x14ac:dyDescent="0.35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ht="14.4" hidden="1" x14ac:dyDescent="0.35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ht="14.4" hidden="1" x14ac:dyDescent="0.35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ht="14.4" hidden="1" x14ac:dyDescent="0.35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ht="14.4" hidden="1" x14ac:dyDescent="0.35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ht="14.4" hidden="1" x14ac:dyDescent="0.35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ht="14.4" hidden="1" x14ac:dyDescent="0.35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ht="14.4" hidden="1" x14ac:dyDescent="0.35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ht="14.4" hidden="1" x14ac:dyDescent="0.35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ht="14.4" hidden="1" x14ac:dyDescent="0.35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ht="14.4" hidden="1" x14ac:dyDescent="0.35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ht="14.4" hidden="1" x14ac:dyDescent="0.35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hidden="1" x14ac:dyDescent="0.35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ht="14.4" hidden="1" x14ac:dyDescent="0.35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ht="14.4" hidden="1" x14ac:dyDescent="0.35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ht="14.4" hidden="1" x14ac:dyDescent="0.35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ht="14.4" hidden="1" x14ac:dyDescent="0.35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ht="14.4" hidden="1" x14ac:dyDescent="0.35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ht="14.4" hidden="1" x14ac:dyDescent="0.35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ht="14.4" hidden="1" x14ac:dyDescent="0.35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ht="14.4" hidden="1" x14ac:dyDescent="0.35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ht="14.4" hidden="1" x14ac:dyDescent="0.35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ht="14.4" hidden="1" x14ac:dyDescent="0.35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ht="14.4" hidden="1" x14ac:dyDescent="0.35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ht="14.4" hidden="1" x14ac:dyDescent="0.35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ht="14.4" hidden="1" x14ac:dyDescent="0.35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ht="14.4" hidden="1" x14ac:dyDescent="0.35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ht="14.4" hidden="1" x14ac:dyDescent="0.35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ht="14.4" hidden="1" x14ac:dyDescent="0.35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ht="14.4" hidden="1" x14ac:dyDescent="0.35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ht="14.4" hidden="1" x14ac:dyDescent="0.35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ht="14.4" hidden="1" x14ac:dyDescent="0.35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ht="14.4" hidden="1" x14ac:dyDescent="0.35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hidden="1" x14ac:dyDescent="0.35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ht="14.4" hidden="1" x14ac:dyDescent="0.35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ht="14.4" hidden="1" x14ac:dyDescent="0.35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ht="14.4" hidden="1" x14ac:dyDescent="0.35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ht="14.4" hidden="1" x14ac:dyDescent="0.35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ht="14.4" hidden="1" x14ac:dyDescent="0.35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ht="14.4" hidden="1" x14ac:dyDescent="0.35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ht="14.4" hidden="1" x14ac:dyDescent="0.35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ht="14.4" hidden="1" x14ac:dyDescent="0.35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ht="14.4" hidden="1" x14ac:dyDescent="0.35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ht="14.4" hidden="1" x14ac:dyDescent="0.35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ht="14.4" hidden="1" x14ac:dyDescent="0.35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ht="14.4" hidden="1" x14ac:dyDescent="0.35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ht="14.4" hidden="1" x14ac:dyDescent="0.35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ht="14.4" hidden="1" x14ac:dyDescent="0.35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ht="14.4" hidden="1" x14ac:dyDescent="0.35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ht="14.4" hidden="1" x14ac:dyDescent="0.35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ht="14.4" hidden="1" x14ac:dyDescent="0.35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ht="14.4" hidden="1" x14ac:dyDescent="0.35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ht="14.4" hidden="1" x14ac:dyDescent="0.35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ht="14.4" hidden="1" x14ac:dyDescent="0.35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ht="14.4" hidden="1" x14ac:dyDescent="0.35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ht="14.4" hidden="1" x14ac:dyDescent="0.35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ht="14.4" hidden="1" x14ac:dyDescent="0.35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ht="14.4" hidden="1" x14ac:dyDescent="0.35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ht="14.4" hidden="1" x14ac:dyDescent="0.35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ht="14.4" hidden="1" x14ac:dyDescent="0.35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ht="14.4" hidden="1" x14ac:dyDescent="0.35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ht="14.4" hidden="1" x14ac:dyDescent="0.35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ht="14.4" hidden="1" x14ac:dyDescent="0.35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ht="14.4" hidden="1" x14ac:dyDescent="0.35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ht="14.4" hidden="1" x14ac:dyDescent="0.35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ht="14.4" hidden="1" x14ac:dyDescent="0.35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ht="14.4" hidden="1" x14ac:dyDescent="0.35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ht="14.4" hidden="1" x14ac:dyDescent="0.35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ht="14.4" hidden="1" x14ac:dyDescent="0.35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ht="14.4" hidden="1" x14ac:dyDescent="0.35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ht="14.4" hidden="1" x14ac:dyDescent="0.35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ht="14.4" hidden="1" x14ac:dyDescent="0.35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ht="14.4" hidden="1" x14ac:dyDescent="0.35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ht="14.4" hidden="1" x14ac:dyDescent="0.35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ht="14.4" hidden="1" x14ac:dyDescent="0.35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ht="14.4" hidden="1" x14ac:dyDescent="0.35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ht="14.4" hidden="1" x14ac:dyDescent="0.35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ht="14.4" hidden="1" x14ac:dyDescent="0.35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ht="14.4" hidden="1" x14ac:dyDescent="0.35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ht="14.4" hidden="1" x14ac:dyDescent="0.35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ht="14.4" hidden="1" x14ac:dyDescent="0.35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ht="14.4" hidden="1" x14ac:dyDescent="0.35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ht="14.4" hidden="1" x14ac:dyDescent="0.35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ht="14.4" hidden="1" x14ac:dyDescent="0.35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ht="14.4" hidden="1" x14ac:dyDescent="0.35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ht="14.4" hidden="1" x14ac:dyDescent="0.35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ht="14.4" hidden="1" x14ac:dyDescent="0.35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ht="14.4" hidden="1" x14ac:dyDescent="0.35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ht="14.4" hidden="1" x14ac:dyDescent="0.35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ht="14.4" hidden="1" x14ac:dyDescent="0.35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ht="14.4" hidden="1" x14ac:dyDescent="0.35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ht="14.4" hidden="1" x14ac:dyDescent="0.35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ht="14.4" hidden="1" x14ac:dyDescent="0.35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ht="14.4" hidden="1" x14ac:dyDescent="0.35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ht="14.4" hidden="1" x14ac:dyDescent="0.35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ht="14.4" hidden="1" x14ac:dyDescent="0.35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ht="14.4" hidden="1" x14ac:dyDescent="0.35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ht="14.4" hidden="1" x14ac:dyDescent="0.35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ht="14.4" hidden="1" x14ac:dyDescent="0.35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ht="14.4" hidden="1" x14ac:dyDescent="0.35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ht="14.4" hidden="1" x14ac:dyDescent="0.35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ht="14.4" hidden="1" x14ac:dyDescent="0.35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ht="14.4" hidden="1" x14ac:dyDescent="0.35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ht="14.4" hidden="1" x14ac:dyDescent="0.35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ht="14.4" hidden="1" x14ac:dyDescent="0.35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ht="14.4" hidden="1" x14ac:dyDescent="0.35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ht="14.4" hidden="1" x14ac:dyDescent="0.35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ht="14.4" hidden="1" x14ac:dyDescent="0.35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ht="14.4" hidden="1" x14ac:dyDescent="0.35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ht="14.4" hidden="1" x14ac:dyDescent="0.35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ht="14.4" hidden="1" x14ac:dyDescent="0.35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ht="14.4" hidden="1" x14ac:dyDescent="0.35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ht="14.4" hidden="1" x14ac:dyDescent="0.35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ht="14.4" hidden="1" x14ac:dyDescent="0.35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ht="14.4" hidden="1" x14ac:dyDescent="0.35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ht="14.4" hidden="1" x14ac:dyDescent="0.35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ht="14.4" hidden="1" x14ac:dyDescent="0.35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ht="14.4" hidden="1" x14ac:dyDescent="0.35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ht="14.4" hidden="1" x14ac:dyDescent="0.35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ht="14.4" hidden="1" x14ac:dyDescent="0.35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ht="14.4" hidden="1" x14ac:dyDescent="0.35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ht="14.4" hidden="1" x14ac:dyDescent="0.35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ht="14.4" hidden="1" x14ac:dyDescent="0.35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ht="14.4" hidden="1" x14ac:dyDescent="0.35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ht="14.4" hidden="1" x14ac:dyDescent="0.35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ht="14.4" hidden="1" x14ac:dyDescent="0.35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ht="14.4" hidden="1" x14ac:dyDescent="0.35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ht="14.4" hidden="1" x14ac:dyDescent="0.35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ht="14.4" hidden="1" x14ac:dyDescent="0.35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ht="14.4" hidden="1" x14ac:dyDescent="0.35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ht="14.4" hidden="1" x14ac:dyDescent="0.35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ht="14.4" hidden="1" x14ac:dyDescent="0.35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ht="14.4" hidden="1" x14ac:dyDescent="0.35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ht="14.4" hidden="1" x14ac:dyDescent="0.35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ht="14.4" hidden="1" x14ac:dyDescent="0.35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ht="14.4" hidden="1" x14ac:dyDescent="0.35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ht="14.4" hidden="1" x14ac:dyDescent="0.35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ht="14.4" hidden="1" x14ac:dyDescent="0.35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ht="14.4" hidden="1" x14ac:dyDescent="0.35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ht="14.4" hidden="1" x14ac:dyDescent="0.35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ht="14.4" hidden="1" x14ac:dyDescent="0.35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ht="14.4" hidden="1" x14ac:dyDescent="0.35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ht="14.4" hidden="1" x14ac:dyDescent="0.35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ht="14.4" hidden="1" x14ac:dyDescent="0.35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ht="14.4" hidden="1" x14ac:dyDescent="0.35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ht="14.4" hidden="1" x14ac:dyDescent="0.35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ht="14.4" hidden="1" x14ac:dyDescent="0.35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ht="14.4" hidden="1" x14ac:dyDescent="0.35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ht="14.4" hidden="1" x14ac:dyDescent="0.35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ht="14.4" hidden="1" x14ac:dyDescent="0.35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ht="14.4" hidden="1" x14ac:dyDescent="0.35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ht="14.4" hidden="1" x14ac:dyDescent="0.35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ht="14.4" hidden="1" x14ac:dyDescent="0.35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ht="14.4" hidden="1" x14ac:dyDescent="0.35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ht="14.4" hidden="1" x14ac:dyDescent="0.35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ht="14.4" hidden="1" x14ac:dyDescent="0.35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ht="14.4" hidden="1" x14ac:dyDescent="0.35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ht="14.4" hidden="1" x14ac:dyDescent="0.35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ht="14.4" hidden="1" x14ac:dyDescent="0.35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ht="14.4" hidden="1" x14ac:dyDescent="0.35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ht="14.4" hidden="1" x14ac:dyDescent="0.35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ht="14.4" hidden="1" x14ac:dyDescent="0.35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ht="14.4" hidden="1" x14ac:dyDescent="0.35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ht="14.4" hidden="1" x14ac:dyDescent="0.35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ht="14.4" hidden="1" x14ac:dyDescent="0.35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ht="14.4" hidden="1" x14ac:dyDescent="0.35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ht="14.4" hidden="1" x14ac:dyDescent="0.35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ht="14.4" hidden="1" x14ac:dyDescent="0.35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ht="14.4" hidden="1" x14ac:dyDescent="0.35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ht="14.4" hidden="1" x14ac:dyDescent="0.35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ht="14.4" hidden="1" x14ac:dyDescent="0.35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ht="14.4" hidden="1" x14ac:dyDescent="0.35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ht="14.4" hidden="1" x14ac:dyDescent="0.35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ht="14.4" hidden="1" x14ac:dyDescent="0.35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ht="14.4" hidden="1" x14ac:dyDescent="0.35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ht="14.4" hidden="1" x14ac:dyDescent="0.35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ht="14.4" hidden="1" x14ac:dyDescent="0.35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ht="14.4" hidden="1" x14ac:dyDescent="0.35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ht="14.4" hidden="1" x14ac:dyDescent="0.35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ht="14.4" hidden="1" x14ac:dyDescent="0.35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ht="14.4" hidden="1" x14ac:dyDescent="0.35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ht="14.4" hidden="1" x14ac:dyDescent="0.35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ht="14.4" hidden="1" x14ac:dyDescent="0.35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ht="14.4" hidden="1" x14ac:dyDescent="0.35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ht="14.4" hidden="1" x14ac:dyDescent="0.35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ht="14.4" hidden="1" x14ac:dyDescent="0.35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ht="14.4" hidden="1" x14ac:dyDescent="0.35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ht="14.4" hidden="1" x14ac:dyDescent="0.35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ht="14.4" hidden="1" x14ac:dyDescent="0.35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ht="14.4" hidden="1" x14ac:dyDescent="0.35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ht="14.4" hidden="1" x14ac:dyDescent="0.35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ht="14.4" hidden="1" x14ac:dyDescent="0.35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ht="14.4" hidden="1" x14ac:dyDescent="0.35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ht="14.4" hidden="1" x14ac:dyDescent="0.35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ht="14.4" hidden="1" x14ac:dyDescent="0.35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ht="14.4" hidden="1" x14ac:dyDescent="0.35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ht="14.4" hidden="1" x14ac:dyDescent="0.35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ht="14.4" hidden="1" x14ac:dyDescent="0.35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ht="14.4" hidden="1" x14ac:dyDescent="0.35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ht="14.4" hidden="1" x14ac:dyDescent="0.35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ht="14.4" hidden="1" x14ac:dyDescent="0.35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ht="14.4" hidden="1" x14ac:dyDescent="0.35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ht="14.4" hidden="1" x14ac:dyDescent="0.35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ht="14.4" hidden="1" x14ac:dyDescent="0.35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ht="14.4" hidden="1" x14ac:dyDescent="0.35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ht="14.4" hidden="1" x14ac:dyDescent="0.35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ht="14.4" hidden="1" x14ac:dyDescent="0.35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ht="14.4" hidden="1" x14ac:dyDescent="0.35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ht="14.4" hidden="1" x14ac:dyDescent="0.35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ht="14.4" hidden="1" x14ac:dyDescent="0.35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ht="14.4" hidden="1" x14ac:dyDescent="0.35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ht="14.4" hidden="1" x14ac:dyDescent="0.35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ht="14.4" hidden="1" x14ac:dyDescent="0.35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ht="14.4" hidden="1" x14ac:dyDescent="0.35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ht="14.4" hidden="1" x14ac:dyDescent="0.35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ht="14.4" hidden="1" x14ac:dyDescent="0.35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ht="14.4" hidden="1" x14ac:dyDescent="0.35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ht="14.4" hidden="1" x14ac:dyDescent="0.35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ht="14.4" hidden="1" x14ac:dyDescent="0.35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ht="14.4" hidden="1" x14ac:dyDescent="0.35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ht="14.4" hidden="1" x14ac:dyDescent="0.35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ht="14.4" hidden="1" x14ac:dyDescent="0.35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ht="14.4" hidden="1" x14ac:dyDescent="0.35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ht="14.4" hidden="1" x14ac:dyDescent="0.35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ht="14.4" hidden="1" x14ac:dyDescent="0.35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ht="14.4" hidden="1" x14ac:dyDescent="0.35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ht="14.4" hidden="1" x14ac:dyDescent="0.35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ht="14.4" hidden="1" x14ac:dyDescent="0.35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ht="14.4" hidden="1" x14ac:dyDescent="0.35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ht="14.4" hidden="1" x14ac:dyDescent="0.35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ht="14.4" hidden="1" x14ac:dyDescent="0.35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ht="14.4" hidden="1" x14ac:dyDescent="0.35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ht="14.4" hidden="1" x14ac:dyDescent="0.35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ht="14.4" hidden="1" x14ac:dyDescent="0.35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ht="14.4" hidden="1" x14ac:dyDescent="0.35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ht="14.4" hidden="1" x14ac:dyDescent="0.35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ht="14.4" hidden="1" x14ac:dyDescent="0.35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ht="14.4" hidden="1" x14ac:dyDescent="0.35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ht="14.4" hidden="1" x14ac:dyDescent="0.35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ht="14.4" hidden="1" x14ac:dyDescent="0.35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ht="14.4" hidden="1" x14ac:dyDescent="0.35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ht="14.4" hidden="1" x14ac:dyDescent="0.35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ht="14.4" hidden="1" x14ac:dyDescent="0.35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ht="14.4" hidden="1" x14ac:dyDescent="0.35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ht="14.4" hidden="1" x14ac:dyDescent="0.35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ht="14.4" hidden="1" x14ac:dyDescent="0.35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ht="14.4" hidden="1" x14ac:dyDescent="0.35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ht="14.4" hidden="1" x14ac:dyDescent="0.35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ht="14.4" hidden="1" x14ac:dyDescent="0.35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ht="14.4" hidden="1" x14ac:dyDescent="0.35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ht="14.4" hidden="1" x14ac:dyDescent="0.35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ht="14.4" hidden="1" x14ac:dyDescent="0.35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hidden="1" x14ac:dyDescent="0.35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/>
    </row>
    <row r="280" spans="1:40" s="26" customFormat="1" ht="20.399999999999999" hidden="1" x14ac:dyDescent="0.35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/>
    </row>
    <row r="281" spans="1:40" s="26" customFormat="1" ht="122.4" hidden="1" x14ac:dyDescent="0.35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/>
    </row>
    <row r="282" spans="1:40" s="26" customFormat="1" ht="14.4" hidden="1" x14ac:dyDescent="0.35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ht="14.4" hidden="1" x14ac:dyDescent="0.35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/>
    </row>
    <row r="284" spans="1:40" s="26" customFormat="1" ht="81.650000000000006" hidden="1" x14ac:dyDescent="0.35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ht="14.4" hidden="1" x14ac:dyDescent="0.35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ht="14.4" hidden="1" x14ac:dyDescent="0.35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399999999999999" hidden="1" x14ac:dyDescent="0.35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ht="14.4" hidden="1" x14ac:dyDescent="0.35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ht="14.4" hidden="1" x14ac:dyDescent="0.35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ht="14.4" hidden="1" x14ac:dyDescent="0.35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5" hidden="1" x14ac:dyDescent="0.35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2811.5133333333338</v>
      </c>
      <c r="AL291" s="1"/>
      <c r="AM291" s="1" t="s">
        <v>799</v>
      </c>
      <c r="AN291" s="83"/>
    </row>
    <row r="292" spans="1:40" s="26" customFormat="1" ht="14.4" hidden="1" x14ac:dyDescent="0.35">
      <c r="A292" s="22" t="s">
        <v>808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809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810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ht="14.4" hidden="1" x14ac:dyDescent="0.35">
      <c r="A293" s="22" t="s">
        <v>811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812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813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ht="14.4" hidden="1" x14ac:dyDescent="0.35">
      <c r="A294" s="22" t="s">
        <v>814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815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ht="14.4" hidden="1" x14ac:dyDescent="0.35">
      <c r="A295" s="22" t="s">
        <v>816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817</v>
      </c>
      <c r="H295" s="4"/>
      <c r="I295" s="4"/>
      <c r="J295" s="4">
        <v>63</v>
      </c>
      <c r="K295" s="5"/>
      <c r="L295" s="5" t="s">
        <v>818</v>
      </c>
      <c r="M295" s="4" t="s">
        <v>765</v>
      </c>
      <c r="N295" s="4" t="s">
        <v>819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ht="14.4" hidden="1" x14ac:dyDescent="0.35">
      <c r="A296" s="22" t="s">
        <v>820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821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822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ht="14.4" hidden="1" x14ac:dyDescent="0.35">
      <c r="A297" s="22" t="s">
        <v>728</v>
      </c>
      <c r="B297" s="2" t="s">
        <v>823</v>
      </c>
      <c r="C297" s="21">
        <v>2</v>
      </c>
      <c r="D297" s="23">
        <v>1000</v>
      </c>
      <c r="E297" s="23"/>
      <c r="F297" s="28"/>
      <c r="G297" s="3" t="s">
        <v>824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825</v>
      </c>
      <c r="AN297" s="83"/>
    </row>
    <row r="298" spans="1:40" s="26" customFormat="1" ht="14.4" hidden="1" x14ac:dyDescent="0.35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826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ht="14.4" hidden="1" x14ac:dyDescent="0.35">
      <c r="A299" s="22" t="s">
        <v>827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ht="14.4" hidden="1" x14ac:dyDescent="0.35">
      <c r="A300" s="22" t="s">
        <v>828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829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830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ht="14.4" hidden="1" x14ac:dyDescent="0.35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831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832</v>
      </c>
      <c r="N301" s="34" t="s">
        <v>833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ht="14.4" hidden="1" x14ac:dyDescent="0.35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834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ht="14.4" hidden="1" x14ac:dyDescent="0.35">
      <c r="A303" s="22" t="s">
        <v>835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836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837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ht="14.4" hidden="1" x14ac:dyDescent="0.35">
      <c r="A304" s="22" t="s">
        <v>838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839</v>
      </c>
      <c r="H304" s="6"/>
      <c r="I304" s="6" t="s">
        <v>751</v>
      </c>
      <c r="J304" s="6">
        <v>69</v>
      </c>
      <c r="K304" s="21">
        <v>21</v>
      </c>
      <c r="L304" s="21" t="s">
        <v>840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ht="14.4" hidden="1" x14ac:dyDescent="0.35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829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841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ht="14.4" hidden="1" x14ac:dyDescent="0.35">
      <c r="A306" s="22" t="s">
        <v>842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843</v>
      </c>
      <c r="H306" s="6"/>
      <c r="I306" s="6"/>
      <c r="J306" s="6">
        <v>63</v>
      </c>
      <c r="K306" s="21"/>
      <c r="L306" s="21" t="s">
        <v>818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ht="14.4" hidden="1" x14ac:dyDescent="0.35">
      <c r="A307" s="22" t="s">
        <v>844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845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ht="14.4" hidden="1" x14ac:dyDescent="0.35">
      <c r="A308" s="22" t="s">
        <v>846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812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813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ht="14.4" hidden="1" x14ac:dyDescent="0.35">
      <c r="A309" s="22" t="s">
        <v>847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839</v>
      </c>
      <c r="H309" s="6"/>
      <c r="I309" s="6" t="s">
        <v>751</v>
      </c>
      <c r="J309" s="6">
        <v>59</v>
      </c>
      <c r="K309" s="21">
        <v>24</v>
      </c>
      <c r="L309" s="21" t="s">
        <v>840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x14ac:dyDescent="0.35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848</v>
      </c>
      <c r="H310" s="6"/>
      <c r="I310" s="6"/>
      <c r="J310" s="6">
        <v>63</v>
      </c>
      <c r="K310" s="21"/>
      <c r="L310" s="21" t="s">
        <v>818</v>
      </c>
      <c r="M310" s="6" t="s">
        <v>765</v>
      </c>
      <c r="N310" s="6" t="s">
        <v>849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ht="14.4" hidden="1" x14ac:dyDescent="0.35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850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851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ht="14.4" hidden="1" x14ac:dyDescent="0.35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829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ht="14.4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852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ht="14.4" hidden="1" x14ac:dyDescent="0.35">
      <c r="A314" s="22" t="s">
        <v>853</v>
      </c>
      <c r="B314" s="2" t="s">
        <v>823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854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851</v>
      </c>
      <c r="N314" s="4" t="s">
        <v>855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ht="14.4" hidden="1" x14ac:dyDescent="0.35">
      <c r="A315" s="22" t="s">
        <v>856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857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849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ht="14.4" hidden="1" x14ac:dyDescent="0.35">
      <c r="A316" s="3" t="s">
        <v>858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859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860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ht="14.4" hidden="1" x14ac:dyDescent="0.35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848</v>
      </c>
      <c r="H317" s="6"/>
      <c r="I317" s="6"/>
      <c r="J317" s="6">
        <v>63</v>
      </c>
      <c r="K317" s="21"/>
      <c r="L317" s="21" t="s">
        <v>818</v>
      </c>
      <c r="M317" s="6" t="s">
        <v>765</v>
      </c>
      <c r="N317" s="6" t="s">
        <v>849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ht="14.4" hidden="1" x14ac:dyDescent="0.35">
      <c r="A318" s="22" t="s">
        <v>861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862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ht="14.4" hidden="1" x14ac:dyDescent="0.35">
      <c r="A319" s="22" t="s">
        <v>863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831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833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ht="14.4" hidden="1" x14ac:dyDescent="0.35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864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ht="14.4" hidden="1" x14ac:dyDescent="0.35">
      <c r="A321" s="22" t="s">
        <v>865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818</v>
      </c>
      <c r="M321" s="4" t="s">
        <v>765</v>
      </c>
      <c r="N321" s="4"/>
      <c r="O321" s="4" t="s">
        <v>866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ht="14.4" hidden="1" x14ac:dyDescent="0.35">
      <c r="A322" s="3" t="s">
        <v>867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859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ht="14.4" hidden="1" x14ac:dyDescent="0.35">
      <c r="A323" s="22" t="s">
        <v>868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ht="14.4" hidden="1" x14ac:dyDescent="0.35">
      <c r="A324" s="22" t="s">
        <v>869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870</v>
      </c>
      <c r="H324" s="6"/>
      <c r="I324" s="6"/>
      <c r="J324" s="6">
        <v>30</v>
      </c>
      <c r="K324" s="21"/>
      <c r="L324" s="21" t="s">
        <v>871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ht="14.4" hidden="1" x14ac:dyDescent="0.35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872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ht="14.4" hidden="1" x14ac:dyDescent="0.35">
      <c r="A326" s="3" t="s">
        <v>873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857</v>
      </c>
      <c r="H326" s="4"/>
      <c r="I326" s="6" t="s">
        <v>751</v>
      </c>
      <c r="J326" s="4">
        <v>59</v>
      </c>
      <c r="K326" s="5">
        <v>26</v>
      </c>
      <c r="L326" s="5" t="s">
        <v>871</v>
      </c>
      <c r="M326" s="4" t="s">
        <v>874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ht="14.4" hidden="1" x14ac:dyDescent="0.35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848</v>
      </c>
      <c r="H327" s="6"/>
      <c r="I327" s="6"/>
      <c r="J327" s="6">
        <v>63</v>
      </c>
      <c r="K327" s="21"/>
      <c r="L327" s="21" t="s">
        <v>818</v>
      </c>
      <c r="M327" s="4" t="s">
        <v>765</v>
      </c>
      <c r="N327" s="6" t="s">
        <v>849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ht="14.4" hidden="1" x14ac:dyDescent="0.35">
      <c r="A328" s="3" t="s">
        <v>875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829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ht="14.4" hidden="1" x14ac:dyDescent="0.35">
      <c r="A329" s="3" t="s">
        <v>876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829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ht="14.4" hidden="1" x14ac:dyDescent="0.35">
      <c r="A330" s="3" t="s">
        <v>877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878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ht="14.4" hidden="1" x14ac:dyDescent="0.35">
      <c r="A331" s="3" t="s">
        <v>879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880</v>
      </c>
      <c r="H331" s="6"/>
      <c r="I331" s="6"/>
      <c r="J331" s="6">
        <v>30</v>
      </c>
      <c r="K331" s="21"/>
      <c r="L331" s="21" t="s">
        <v>871</v>
      </c>
      <c r="M331" s="6" t="s">
        <v>881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ht="14.4" hidden="1" x14ac:dyDescent="0.35">
      <c r="A332" s="3" t="s">
        <v>882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883</v>
      </c>
      <c r="H332" s="6"/>
      <c r="I332" s="6"/>
      <c r="J332" s="6">
        <v>30</v>
      </c>
      <c r="K332" s="21"/>
      <c r="L332" s="21" t="s">
        <v>878</v>
      </c>
      <c r="M332" s="6" t="s">
        <v>884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ht="14.4" hidden="1" x14ac:dyDescent="0.35">
      <c r="A333" s="3" t="s">
        <v>885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829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ht="14.4" hidden="1" x14ac:dyDescent="0.35">
      <c r="A334" s="22" t="s">
        <v>886</v>
      </c>
      <c r="B334" s="2" t="s">
        <v>823</v>
      </c>
      <c r="C334" s="21">
        <v>1.5</v>
      </c>
      <c r="D334" s="23">
        <v>1200</v>
      </c>
      <c r="E334" s="23"/>
      <c r="F334" s="28"/>
      <c r="G334" s="3" t="s">
        <v>887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851</v>
      </c>
      <c r="N334" s="6" t="s">
        <v>888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ht="14.4" hidden="1" x14ac:dyDescent="0.35">
      <c r="A335" s="22" t="s">
        <v>889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890</v>
      </c>
      <c r="H335" s="4"/>
      <c r="I335" s="6"/>
      <c r="J335" s="4">
        <v>63</v>
      </c>
      <c r="K335" s="5"/>
      <c r="L335" s="5" t="s">
        <v>818</v>
      </c>
      <c r="M335" s="4" t="s">
        <v>851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ht="14.4" hidden="1" x14ac:dyDescent="0.35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ht="14.4" hidden="1" x14ac:dyDescent="0.35">
      <c r="A337" s="22" t="s">
        <v>891</v>
      </c>
      <c r="B337" s="2" t="s">
        <v>823</v>
      </c>
      <c r="C337" s="21">
        <v>1.5</v>
      </c>
      <c r="D337" s="23">
        <v>1030</v>
      </c>
      <c r="E337" s="23"/>
      <c r="F337" s="28"/>
      <c r="G337" s="3" t="s">
        <v>887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851</v>
      </c>
      <c r="N337" s="6" t="s">
        <v>888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ht="14.4" hidden="1" x14ac:dyDescent="0.35">
      <c r="A338" s="3" t="s">
        <v>664</v>
      </c>
      <c r="B338" s="2" t="s">
        <v>54</v>
      </c>
      <c r="C338" s="21">
        <v>4</v>
      </c>
      <c r="D338" s="23" t="s">
        <v>892</v>
      </c>
      <c r="E338" s="23"/>
      <c r="F338" s="28"/>
      <c r="G338" s="3" t="s">
        <v>893</v>
      </c>
      <c r="H338" s="6"/>
      <c r="I338" s="6"/>
      <c r="J338" s="6">
        <v>30</v>
      </c>
      <c r="K338" s="21"/>
      <c r="L338" s="21" t="s">
        <v>878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ht="14.4" hidden="1" x14ac:dyDescent="0.35">
      <c r="A339" s="22" t="s">
        <v>894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895</v>
      </c>
      <c r="H339" s="6"/>
      <c r="I339" s="6"/>
      <c r="J339" s="6">
        <v>30</v>
      </c>
      <c r="K339" s="21"/>
      <c r="L339" s="21" t="s">
        <v>896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ht="14.4" hidden="1" x14ac:dyDescent="0.35">
      <c r="A340" s="3" t="s">
        <v>897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898</v>
      </c>
      <c r="H340" s="6"/>
      <c r="I340" s="6"/>
      <c r="J340" s="6">
        <v>30</v>
      </c>
      <c r="K340" s="21"/>
      <c r="L340" s="21" t="s">
        <v>871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ht="14.4" hidden="1" x14ac:dyDescent="0.35">
      <c r="A341" s="22" t="s">
        <v>899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900</v>
      </c>
      <c r="H341" s="4"/>
      <c r="I341" s="4"/>
      <c r="J341" s="4">
        <v>30</v>
      </c>
      <c r="K341" s="5"/>
      <c r="L341" s="5" t="s">
        <v>871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ht="14.4" hidden="1" x14ac:dyDescent="0.35">
      <c r="A342" s="22" t="s">
        <v>901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902</v>
      </c>
      <c r="H342" s="6"/>
      <c r="I342" s="6"/>
      <c r="J342" s="6">
        <v>30</v>
      </c>
      <c r="K342" s="21"/>
      <c r="L342" s="21" t="s">
        <v>871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ht="14.4" hidden="1" x14ac:dyDescent="0.35">
      <c r="A343" s="3" t="s">
        <v>903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857</v>
      </c>
      <c r="H343" s="4"/>
      <c r="I343" s="6" t="s">
        <v>751</v>
      </c>
      <c r="J343" s="4">
        <v>59</v>
      </c>
      <c r="K343" s="5">
        <v>26</v>
      </c>
      <c r="L343" s="5" t="s">
        <v>871</v>
      </c>
      <c r="M343" s="4" t="s">
        <v>874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ht="14.4" hidden="1" x14ac:dyDescent="0.35">
      <c r="A344" s="22" t="s">
        <v>904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905</v>
      </c>
      <c r="H344" s="6"/>
      <c r="I344" s="6"/>
      <c r="J344" s="6">
        <v>30</v>
      </c>
      <c r="K344" s="21"/>
      <c r="L344" s="21" t="s">
        <v>871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ht="14.4" hidden="1" x14ac:dyDescent="0.35">
      <c r="A345" s="3" t="s">
        <v>906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831</v>
      </c>
      <c r="H345" s="4"/>
      <c r="I345" s="4" t="s">
        <v>751</v>
      </c>
      <c r="J345" s="4">
        <v>59</v>
      </c>
      <c r="K345" s="5"/>
      <c r="L345" s="5" t="s">
        <v>871</v>
      </c>
      <c r="M345" s="4" t="s">
        <v>907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ht="14.4" hidden="1" x14ac:dyDescent="0.35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831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ht="14.4" hidden="1" x14ac:dyDescent="0.35">
      <c r="A347" s="22" t="s">
        <v>908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909</v>
      </c>
      <c r="H347" s="4"/>
      <c r="I347" s="4"/>
      <c r="J347" s="4"/>
      <c r="K347" s="5"/>
      <c r="L347" s="5" t="s">
        <v>871</v>
      </c>
      <c r="M347" s="4" t="s">
        <v>910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ht="14.4" hidden="1" x14ac:dyDescent="0.35">
      <c r="A348" s="3" t="s">
        <v>911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829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ht="14.4" hidden="1" x14ac:dyDescent="0.35">
      <c r="A349" s="22" t="s">
        <v>912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913</v>
      </c>
      <c r="H349" s="4"/>
      <c r="I349" s="6"/>
      <c r="J349" s="4">
        <v>30</v>
      </c>
      <c r="K349" s="5"/>
      <c r="L349" s="5" t="s">
        <v>871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ht="14.4" hidden="1" x14ac:dyDescent="0.35">
      <c r="A350" s="3" t="s">
        <v>914</v>
      </c>
      <c r="B350" s="2" t="s">
        <v>54</v>
      </c>
      <c r="C350" s="21">
        <v>6</v>
      </c>
      <c r="D350" s="23" t="s">
        <v>892</v>
      </c>
      <c r="E350" s="23"/>
      <c r="F350" s="28"/>
      <c r="G350" s="3" t="s">
        <v>915</v>
      </c>
      <c r="H350" s="4"/>
      <c r="I350" s="6"/>
      <c r="J350" s="4">
        <v>30</v>
      </c>
      <c r="K350" s="5"/>
      <c r="L350" s="5" t="s">
        <v>871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ht="14.4" hidden="1" x14ac:dyDescent="0.35">
      <c r="A351" s="22" t="s">
        <v>916</v>
      </c>
      <c r="B351" s="2" t="s">
        <v>823</v>
      </c>
      <c r="C351" s="21">
        <v>1.5</v>
      </c>
      <c r="D351" s="23">
        <v>1030</v>
      </c>
      <c r="E351" s="23"/>
      <c r="F351" s="28"/>
      <c r="G351" s="3" t="s">
        <v>887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851</v>
      </c>
      <c r="N351" s="6" t="s">
        <v>888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ht="14.4" hidden="1" x14ac:dyDescent="0.35">
      <c r="A352" s="22" t="s">
        <v>917</v>
      </c>
      <c r="B352" s="2" t="s">
        <v>54</v>
      </c>
      <c r="C352" s="21">
        <v>3</v>
      </c>
      <c r="D352" s="23" t="s">
        <v>892</v>
      </c>
      <c r="E352" s="23"/>
      <c r="F352" s="28"/>
      <c r="G352" s="3" t="s">
        <v>918</v>
      </c>
      <c r="H352" s="4"/>
      <c r="I352" s="6"/>
      <c r="J352" s="4">
        <v>30</v>
      </c>
      <c r="K352" s="5"/>
      <c r="L352" s="5" t="s">
        <v>871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ht="14.4" hidden="1" x14ac:dyDescent="0.35">
      <c r="A353" s="3" t="s">
        <v>919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831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ht="14.4" hidden="1" x14ac:dyDescent="0.35">
      <c r="A354" s="3" t="s">
        <v>920</v>
      </c>
      <c r="B354" s="2" t="s">
        <v>54</v>
      </c>
      <c r="C354" s="21">
        <v>4</v>
      </c>
      <c r="D354" s="23" t="s">
        <v>892</v>
      </c>
      <c r="E354" s="23"/>
      <c r="F354" s="28"/>
      <c r="G354" s="3" t="s">
        <v>918</v>
      </c>
      <c r="H354" s="4"/>
      <c r="I354" s="4"/>
      <c r="J354" s="4">
        <v>30</v>
      </c>
      <c r="K354" s="5"/>
      <c r="L354" s="5" t="s">
        <v>871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ht="14.4" hidden="1" x14ac:dyDescent="0.35">
      <c r="A355" s="22" t="s">
        <v>921</v>
      </c>
      <c r="B355" s="2" t="s">
        <v>823</v>
      </c>
      <c r="C355" s="21">
        <v>1.5</v>
      </c>
      <c r="D355" s="23">
        <v>1200</v>
      </c>
      <c r="E355" s="23"/>
      <c r="F355" s="28"/>
      <c r="G355" s="3" t="s">
        <v>887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851</v>
      </c>
      <c r="N355" s="6" t="s">
        <v>888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ht="14.4" hidden="1" x14ac:dyDescent="0.35">
      <c r="A356" s="3" t="s">
        <v>394</v>
      </c>
      <c r="B356" s="2" t="s">
        <v>54</v>
      </c>
      <c r="C356" s="21">
        <v>4</v>
      </c>
      <c r="D356" s="23" t="s">
        <v>892</v>
      </c>
      <c r="E356" s="23"/>
      <c r="F356" s="28"/>
      <c r="G356" s="3" t="s">
        <v>915</v>
      </c>
      <c r="H356" s="6"/>
      <c r="I356" s="6"/>
      <c r="J356" s="6">
        <v>30</v>
      </c>
      <c r="K356" s="21"/>
      <c r="L356" s="21" t="s">
        <v>871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ht="14.4" hidden="1" x14ac:dyDescent="0.35">
      <c r="A357" s="22" t="s">
        <v>922</v>
      </c>
      <c r="B357" s="2" t="s">
        <v>823</v>
      </c>
      <c r="C357" s="21">
        <v>1.5</v>
      </c>
      <c r="D357" s="23">
        <v>490</v>
      </c>
      <c r="E357" s="23"/>
      <c r="F357" s="28"/>
      <c r="G357" s="3" t="s">
        <v>923</v>
      </c>
      <c r="H357" s="1"/>
      <c r="I357" s="6"/>
      <c r="J357" s="4">
        <v>63</v>
      </c>
      <c r="K357" s="5"/>
      <c r="L357" s="5" t="s">
        <v>924</v>
      </c>
      <c r="M357" s="1" t="s">
        <v>925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ht="14.4" hidden="1" x14ac:dyDescent="0.35">
      <c r="A358" s="22" t="s">
        <v>926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812</v>
      </c>
      <c r="H358" s="6"/>
      <c r="I358" s="6"/>
      <c r="J358" s="6">
        <v>30</v>
      </c>
      <c r="K358" s="21"/>
      <c r="L358" s="21" t="s">
        <v>871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ht="14.4" hidden="1" x14ac:dyDescent="0.35">
      <c r="A359" s="3" t="s">
        <v>927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829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ht="14.4" hidden="1" x14ac:dyDescent="0.35">
      <c r="A360" s="22" t="s">
        <v>928</v>
      </c>
      <c r="B360" s="2" t="s">
        <v>823</v>
      </c>
      <c r="C360" s="21">
        <v>1.5</v>
      </c>
      <c r="D360" s="23">
        <v>1030</v>
      </c>
      <c r="E360" s="23"/>
      <c r="F360" s="28"/>
      <c r="G360" s="3" t="s">
        <v>887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851</v>
      </c>
      <c r="N360" s="6" t="s">
        <v>888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ht="14.4" hidden="1" x14ac:dyDescent="0.35">
      <c r="A361" s="3" t="s">
        <v>370</v>
      </c>
      <c r="B361" s="2" t="s">
        <v>54</v>
      </c>
      <c r="C361" s="21">
        <v>4.75</v>
      </c>
      <c r="D361" s="23" t="s">
        <v>892</v>
      </c>
      <c r="E361" s="23"/>
      <c r="F361" s="28"/>
      <c r="G361" s="3" t="s">
        <v>915</v>
      </c>
      <c r="H361" s="6"/>
      <c r="I361" s="6"/>
      <c r="J361" s="6">
        <v>30</v>
      </c>
      <c r="K361" s="21"/>
      <c r="L361" s="21" t="s">
        <v>871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ht="14.4" hidden="1" x14ac:dyDescent="0.35">
      <c r="A362" s="3" t="s">
        <v>929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843</v>
      </c>
      <c r="H362" s="6"/>
      <c r="I362" s="6"/>
      <c r="J362" s="6">
        <v>30</v>
      </c>
      <c r="K362" s="21"/>
      <c r="L362" s="21" t="s">
        <v>871</v>
      </c>
      <c r="M362" s="6" t="s">
        <v>930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ht="14.4" hidden="1" x14ac:dyDescent="0.35">
      <c r="A363" s="22" t="s">
        <v>931</v>
      </c>
      <c r="B363" s="2" t="s">
        <v>823</v>
      </c>
      <c r="C363" s="21">
        <v>1.5</v>
      </c>
      <c r="D363" s="23">
        <v>755</v>
      </c>
      <c r="E363" s="23"/>
      <c r="F363" s="28"/>
      <c r="G363" s="3" t="s">
        <v>923</v>
      </c>
      <c r="H363" s="6"/>
      <c r="I363" s="6"/>
      <c r="J363" s="6">
        <v>63</v>
      </c>
      <c r="K363" s="21"/>
      <c r="L363" s="21" t="s">
        <v>924</v>
      </c>
      <c r="M363" s="6" t="s">
        <v>925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ht="14.4" hidden="1" x14ac:dyDescent="0.35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812</v>
      </c>
      <c r="H364" s="6"/>
      <c r="I364" s="6"/>
      <c r="J364" s="6">
        <v>30</v>
      </c>
      <c r="K364" s="21"/>
      <c r="L364" s="21" t="s">
        <v>871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ht="14.4" hidden="1" x14ac:dyDescent="0.35">
      <c r="A365" s="22" t="s">
        <v>932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900</v>
      </c>
      <c r="H365" s="6"/>
      <c r="I365" s="6"/>
      <c r="J365" s="6">
        <v>30</v>
      </c>
      <c r="K365" s="21"/>
      <c r="L365" s="21" t="s">
        <v>871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ht="14.4" hidden="1" x14ac:dyDescent="0.35">
      <c r="A366" s="3" t="s">
        <v>933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934</v>
      </c>
      <c r="H366" s="6"/>
      <c r="I366" s="6"/>
      <c r="J366" s="6">
        <v>30</v>
      </c>
      <c r="K366" s="21"/>
      <c r="L366" s="21" t="s">
        <v>871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ht="14.4" hidden="1" x14ac:dyDescent="0.35">
      <c r="A367" s="3" t="s">
        <v>740</v>
      </c>
      <c r="B367" s="2" t="s">
        <v>54</v>
      </c>
      <c r="C367" s="21">
        <v>4</v>
      </c>
      <c r="D367" s="23" t="s">
        <v>935</v>
      </c>
      <c r="E367" s="23"/>
      <c r="F367" s="28"/>
      <c r="G367" s="3" t="s">
        <v>936</v>
      </c>
      <c r="H367" s="6"/>
      <c r="I367" s="6"/>
      <c r="J367" s="6">
        <v>30</v>
      </c>
      <c r="K367" s="21"/>
      <c r="L367" s="21" t="s">
        <v>871</v>
      </c>
      <c r="M367" s="6" t="s">
        <v>884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ht="14.4" hidden="1" x14ac:dyDescent="0.35">
      <c r="A368" s="3" t="s">
        <v>674</v>
      </c>
      <c r="B368" s="2" t="s">
        <v>54</v>
      </c>
      <c r="C368" s="21">
        <v>6</v>
      </c>
      <c r="D368" s="23" t="s">
        <v>892</v>
      </c>
      <c r="E368" s="23"/>
      <c r="F368" s="28"/>
      <c r="G368" s="3" t="s">
        <v>883</v>
      </c>
      <c r="H368" s="6"/>
      <c r="I368" s="6"/>
      <c r="J368" s="6">
        <v>30</v>
      </c>
      <c r="K368" s="21"/>
      <c r="L368" s="21" t="s">
        <v>896</v>
      </c>
      <c r="M368" s="6" t="s">
        <v>884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ht="14.4" hidden="1" x14ac:dyDescent="0.35">
      <c r="A369" s="3" t="s">
        <v>937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934</v>
      </c>
      <c r="H369" s="4"/>
      <c r="I369" s="6"/>
      <c r="J369" s="4">
        <v>30</v>
      </c>
      <c r="K369" s="5"/>
      <c r="L369" s="5" t="s">
        <v>938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ht="14.4" hidden="1" x14ac:dyDescent="0.35">
      <c r="A370" s="22" t="s">
        <v>939</v>
      </c>
      <c r="B370" s="2" t="s">
        <v>823</v>
      </c>
      <c r="C370" s="21">
        <v>1.06</v>
      </c>
      <c r="D370" s="23" t="s">
        <v>940</v>
      </c>
      <c r="E370" s="23"/>
      <c r="F370" s="28"/>
      <c r="G370" s="3" t="s">
        <v>941</v>
      </c>
      <c r="H370" s="6"/>
      <c r="I370" s="6"/>
      <c r="J370" s="6">
        <v>30</v>
      </c>
      <c r="K370" s="21"/>
      <c r="L370" s="21" t="s">
        <v>896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ht="14.4" hidden="1" x14ac:dyDescent="0.35">
      <c r="A371" s="22" t="s">
        <v>942</v>
      </c>
      <c r="B371" s="2" t="s">
        <v>823</v>
      </c>
      <c r="C371" s="21">
        <v>1.9</v>
      </c>
      <c r="D371" s="23" t="s">
        <v>892</v>
      </c>
      <c r="E371" s="23"/>
      <c r="F371" s="28"/>
      <c r="G371" s="3" t="s">
        <v>943</v>
      </c>
      <c r="H371" s="6"/>
      <c r="I371" s="6"/>
      <c r="J371" s="6">
        <v>30</v>
      </c>
      <c r="K371" s="21"/>
      <c r="L371" s="21" t="s">
        <v>896</v>
      </c>
      <c r="M371" s="6" t="s">
        <v>925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ht="14.4" hidden="1" x14ac:dyDescent="0.35">
      <c r="A372" s="22" t="s">
        <v>944</v>
      </c>
      <c r="B372" s="2" t="s">
        <v>823</v>
      </c>
      <c r="C372" s="21">
        <v>1.5</v>
      </c>
      <c r="D372" s="23">
        <v>490</v>
      </c>
      <c r="E372" s="23"/>
      <c r="F372" s="28"/>
      <c r="G372" s="3" t="s">
        <v>923</v>
      </c>
      <c r="H372" s="4"/>
      <c r="I372" s="4"/>
      <c r="J372" s="4">
        <v>63</v>
      </c>
      <c r="K372" s="5"/>
      <c r="L372" s="5" t="s">
        <v>924</v>
      </c>
      <c r="M372" s="4" t="s">
        <v>925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ht="14.4" hidden="1" x14ac:dyDescent="0.35">
      <c r="A373" s="3" t="s">
        <v>945</v>
      </c>
      <c r="B373" s="2" t="s">
        <v>54</v>
      </c>
      <c r="C373" s="21">
        <v>4.75</v>
      </c>
      <c r="D373" s="23" t="s">
        <v>892</v>
      </c>
      <c r="E373" s="23"/>
      <c r="F373" s="28"/>
      <c r="G373" s="3" t="s">
        <v>946</v>
      </c>
      <c r="H373" s="4"/>
      <c r="I373" s="6"/>
      <c r="J373" s="4">
        <v>30</v>
      </c>
      <c r="K373" s="5"/>
      <c r="L373" s="5" t="s">
        <v>896</v>
      </c>
      <c r="M373" s="4" t="s">
        <v>851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ht="14.4" hidden="1" x14ac:dyDescent="0.35">
      <c r="A374" s="3" t="s">
        <v>947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934</v>
      </c>
      <c r="H374" s="4"/>
      <c r="I374" s="6"/>
      <c r="J374" s="4">
        <v>30</v>
      </c>
      <c r="K374" s="5"/>
      <c r="L374" s="5" t="s">
        <v>871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ht="14.4" hidden="1" x14ac:dyDescent="0.35">
      <c r="A375" s="22" t="s">
        <v>948</v>
      </c>
      <c r="B375" s="2" t="s">
        <v>823</v>
      </c>
      <c r="C375" s="21">
        <v>1.5</v>
      </c>
      <c r="D375" s="23">
        <v>490</v>
      </c>
      <c r="E375" s="23"/>
      <c r="F375" s="28"/>
      <c r="G375" s="3" t="s">
        <v>923</v>
      </c>
      <c r="H375" s="4"/>
      <c r="I375" s="6"/>
      <c r="J375" s="4">
        <v>63</v>
      </c>
      <c r="K375" s="5"/>
      <c r="L375" s="5" t="s">
        <v>924</v>
      </c>
      <c r="M375" s="4" t="s">
        <v>925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ht="14.4" hidden="1" x14ac:dyDescent="0.35">
      <c r="A376" s="3" t="s">
        <v>949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905</v>
      </c>
      <c r="H376" s="6"/>
      <c r="I376" s="6"/>
      <c r="J376" s="6">
        <v>30</v>
      </c>
      <c r="K376" s="5"/>
      <c r="L376" s="5" t="s">
        <v>896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ht="14.4" hidden="1" x14ac:dyDescent="0.35">
      <c r="A377" s="22" t="s">
        <v>950</v>
      </c>
      <c r="B377" s="2" t="s">
        <v>54</v>
      </c>
      <c r="C377" s="21">
        <v>2</v>
      </c>
      <c r="D377" s="23" t="s">
        <v>892</v>
      </c>
      <c r="E377" s="23"/>
      <c r="F377" s="28"/>
      <c r="G377" s="3" t="s">
        <v>951</v>
      </c>
      <c r="H377" s="4"/>
      <c r="I377" s="4"/>
      <c r="J377" s="4">
        <v>30</v>
      </c>
      <c r="K377" s="5"/>
      <c r="L377" s="5" t="s">
        <v>896</v>
      </c>
      <c r="M377" s="4" t="s">
        <v>930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ht="14.4" hidden="1" x14ac:dyDescent="0.35">
      <c r="A378" s="22" t="s">
        <v>952</v>
      </c>
      <c r="B378" s="2" t="s">
        <v>54</v>
      </c>
      <c r="C378" s="21">
        <v>2</v>
      </c>
      <c r="D378" s="23" t="s">
        <v>953</v>
      </c>
      <c r="E378" s="23"/>
      <c r="F378" s="28"/>
      <c r="G378" s="3" t="s">
        <v>954</v>
      </c>
      <c r="H378" s="6"/>
      <c r="I378" s="6"/>
      <c r="J378" s="6">
        <v>30</v>
      </c>
      <c r="K378" s="21"/>
      <c r="L378" s="21" t="s">
        <v>896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ht="14.4" hidden="1" x14ac:dyDescent="0.35">
      <c r="A379" s="22" t="s">
        <v>955</v>
      </c>
      <c r="B379" s="2" t="s">
        <v>823</v>
      </c>
      <c r="C379" s="21">
        <v>1.5</v>
      </c>
      <c r="D379" s="23">
        <v>1200</v>
      </c>
      <c r="E379" s="23"/>
      <c r="F379" s="28"/>
      <c r="G379" s="3" t="s">
        <v>956</v>
      </c>
      <c r="H379" s="6"/>
      <c r="I379" s="6"/>
      <c r="J379" s="6">
        <v>30</v>
      </c>
      <c r="K379" s="21"/>
      <c r="L379" s="21" t="s">
        <v>938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ht="14.4" hidden="1" x14ac:dyDescent="0.35">
      <c r="A380" s="22" t="s">
        <v>957</v>
      </c>
      <c r="B380" s="2" t="s">
        <v>823</v>
      </c>
      <c r="C380" s="21">
        <v>1.5</v>
      </c>
      <c r="D380" s="23" t="s">
        <v>958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896</v>
      </c>
      <c r="M380" s="4" t="s">
        <v>960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ht="14.4" hidden="1" x14ac:dyDescent="0.35">
      <c r="A381" s="22" t="s">
        <v>961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962</v>
      </c>
      <c r="H381" s="6"/>
      <c r="I381" s="6"/>
      <c r="J381" s="6">
        <v>30</v>
      </c>
      <c r="K381" s="21"/>
      <c r="L381" s="21" t="s">
        <v>896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ht="14.4" hidden="1" x14ac:dyDescent="0.35">
      <c r="A382" s="3" t="s">
        <v>963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964</v>
      </c>
      <c r="H382" s="6"/>
      <c r="I382" s="6"/>
      <c r="J382" s="6">
        <v>31</v>
      </c>
      <c r="K382" s="21"/>
      <c r="L382" s="21" t="s">
        <v>896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ht="14.4" hidden="1" x14ac:dyDescent="0.35">
      <c r="A383" s="22" t="s">
        <v>965</v>
      </c>
      <c r="B383" s="2" t="s">
        <v>54</v>
      </c>
      <c r="C383" s="21">
        <v>2</v>
      </c>
      <c r="D383" s="23" t="s">
        <v>892</v>
      </c>
      <c r="E383" s="23"/>
      <c r="F383" s="28"/>
      <c r="G383" s="3" t="s">
        <v>905</v>
      </c>
      <c r="H383" s="6"/>
      <c r="I383" s="6"/>
      <c r="J383" s="6">
        <v>30</v>
      </c>
      <c r="K383" s="21"/>
      <c r="L383" s="21" t="s">
        <v>896</v>
      </c>
      <c r="M383" s="6" t="s">
        <v>930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ht="14.4" x14ac:dyDescent="0.35">
      <c r="A384" s="22" t="s">
        <v>323</v>
      </c>
      <c r="B384" s="2" t="s">
        <v>54</v>
      </c>
      <c r="C384" s="21">
        <v>2.65</v>
      </c>
      <c r="D384" s="23" t="s">
        <v>892</v>
      </c>
      <c r="E384" s="23"/>
      <c r="F384" s="28"/>
      <c r="G384" s="3" t="s">
        <v>915</v>
      </c>
      <c r="H384" s="6"/>
      <c r="I384" s="6"/>
      <c r="J384" s="6">
        <v>30</v>
      </c>
      <c r="K384" s="21"/>
      <c r="L384" s="21" t="s">
        <v>871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ht="14.4" hidden="1" x14ac:dyDescent="0.35">
      <c r="A385" s="3" t="s">
        <v>966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831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ht="14.4" hidden="1" x14ac:dyDescent="0.35">
      <c r="A386" s="22" t="s">
        <v>471</v>
      </c>
      <c r="B386" s="2" t="s">
        <v>54</v>
      </c>
      <c r="C386" s="21">
        <v>2</v>
      </c>
      <c r="D386" s="23" t="s">
        <v>892</v>
      </c>
      <c r="E386" s="23"/>
      <c r="F386" s="28"/>
      <c r="G386" s="3" t="s">
        <v>967</v>
      </c>
      <c r="H386" s="6"/>
      <c r="I386" s="6"/>
      <c r="J386" s="6">
        <v>30</v>
      </c>
      <c r="K386" s="21"/>
      <c r="L386" s="21" t="s">
        <v>896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ht="14.4" x14ac:dyDescent="0.35">
      <c r="A387" s="22" t="s">
        <v>316</v>
      </c>
      <c r="B387" s="2" t="s">
        <v>54</v>
      </c>
      <c r="C387" s="21">
        <v>2.65</v>
      </c>
      <c r="D387" s="23" t="s">
        <v>892</v>
      </c>
      <c r="E387" s="23"/>
      <c r="F387" s="28"/>
      <c r="G387" s="3" t="s">
        <v>968</v>
      </c>
      <c r="H387" s="6"/>
      <c r="I387" s="6"/>
      <c r="J387" s="6">
        <v>30</v>
      </c>
      <c r="K387" s="21"/>
      <c r="L387" s="21" t="s">
        <v>871</v>
      </c>
      <c r="M387" s="4" t="s">
        <v>969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ht="14.4" hidden="1" x14ac:dyDescent="0.35">
      <c r="A388" s="3" t="s">
        <v>970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934</v>
      </c>
      <c r="H388" s="6"/>
      <c r="I388" s="6"/>
      <c r="J388" s="6">
        <v>30</v>
      </c>
      <c r="K388" s="21"/>
      <c r="L388" s="21" t="s">
        <v>896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ht="14.4" hidden="1" x14ac:dyDescent="0.35">
      <c r="A389" s="22" t="s">
        <v>971</v>
      </c>
      <c r="B389" s="2" t="s">
        <v>823</v>
      </c>
      <c r="C389" s="21">
        <v>1.5</v>
      </c>
      <c r="D389" s="23">
        <v>1030</v>
      </c>
      <c r="E389" s="23"/>
      <c r="F389" s="28"/>
      <c r="G389" s="3" t="s">
        <v>887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851</v>
      </c>
      <c r="N389" s="6" t="s">
        <v>888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ht="14.4" hidden="1" x14ac:dyDescent="0.35">
      <c r="A390" s="22" t="s">
        <v>972</v>
      </c>
      <c r="B390" s="2" t="s">
        <v>823</v>
      </c>
      <c r="C390" s="21">
        <v>1.5</v>
      </c>
      <c r="D390" s="23">
        <v>1200</v>
      </c>
      <c r="E390" s="23"/>
      <c r="F390" s="28"/>
      <c r="G390" s="3" t="s">
        <v>887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851</v>
      </c>
      <c r="N390" s="6" t="s">
        <v>888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ht="14.4" hidden="1" x14ac:dyDescent="0.35">
      <c r="A391" s="22" t="s">
        <v>973</v>
      </c>
      <c r="B391" s="2" t="s">
        <v>823</v>
      </c>
      <c r="C391" s="21">
        <v>1.5</v>
      </c>
      <c r="D391" s="23">
        <v>755</v>
      </c>
      <c r="E391" s="23"/>
      <c r="F391" s="28"/>
      <c r="G391" s="3" t="s">
        <v>923</v>
      </c>
      <c r="H391" s="4"/>
      <c r="I391" s="4"/>
      <c r="J391" s="4">
        <v>63</v>
      </c>
      <c r="K391" s="5"/>
      <c r="L391" s="5" t="s">
        <v>924</v>
      </c>
      <c r="M391" s="4" t="s">
        <v>925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ht="14.4" hidden="1" x14ac:dyDescent="0.35">
      <c r="A392" s="22" t="s">
        <v>974</v>
      </c>
      <c r="B392" s="2" t="s">
        <v>823</v>
      </c>
      <c r="C392" s="21">
        <v>1.2</v>
      </c>
      <c r="D392" s="23" t="s">
        <v>892</v>
      </c>
      <c r="E392" s="23"/>
      <c r="F392" s="28"/>
      <c r="G392" s="3" t="s">
        <v>975</v>
      </c>
      <c r="H392" s="6"/>
      <c r="I392" s="6"/>
      <c r="J392" s="6">
        <v>30</v>
      </c>
      <c r="K392" s="21"/>
      <c r="L392" s="21" t="s">
        <v>896</v>
      </c>
      <c r="M392" s="6" t="s">
        <v>925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ht="14.4" hidden="1" x14ac:dyDescent="0.35">
      <c r="A393" s="22" t="s">
        <v>976</v>
      </c>
      <c r="B393" s="2" t="s">
        <v>823</v>
      </c>
      <c r="C393" s="21">
        <v>1.5</v>
      </c>
      <c r="D393" s="23">
        <v>1200</v>
      </c>
      <c r="E393" s="23"/>
      <c r="F393" s="28"/>
      <c r="G393" s="3" t="s">
        <v>887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851</v>
      </c>
      <c r="N393" s="6" t="s">
        <v>888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ht="14.4" hidden="1" x14ac:dyDescent="0.35">
      <c r="A394" s="22" t="s">
        <v>446</v>
      </c>
      <c r="B394" s="2" t="s">
        <v>823</v>
      </c>
      <c r="C394" s="21">
        <v>1.5</v>
      </c>
      <c r="D394" s="23" t="s">
        <v>892</v>
      </c>
      <c r="E394" s="23"/>
      <c r="F394" s="28"/>
      <c r="G394" s="3" t="s">
        <v>977</v>
      </c>
      <c r="H394" s="4"/>
      <c r="I394" s="4"/>
      <c r="J394" s="4">
        <v>30</v>
      </c>
      <c r="K394" s="5"/>
      <c r="L394" s="5" t="s">
        <v>896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ht="14.4" hidden="1" x14ac:dyDescent="0.35">
      <c r="A395" s="22" t="s">
        <v>978</v>
      </c>
      <c r="B395" s="2" t="s">
        <v>823</v>
      </c>
      <c r="C395" s="21">
        <v>1.5</v>
      </c>
      <c r="D395" s="23">
        <v>1200</v>
      </c>
      <c r="E395" s="23"/>
      <c r="F395" s="28"/>
      <c r="G395" s="3" t="s">
        <v>887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851</v>
      </c>
      <c r="N395" s="6" t="s">
        <v>888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ht="14.4" hidden="1" x14ac:dyDescent="0.35">
      <c r="A396" s="22" t="s">
        <v>482</v>
      </c>
      <c r="B396" s="2" t="s">
        <v>823</v>
      </c>
      <c r="C396" s="21">
        <v>1.06</v>
      </c>
      <c r="D396" s="23" t="s">
        <v>979</v>
      </c>
      <c r="E396" s="23"/>
      <c r="F396" s="28"/>
      <c r="G396" s="3" t="s">
        <v>980</v>
      </c>
      <c r="H396" s="6"/>
      <c r="I396" s="6"/>
      <c r="J396" s="6">
        <v>30</v>
      </c>
      <c r="K396" s="21"/>
      <c r="L396" s="21" t="s">
        <v>896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ht="14.4" hidden="1" x14ac:dyDescent="0.35">
      <c r="A397" s="22" t="s">
        <v>981</v>
      </c>
      <c r="B397" s="2" t="s">
        <v>823</v>
      </c>
      <c r="C397" s="21">
        <v>1.5</v>
      </c>
      <c r="D397" s="23">
        <v>490</v>
      </c>
      <c r="E397" s="23"/>
      <c r="F397" s="28"/>
      <c r="G397" s="3" t="s">
        <v>923</v>
      </c>
      <c r="H397" s="4"/>
      <c r="I397" s="4"/>
      <c r="J397" s="4">
        <v>63</v>
      </c>
      <c r="K397" s="5"/>
      <c r="L397" s="5" t="s">
        <v>924</v>
      </c>
      <c r="M397" s="4" t="s">
        <v>925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ht="14.4" hidden="1" x14ac:dyDescent="0.35">
      <c r="A398" s="22" t="s">
        <v>982</v>
      </c>
      <c r="B398" s="2" t="s">
        <v>823</v>
      </c>
      <c r="C398" s="21">
        <v>1.2</v>
      </c>
      <c r="D398" s="23" t="s">
        <v>935</v>
      </c>
      <c r="E398" s="23"/>
      <c r="F398" s="28"/>
      <c r="G398" s="3" t="s">
        <v>983</v>
      </c>
      <c r="H398" s="6"/>
      <c r="I398" s="6"/>
      <c r="J398" s="6">
        <v>30</v>
      </c>
      <c r="K398" s="21"/>
      <c r="L398" s="21" t="s">
        <v>896</v>
      </c>
      <c r="M398" s="6" t="s">
        <v>925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x14ac:dyDescent="0.35">
      <c r="A399" s="22" t="s">
        <v>984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812</v>
      </c>
      <c r="H399" s="6"/>
      <c r="I399" s="6"/>
      <c r="J399" s="6">
        <v>30</v>
      </c>
      <c r="K399" s="21"/>
      <c r="L399" s="21" t="s">
        <v>896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ht="14.4" hidden="1" x14ac:dyDescent="0.35">
      <c r="A400" s="3" t="s">
        <v>985</v>
      </c>
      <c r="B400" s="2" t="s">
        <v>54</v>
      </c>
      <c r="C400" s="21">
        <v>4.25</v>
      </c>
      <c r="D400" s="23" t="s">
        <v>892</v>
      </c>
      <c r="E400" s="23"/>
      <c r="F400" s="28"/>
      <c r="G400" s="3" t="s">
        <v>915</v>
      </c>
      <c r="H400" s="4"/>
      <c r="I400" s="4"/>
      <c r="J400" s="4">
        <v>30</v>
      </c>
      <c r="K400" s="5"/>
      <c r="L400" s="5" t="s">
        <v>896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ht="14.4" hidden="1" x14ac:dyDescent="0.35">
      <c r="A401" s="3" t="s">
        <v>986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839</v>
      </c>
      <c r="H401" s="6"/>
      <c r="I401" s="6"/>
      <c r="J401" s="6">
        <v>30</v>
      </c>
      <c r="K401" s="21"/>
      <c r="L401" s="21" t="s">
        <v>896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ht="14.4" hidden="1" x14ac:dyDescent="0.35">
      <c r="A402" s="22" t="s">
        <v>987</v>
      </c>
      <c r="B402" s="2" t="s">
        <v>823</v>
      </c>
      <c r="C402" s="21">
        <v>0.9</v>
      </c>
      <c r="D402" s="23">
        <v>1200</v>
      </c>
      <c r="E402" s="23"/>
      <c r="F402" s="28"/>
      <c r="G402" s="3" t="s">
        <v>983</v>
      </c>
      <c r="H402" s="4"/>
      <c r="I402" s="4"/>
      <c r="J402" s="4">
        <v>30</v>
      </c>
      <c r="K402" s="5"/>
      <c r="L402" s="5" t="s">
        <v>896</v>
      </c>
      <c r="M402" s="4" t="s">
        <v>925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ht="14.4" hidden="1" x14ac:dyDescent="0.35">
      <c r="A403" s="22" t="s">
        <v>988</v>
      </c>
      <c r="B403" s="2" t="s">
        <v>989</v>
      </c>
      <c r="C403" s="21">
        <v>1.5</v>
      </c>
      <c r="D403" s="23" t="s">
        <v>979</v>
      </c>
      <c r="E403" s="23"/>
      <c r="F403" s="28"/>
      <c r="G403" s="3" t="s">
        <v>990</v>
      </c>
      <c r="H403" s="6"/>
      <c r="I403" s="6"/>
      <c r="J403" s="6">
        <v>30</v>
      </c>
      <c r="K403" s="21"/>
      <c r="L403" s="21" t="s">
        <v>896</v>
      </c>
      <c r="M403" s="6" t="s">
        <v>925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ht="14.4" hidden="1" x14ac:dyDescent="0.35">
      <c r="A404" s="22" t="s">
        <v>991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960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ht="14.4" hidden="1" x14ac:dyDescent="0.35">
      <c r="A405" s="22" t="s">
        <v>992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993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ht="14.4" hidden="1" x14ac:dyDescent="0.35">
      <c r="A406" s="3" t="s">
        <v>994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995</v>
      </c>
      <c r="H406" s="4"/>
      <c r="I406" s="4" t="s">
        <v>751</v>
      </c>
      <c r="J406" s="4">
        <v>59</v>
      </c>
      <c r="K406" s="5"/>
      <c r="L406" s="5" t="s">
        <v>896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ht="14.4" hidden="1" x14ac:dyDescent="0.35">
      <c r="A407" s="22" t="s">
        <v>996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997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ht="14.4" hidden="1" x14ac:dyDescent="0.35">
      <c r="A408" s="22" t="s">
        <v>998</v>
      </c>
      <c r="B408" s="2" t="s">
        <v>823</v>
      </c>
      <c r="C408" s="21">
        <v>0.6</v>
      </c>
      <c r="D408" s="23">
        <v>800</v>
      </c>
      <c r="E408" s="23"/>
      <c r="F408" s="28"/>
      <c r="G408" s="3" t="s">
        <v>999</v>
      </c>
      <c r="H408" s="4"/>
      <c r="I408" s="6"/>
      <c r="J408" s="4">
        <v>30</v>
      </c>
      <c r="K408" s="5"/>
      <c r="L408" s="5" t="s">
        <v>896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ht="14.4" hidden="1" x14ac:dyDescent="0.35">
      <c r="A409" s="22" t="s">
        <v>1000</v>
      </c>
      <c r="B409" s="2" t="s">
        <v>823</v>
      </c>
      <c r="C409" s="21">
        <v>1</v>
      </c>
      <c r="D409" s="23">
        <v>215</v>
      </c>
      <c r="E409" s="23"/>
      <c r="F409" s="28"/>
      <c r="G409" s="3" t="s">
        <v>975</v>
      </c>
      <c r="H409" s="6"/>
      <c r="I409" s="6"/>
      <c r="J409" s="6">
        <v>30</v>
      </c>
      <c r="K409" s="21"/>
      <c r="L409" s="21" t="s">
        <v>896</v>
      </c>
      <c r="M409" s="6" t="s">
        <v>1001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ht="14.4" hidden="1" x14ac:dyDescent="0.35">
      <c r="A410" s="22" t="s">
        <v>1002</v>
      </c>
      <c r="B410" s="2" t="s">
        <v>823</v>
      </c>
      <c r="C410" s="21">
        <v>1</v>
      </c>
      <c r="D410" s="23">
        <v>228</v>
      </c>
      <c r="E410" s="23"/>
      <c r="F410" s="28"/>
      <c r="G410" s="3" t="s">
        <v>975</v>
      </c>
      <c r="H410" s="6"/>
      <c r="I410" s="6"/>
      <c r="J410" s="6">
        <v>30</v>
      </c>
      <c r="K410" s="21"/>
      <c r="L410" s="21" t="s">
        <v>896</v>
      </c>
      <c r="M410" s="6" t="s">
        <v>1001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ht="14.4" hidden="1" x14ac:dyDescent="0.35">
      <c r="A411" s="22" t="s">
        <v>414</v>
      </c>
      <c r="B411" s="2" t="s">
        <v>823</v>
      </c>
      <c r="C411" s="21">
        <v>1</v>
      </c>
      <c r="D411" s="23">
        <v>1200</v>
      </c>
      <c r="E411" s="23"/>
      <c r="F411" s="28"/>
      <c r="G411" s="3" t="s">
        <v>1003</v>
      </c>
      <c r="H411" s="4"/>
      <c r="I411" s="6"/>
      <c r="J411" s="4">
        <v>30</v>
      </c>
      <c r="K411" s="5"/>
      <c r="L411" s="5" t="s">
        <v>896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ht="14.4" hidden="1" x14ac:dyDescent="0.35">
      <c r="A412" s="22" t="s">
        <v>1004</v>
      </c>
      <c r="B412" s="2" t="s">
        <v>823</v>
      </c>
      <c r="C412" s="21">
        <v>1.2</v>
      </c>
      <c r="D412" s="23" t="s">
        <v>892</v>
      </c>
      <c r="E412" s="23"/>
      <c r="F412" s="28"/>
      <c r="G412" s="3" t="s">
        <v>999</v>
      </c>
      <c r="H412" s="6"/>
      <c r="I412" s="6"/>
      <c r="J412" s="6">
        <v>30</v>
      </c>
      <c r="K412" s="21"/>
      <c r="L412" s="21" t="s">
        <v>896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ht="14.4" hidden="1" x14ac:dyDescent="0.35">
      <c r="A413" s="22" t="s">
        <v>1005</v>
      </c>
      <c r="B413" s="2" t="s">
        <v>823</v>
      </c>
      <c r="C413" s="21">
        <v>1.2</v>
      </c>
      <c r="D413" s="23">
        <v>1200</v>
      </c>
      <c r="E413" s="23"/>
      <c r="F413" s="28"/>
      <c r="G413" s="3" t="s">
        <v>983</v>
      </c>
      <c r="H413" s="6"/>
      <c r="I413" s="6"/>
      <c r="J413" s="6">
        <v>30</v>
      </c>
      <c r="K413" s="21"/>
      <c r="L413" s="21" t="s">
        <v>896</v>
      </c>
      <c r="M413" s="6" t="s">
        <v>1006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ht="14.4" hidden="1" x14ac:dyDescent="0.35">
      <c r="A414" s="22" t="s">
        <v>1007</v>
      </c>
      <c r="B414" s="2" t="s">
        <v>823</v>
      </c>
      <c r="C414" s="21">
        <v>1.25</v>
      </c>
      <c r="D414" s="23" t="s">
        <v>892</v>
      </c>
      <c r="E414" s="23"/>
      <c r="F414" s="28"/>
      <c r="G414" s="3" t="s">
        <v>1008</v>
      </c>
      <c r="H414" s="6"/>
      <c r="I414" s="6"/>
      <c r="J414" s="6">
        <v>30</v>
      </c>
      <c r="K414" s="21"/>
      <c r="L414" s="21" t="s">
        <v>896</v>
      </c>
      <c r="M414" s="6" t="s">
        <v>884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ht="14.4" hidden="1" x14ac:dyDescent="0.35">
      <c r="A415" s="22" t="s">
        <v>1009</v>
      </c>
      <c r="B415" s="2" t="s">
        <v>823</v>
      </c>
      <c r="C415" s="21">
        <v>1.5</v>
      </c>
      <c r="D415" s="23"/>
      <c r="E415" s="23"/>
      <c r="F415" s="77"/>
      <c r="G415" s="3" t="s">
        <v>887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851</v>
      </c>
      <c r="N415" s="6" t="s">
        <v>888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ht="14.4" hidden="1" x14ac:dyDescent="0.35">
      <c r="A416" s="22" t="s">
        <v>1010</v>
      </c>
      <c r="B416" s="2" t="s">
        <v>823</v>
      </c>
      <c r="C416" s="21">
        <v>1.5</v>
      </c>
      <c r="D416" s="23">
        <v>1200</v>
      </c>
      <c r="E416" s="23"/>
      <c r="F416" s="28"/>
      <c r="G416" s="3" t="s">
        <v>887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851</v>
      </c>
      <c r="N416" s="6" t="s">
        <v>888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ht="14.4" hidden="1" x14ac:dyDescent="0.35">
      <c r="A417" s="22" t="s">
        <v>1011</v>
      </c>
      <c r="B417" s="2" t="s">
        <v>823</v>
      </c>
      <c r="C417" s="21">
        <v>1.5</v>
      </c>
      <c r="D417" s="23">
        <v>1200</v>
      </c>
      <c r="E417" s="23"/>
      <c r="F417" s="28"/>
      <c r="G417" s="3" t="s">
        <v>887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851</v>
      </c>
      <c r="N417" s="6" t="s">
        <v>888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ht="14.4" hidden="1" x14ac:dyDescent="0.35">
      <c r="A418" s="22" t="s">
        <v>1012</v>
      </c>
      <c r="B418" s="2" t="s">
        <v>823</v>
      </c>
      <c r="C418" s="21">
        <v>2</v>
      </c>
      <c r="D418" s="23"/>
      <c r="E418" s="23"/>
      <c r="F418" s="77"/>
      <c r="G418" s="3" t="s">
        <v>887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851</v>
      </c>
      <c r="N418" s="6" t="s">
        <v>888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ht="14.4" hidden="1" x14ac:dyDescent="0.35">
      <c r="A419" s="22" t="s">
        <v>1013</v>
      </c>
      <c r="B419" s="2" t="s">
        <v>823</v>
      </c>
      <c r="C419" s="21">
        <v>1.5</v>
      </c>
      <c r="D419" s="23">
        <v>1200</v>
      </c>
      <c r="E419" s="23"/>
      <c r="F419" s="28"/>
      <c r="G419" s="3" t="s">
        <v>887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851</v>
      </c>
      <c r="N419" s="6" t="s">
        <v>888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ht="14.4" hidden="1" x14ac:dyDescent="0.35">
      <c r="A420" s="22" t="s">
        <v>1014</v>
      </c>
      <c r="B420" s="2" t="s">
        <v>823</v>
      </c>
      <c r="C420" s="21">
        <v>1.5</v>
      </c>
      <c r="D420" s="23" t="s">
        <v>892</v>
      </c>
      <c r="E420" s="23"/>
      <c r="F420" s="28"/>
      <c r="G420" s="3" t="s">
        <v>1015</v>
      </c>
      <c r="H420" s="6"/>
      <c r="I420" s="6"/>
      <c r="J420" s="6">
        <v>30</v>
      </c>
      <c r="K420" s="21"/>
      <c r="L420" s="21" t="s">
        <v>896</v>
      </c>
      <c r="M420" s="6" t="s">
        <v>851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ht="14.4" hidden="1" x14ac:dyDescent="0.35">
      <c r="A421" s="22" t="s">
        <v>1016</v>
      </c>
      <c r="B421" s="2" t="s">
        <v>823</v>
      </c>
      <c r="C421" s="21">
        <v>1.5</v>
      </c>
      <c r="D421" s="23" t="s">
        <v>935</v>
      </c>
      <c r="E421" s="23"/>
      <c r="F421" s="28"/>
      <c r="G421" s="3" t="s">
        <v>1017</v>
      </c>
      <c r="H421" s="6"/>
      <c r="I421" s="6"/>
      <c r="J421" s="6">
        <v>30</v>
      </c>
      <c r="K421" s="21"/>
      <c r="L421" s="21" t="s">
        <v>896</v>
      </c>
      <c r="M421" s="6" t="s">
        <v>925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ht="14.4" hidden="1" x14ac:dyDescent="0.35">
      <c r="A422" s="22" t="s">
        <v>1018</v>
      </c>
      <c r="B422" s="2" t="s">
        <v>823</v>
      </c>
      <c r="C422" s="21">
        <v>1.5</v>
      </c>
      <c r="D422" s="23" t="s">
        <v>892</v>
      </c>
      <c r="E422" s="23"/>
      <c r="F422" s="28"/>
      <c r="G422" s="3" t="s">
        <v>1019</v>
      </c>
      <c r="H422" s="6"/>
      <c r="I422" s="6"/>
      <c r="J422" s="6">
        <v>30</v>
      </c>
      <c r="K422" s="21"/>
      <c r="L422" s="21" t="s">
        <v>896</v>
      </c>
      <c r="M422" s="6" t="s">
        <v>851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ht="14.4" hidden="1" x14ac:dyDescent="0.35">
      <c r="A423" s="22" t="s">
        <v>1020</v>
      </c>
      <c r="B423" s="2" t="s">
        <v>823</v>
      </c>
      <c r="C423" s="21">
        <v>1.5</v>
      </c>
      <c r="D423" s="23" t="s">
        <v>1021</v>
      </c>
      <c r="E423" s="23"/>
      <c r="F423" s="28"/>
      <c r="G423" s="3" t="s">
        <v>1022</v>
      </c>
      <c r="H423" s="4"/>
      <c r="I423" s="6"/>
      <c r="J423" s="4">
        <v>30</v>
      </c>
      <c r="K423" s="5"/>
      <c r="L423" s="5" t="s">
        <v>896</v>
      </c>
      <c r="M423" s="4" t="s">
        <v>1001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ht="14.4" hidden="1" x14ac:dyDescent="0.35">
      <c r="A424" s="22" t="s">
        <v>1023</v>
      </c>
      <c r="B424" s="2" t="s">
        <v>989</v>
      </c>
      <c r="C424" s="21">
        <v>1.5</v>
      </c>
      <c r="D424" s="23" t="s">
        <v>1021</v>
      </c>
      <c r="E424" s="23"/>
      <c r="F424" s="28"/>
      <c r="G424" s="3" t="s">
        <v>1024</v>
      </c>
      <c r="H424" s="4"/>
      <c r="I424" s="6"/>
      <c r="J424" s="4">
        <v>30</v>
      </c>
      <c r="K424" s="5"/>
      <c r="L424" s="5" t="s">
        <v>896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ht="14.4" hidden="1" x14ac:dyDescent="0.35">
      <c r="A425" s="22" t="s">
        <v>1025</v>
      </c>
      <c r="B425" s="2" t="s">
        <v>823</v>
      </c>
      <c r="C425" s="21">
        <v>1.9</v>
      </c>
      <c r="D425" s="23" t="s">
        <v>958</v>
      </c>
      <c r="E425" s="23"/>
      <c r="F425" s="28"/>
      <c r="G425" s="3" t="s">
        <v>1026</v>
      </c>
      <c r="H425" s="6"/>
      <c r="I425" s="6"/>
      <c r="J425" s="6">
        <v>30</v>
      </c>
      <c r="K425" s="21"/>
      <c r="L425" s="21" t="s">
        <v>896</v>
      </c>
      <c r="M425" s="6" t="s">
        <v>851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ht="14.4" hidden="1" x14ac:dyDescent="0.35">
      <c r="A426" s="22" t="s">
        <v>1027</v>
      </c>
      <c r="B426" s="2" t="s">
        <v>823</v>
      </c>
      <c r="C426" s="21">
        <v>1.9</v>
      </c>
      <c r="D426" s="23" t="s">
        <v>892</v>
      </c>
      <c r="E426" s="23"/>
      <c r="F426" s="28"/>
      <c r="G426" s="3" t="s">
        <v>1026</v>
      </c>
      <c r="H426" s="6"/>
      <c r="I426" s="6"/>
      <c r="J426" s="6">
        <v>30</v>
      </c>
      <c r="K426" s="21"/>
      <c r="L426" s="21" t="s">
        <v>896</v>
      </c>
      <c r="M426" s="6" t="s">
        <v>925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ht="14.4" hidden="1" x14ac:dyDescent="0.35">
      <c r="A427" s="22" t="s">
        <v>1028</v>
      </c>
      <c r="B427" s="2" t="s">
        <v>823</v>
      </c>
      <c r="C427" s="21">
        <v>1.9</v>
      </c>
      <c r="D427" s="23" t="s">
        <v>958</v>
      </c>
      <c r="E427" s="23"/>
      <c r="F427" s="28"/>
      <c r="G427" s="3" t="s">
        <v>1026</v>
      </c>
      <c r="H427" s="6"/>
      <c r="I427" s="6"/>
      <c r="J427" s="6">
        <v>30</v>
      </c>
      <c r="K427" s="21"/>
      <c r="L427" s="21" t="s">
        <v>896</v>
      </c>
      <c r="M427" s="6" t="s">
        <v>925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ht="14.4" hidden="1" x14ac:dyDescent="0.35">
      <c r="A428" s="22" t="s">
        <v>1029</v>
      </c>
      <c r="B428" s="2" t="s">
        <v>823</v>
      </c>
      <c r="C428" s="21">
        <v>1.9</v>
      </c>
      <c r="D428" s="23" t="s">
        <v>958</v>
      </c>
      <c r="E428" s="23"/>
      <c r="F428" s="28"/>
      <c r="G428" s="3" t="s">
        <v>1030</v>
      </c>
      <c r="H428" s="6"/>
      <c r="I428" s="6"/>
      <c r="J428" s="6">
        <v>30</v>
      </c>
      <c r="K428" s="21"/>
      <c r="L428" s="21" t="s">
        <v>896</v>
      </c>
      <c r="M428" s="4" t="s">
        <v>925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ht="14.4" hidden="1" x14ac:dyDescent="0.35">
      <c r="A429" s="22" t="s">
        <v>1031</v>
      </c>
      <c r="B429" s="2" t="s">
        <v>823</v>
      </c>
      <c r="C429" s="21">
        <v>1.9</v>
      </c>
      <c r="D429" s="23">
        <v>1200</v>
      </c>
      <c r="E429" s="23"/>
      <c r="F429" s="28"/>
      <c r="G429" s="3" t="s">
        <v>1032</v>
      </c>
      <c r="H429" s="6"/>
      <c r="I429" s="6"/>
      <c r="J429" s="6">
        <v>30</v>
      </c>
      <c r="K429" s="21"/>
      <c r="L429" s="21" t="s">
        <v>896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ht="14.4" hidden="1" x14ac:dyDescent="0.35">
      <c r="A430" s="22" t="s">
        <v>1033</v>
      </c>
      <c r="B430" s="2" t="s">
        <v>989</v>
      </c>
      <c r="C430" s="21">
        <v>2</v>
      </c>
      <c r="D430" s="23" t="s">
        <v>953</v>
      </c>
      <c r="E430" s="23"/>
      <c r="F430" s="28"/>
      <c r="G430" s="3" t="s">
        <v>1034</v>
      </c>
      <c r="H430" s="4"/>
      <c r="I430" s="4"/>
      <c r="J430" s="4">
        <v>30</v>
      </c>
      <c r="K430" s="5"/>
      <c r="L430" s="5" t="s">
        <v>896</v>
      </c>
      <c r="M430" s="4" t="s">
        <v>925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ht="14.4" hidden="1" x14ac:dyDescent="0.35">
      <c r="A431" s="22" t="s">
        <v>1035</v>
      </c>
      <c r="B431" s="2" t="s">
        <v>823</v>
      </c>
      <c r="C431" s="21">
        <v>2</v>
      </c>
      <c r="D431" s="23" t="s">
        <v>1036</v>
      </c>
      <c r="E431" s="23"/>
      <c r="F431" s="28"/>
      <c r="G431" s="3" t="s">
        <v>1037</v>
      </c>
      <c r="H431" s="6"/>
      <c r="I431" s="6"/>
      <c r="J431" s="6">
        <v>30</v>
      </c>
      <c r="K431" s="21"/>
      <c r="L431" s="21" t="s">
        <v>896</v>
      </c>
      <c r="M431" s="6" t="s">
        <v>969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ht="14.4" hidden="1" x14ac:dyDescent="0.35">
      <c r="A432" s="22" t="s">
        <v>642</v>
      </c>
      <c r="B432" s="2" t="s">
        <v>54</v>
      </c>
      <c r="C432" s="21">
        <v>2</v>
      </c>
      <c r="D432" s="23" t="s">
        <v>892</v>
      </c>
      <c r="E432" s="23"/>
      <c r="F432" s="28"/>
      <c r="G432" s="3" t="s">
        <v>1038</v>
      </c>
      <c r="H432" s="4"/>
      <c r="I432" s="4"/>
      <c r="J432" s="4">
        <v>30</v>
      </c>
      <c r="K432" s="5"/>
      <c r="L432" s="5" t="s">
        <v>896</v>
      </c>
      <c r="M432" s="4" t="s">
        <v>1039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ht="14.4" hidden="1" x14ac:dyDescent="0.35">
      <c r="A433" s="22" t="s">
        <v>1040</v>
      </c>
      <c r="B433" s="2" t="s">
        <v>823</v>
      </c>
      <c r="C433" s="21">
        <v>2</v>
      </c>
      <c r="D433" s="23" t="s">
        <v>892</v>
      </c>
      <c r="E433" s="23"/>
      <c r="F433" s="28"/>
      <c r="G433" s="3" t="s">
        <v>1041</v>
      </c>
      <c r="H433" s="4"/>
      <c r="I433" s="4"/>
      <c r="J433" s="4">
        <v>30</v>
      </c>
      <c r="K433" s="5"/>
      <c r="L433" s="5" t="s">
        <v>896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ht="14.4" hidden="1" x14ac:dyDescent="0.35">
      <c r="A434" s="22" t="s">
        <v>1042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905</v>
      </c>
      <c r="H434" s="6"/>
      <c r="I434" s="6"/>
      <c r="J434" s="6">
        <v>30</v>
      </c>
      <c r="K434" s="21"/>
      <c r="L434" s="21" t="s">
        <v>896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ht="14.4" hidden="1" x14ac:dyDescent="0.35">
      <c r="A435" s="22" t="s">
        <v>1043</v>
      </c>
      <c r="B435" s="2" t="s">
        <v>823</v>
      </c>
      <c r="C435" s="21">
        <v>2.25</v>
      </c>
      <c r="D435" s="23" t="s">
        <v>892</v>
      </c>
      <c r="E435" s="23"/>
      <c r="F435" s="28"/>
      <c r="G435" s="3" t="s">
        <v>1044</v>
      </c>
      <c r="H435" s="4"/>
      <c r="I435" s="6"/>
      <c r="J435" s="4">
        <v>30</v>
      </c>
      <c r="K435" s="5"/>
      <c r="L435" s="5" t="s">
        <v>896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ht="14.4" hidden="1" x14ac:dyDescent="0.35">
      <c r="A436" s="22" t="s">
        <v>1045</v>
      </c>
      <c r="B436" s="2" t="s">
        <v>54</v>
      </c>
      <c r="C436" s="21">
        <v>2.25</v>
      </c>
      <c r="D436" s="23" t="s">
        <v>892</v>
      </c>
      <c r="E436" s="23"/>
      <c r="F436" s="28"/>
      <c r="G436" s="3" t="s">
        <v>1046</v>
      </c>
      <c r="H436" s="6"/>
      <c r="I436" s="6"/>
      <c r="J436" s="6">
        <v>30</v>
      </c>
      <c r="K436" s="21"/>
      <c r="L436" s="21" t="s">
        <v>896</v>
      </c>
      <c r="M436" s="6" t="s">
        <v>884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ht="14.4" hidden="1" x14ac:dyDescent="0.35">
      <c r="A437" s="22" t="s">
        <v>1047</v>
      </c>
      <c r="B437" s="2" t="s">
        <v>54</v>
      </c>
      <c r="C437" s="21">
        <v>2.25</v>
      </c>
      <c r="D437" s="23" t="s">
        <v>892</v>
      </c>
      <c r="E437" s="23"/>
      <c r="F437" s="28"/>
      <c r="G437" s="3" t="s">
        <v>1048</v>
      </c>
      <c r="H437" s="6"/>
      <c r="I437" s="6"/>
      <c r="J437" s="6">
        <v>30</v>
      </c>
      <c r="K437" s="21"/>
      <c r="L437" s="21" t="s">
        <v>896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x14ac:dyDescent="0.35">
      <c r="A438" s="22" t="s">
        <v>398</v>
      </c>
      <c r="B438" s="2" t="s">
        <v>54</v>
      </c>
      <c r="C438" s="21">
        <v>2.5</v>
      </c>
      <c r="D438" s="23" t="s">
        <v>1049</v>
      </c>
      <c r="E438" s="23"/>
      <c r="F438" s="28"/>
      <c r="G438" s="3" t="s">
        <v>1050</v>
      </c>
      <c r="H438" s="6"/>
      <c r="I438" s="6"/>
      <c r="J438" s="6">
        <v>30</v>
      </c>
      <c r="K438" s="21"/>
      <c r="L438" s="21" t="s">
        <v>896</v>
      </c>
      <c r="M438" s="6" t="s">
        <v>969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x14ac:dyDescent="0.35">
      <c r="A439" s="22" t="s">
        <v>745</v>
      </c>
      <c r="B439" s="2" t="s">
        <v>54</v>
      </c>
      <c r="C439" s="21">
        <v>2.5</v>
      </c>
      <c r="D439" s="23" t="s">
        <v>1051</v>
      </c>
      <c r="E439" s="23"/>
      <c r="F439" s="28"/>
      <c r="G439" s="3" t="s">
        <v>1048</v>
      </c>
      <c r="H439" s="6"/>
      <c r="I439" s="6"/>
      <c r="J439" s="6">
        <v>30</v>
      </c>
      <c r="K439" s="21"/>
      <c r="L439" s="21" t="s">
        <v>896</v>
      </c>
      <c r="M439" s="6" t="s">
        <v>925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x14ac:dyDescent="0.35">
      <c r="A440" s="22" t="s">
        <v>1052</v>
      </c>
      <c r="B440" s="2" t="s">
        <v>54</v>
      </c>
      <c r="C440" s="21">
        <v>2.5</v>
      </c>
      <c r="D440" s="23" t="s">
        <v>892</v>
      </c>
      <c r="E440" s="23"/>
      <c r="F440" s="28"/>
      <c r="G440" s="3" t="s">
        <v>915</v>
      </c>
      <c r="H440" s="4"/>
      <c r="I440" s="4"/>
      <c r="J440" s="4">
        <v>30</v>
      </c>
      <c r="K440" s="5"/>
      <c r="L440" s="5" t="s">
        <v>896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x14ac:dyDescent="0.35">
      <c r="A441" s="22" t="s">
        <v>1053</v>
      </c>
      <c r="B441" s="2" t="s">
        <v>54</v>
      </c>
      <c r="C441" s="21">
        <v>2.5</v>
      </c>
      <c r="D441" s="23" t="s">
        <v>892</v>
      </c>
      <c r="E441" s="23"/>
      <c r="F441" s="28"/>
      <c r="G441" s="3" t="s">
        <v>918</v>
      </c>
      <c r="H441" s="4"/>
      <c r="I441" s="4"/>
      <c r="J441" s="4">
        <v>30</v>
      </c>
      <c r="K441" s="5"/>
      <c r="L441" s="5" t="s">
        <v>896</v>
      </c>
      <c r="M441" s="4" t="s">
        <v>960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ht="14.4" hidden="1" x14ac:dyDescent="0.35">
      <c r="A442" s="22" t="s">
        <v>1054</v>
      </c>
      <c r="B442" s="2" t="s">
        <v>54</v>
      </c>
      <c r="C442" s="21">
        <v>3</v>
      </c>
      <c r="D442" s="23" t="s">
        <v>892</v>
      </c>
      <c r="E442" s="23"/>
      <c r="F442" s="28"/>
      <c r="G442" s="3" t="s">
        <v>1055</v>
      </c>
      <c r="H442" s="6"/>
      <c r="I442" s="6"/>
      <c r="J442" s="6">
        <v>30</v>
      </c>
      <c r="K442" s="21"/>
      <c r="L442" s="21" t="s">
        <v>896</v>
      </c>
      <c r="M442" s="6" t="s">
        <v>884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ht="14.4" hidden="1" x14ac:dyDescent="0.35">
      <c r="A443" s="22" t="s">
        <v>1056</v>
      </c>
      <c r="B443" s="2" t="s">
        <v>54</v>
      </c>
      <c r="C443" s="21">
        <v>3</v>
      </c>
      <c r="D443" s="23" t="s">
        <v>892</v>
      </c>
      <c r="E443" s="23"/>
      <c r="F443" s="28"/>
      <c r="G443" s="3" t="s">
        <v>1057</v>
      </c>
      <c r="H443" s="6"/>
      <c r="I443" s="6"/>
      <c r="J443" s="6">
        <v>30</v>
      </c>
      <c r="K443" s="21"/>
      <c r="L443" s="21" t="s">
        <v>896</v>
      </c>
      <c r="M443" s="6" t="s">
        <v>851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ht="14.4" hidden="1" x14ac:dyDescent="0.35">
      <c r="A444" s="22" t="s">
        <v>1058</v>
      </c>
      <c r="B444" s="2" t="s">
        <v>54</v>
      </c>
      <c r="C444" s="21">
        <v>3</v>
      </c>
      <c r="D444" s="23" t="s">
        <v>1059</v>
      </c>
      <c r="E444" s="23"/>
      <c r="F444" s="28"/>
      <c r="G444" s="3" t="s">
        <v>1060</v>
      </c>
      <c r="H444" s="6"/>
      <c r="I444" s="6"/>
      <c r="J444" s="6">
        <v>30</v>
      </c>
      <c r="K444" s="21"/>
      <c r="L444" s="21" t="s">
        <v>896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ht="14.4" hidden="1" x14ac:dyDescent="0.35">
      <c r="A445" s="22" t="s">
        <v>1061</v>
      </c>
      <c r="B445" s="2" t="s">
        <v>54</v>
      </c>
      <c r="C445" s="21">
        <v>3</v>
      </c>
      <c r="D445" s="23" t="s">
        <v>892</v>
      </c>
      <c r="E445" s="23"/>
      <c r="F445" s="28"/>
      <c r="G445" s="3" t="s">
        <v>839</v>
      </c>
      <c r="H445" s="6"/>
      <c r="I445" s="6"/>
      <c r="J445" s="6">
        <v>30</v>
      </c>
      <c r="K445" s="21"/>
      <c r="L445" s="21" t="s">
        <v>896</v>
      </c>
      <c r="M445" s="6" t="s">
        <v>930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ht="14.4" hidden="1" x14ac:dyDescent="0.35">
      <c r="A446" s="22" t="s">
        <v>1062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900</v>
      </c>
      <c r="H446" s="4"/>
      <c r="I446" s="6"/>
      <c r="J446" s="4">
        <v>30</v>
      </c>
      <c r="K446" s="5"/>
      <c r="L446" s="5" t="s">
        <v>896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ht="14.4" hidden="1" x14ac:dyDescent="0.35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ht="14.4" hidden="1" x14ac:dyDescent="0.35">
      <c r="A448" s="3" t="s">
        <v>1063</v>
      </c>
      <c r="B448" s="2" t="s">
        <v>54</v>
      </c>
      <c r="C448" s="21">
        <v>3.35</v>
      </c>
      <c r="D448" s="23" t="s">
        <v>1021</v>
      </c>
      <c r="E448" s="23"/>
      <c r="F448" s="28"/>
      <c r="G448" s="3" t="s">
        <v>968</v>
      </c>
      <c r="H448" s="6"/>
      <c r="I448" s="6"/>
      <c r="J448" s="6">
        <v>30</v>
      </c>
      <c r="K448" s="21"/>
      <c r="L448" s="21" t="s">
        <v>896</v>
      </c>
      <c r="M448" s="6" t="s">
        <v>925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ht="14.4" hidden="1" x14ac:dyDescent="0.35">
      <c r="A449" s="3" t="s">
        <v>1064</v>
      </c>
      <c r="B449" s="2" t="s">
        <v>54</v>
      </c>
      <c r="C449" s="21">
        <v>3.35</v>
      </c>
      <c r="D449" s="23" t="s">
        <v>892</v>
      </c>
      <c r="E449" s="23"/>
      <c r="F449" s="28"/>
      <c r="G449" s="3" t="s">
        <v>968</v>
      </c>
      <c r="H449" s="6"/>
      <c r="I449" s="6"/>
      <c r="J449" s="6">
        <v>30</v>
      </c>
      <c r="K449" s="21"/>
      <c r="L449" s="21" t="s">
        <v>896</v>
      </c>
      <c r="M449" s="6" t="s">
        <v>851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ht="14.4" hidden="1" x14ac:dyDescent="0.35">
      <c r="A450" s="3" t="s">
        <v>1065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905</v>
      </c>
      <c r="H450" s="4"/>
      <c r="I450" s="6"/>
      <c r="J450" s="4">
        <v>30</v>
      </c>
      <c r="K450" s="5"/>
      <c r="L450" s="5" t="s">
        <v>896</v>
      </c>
      <c r="M450" s="4" t="s">
        <v>910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ht="14.4" hidden="1" x14ac:dyDescent="0.35">
      <c r="A451" s="3" t="s">
        <v>1066</v>
      </c>
      <c r="B451" s="2" t="s">
        <v>54</v>
      </c>
      <c r="C451" s="21">
        <v>3.75</v>
      </c>
      <c r="D451" s="23" t="s">
        <v>892</v>
      </c>
      <c r="E451" s="23"/>
      <c r="F451" s="28"/>
      <c r="G451" s="3" t="s">
        <v>936</v>
      </c>
      <c r="H451" s="6"/>
      <c r="I451" s="6"/>
      <c r="J451" s="6">
        <v>30</v>
      </c>
      <c r="K451" s="21"/>
      <c r="L451" s="21" t="s">
        <v>896</v>
      </c>
      <c r="M451" s="6" t="s">
        <v>851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ht="14.4" hidden="1" x14ac:dyDescent="0.35">
      <c r="A452" s="3" t="s">
        <v>1067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909</v>
      </c>
      <c r="H452" s="4"/>
      <c r="I452" s="6"/>
      <c r="J452" s="4">
        <v>30</v>
      </c>
      <c r="K452" s="5"/>
      <c r="L452" s="5" t="s">
        <v>896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ht="14.4" hidden="1" x14ac:dyDescent="0.35">
      <c r="A453" s="3" t="s">
        <v>1068</v>
      </c>
      <c r="B453" s="2" t="s">
        <v>54</v>
      </c>
      <c r="C453" s="21">
        <v>4</v>
      </c>
      <c r="D453" s="23" t="s">
        <v>1021</v>
      </c>
      <c r="E453" s="23"/>
      <c r="F453" s="28"/>
      <c r="G453" s="3" t="s">
        <v>962</v>
      </c>
      <c r="H453" s="4"/>
      <c r="I453" s="6"/>
      <c r="J453" s="4">
        <v>30</v>
      </c>
      <c r="K453" s="5"/>
      <c r="L453" s="5" t="s">
        <v>896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ht="14.4" hidden="1" x14ac:dyDescent="0.35">
      <c r="A454" s="3" t="s">
        <v>1069</v>
      </c>
      <c r="B454" s="2" t="s">
        <v>54</v>
      </c>
      <c r="C454" s="21">
        <v>4</v>
      </c>
      <c r="D454" s="23" t="s">
        <v>892</v>
      </c>
      <c r="E454" s="23"/>
      <c r="F454" s="28"/>
      <c r="G454" s="3" t="s">
        <v>1057</v>
      </c>
      <c r="H454" s="4"/>
      <c r="I454" s="6"/>
      <c r="J454" s="4">
        <v>30</v>
      </c>
      <c r="K454" s="5"/>
      <c r="L454" s="5" t="s">
        <v>896</v>
      </c>
      <c r="M454" s="4" t="s">
        <v>969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ht="14.4" hidden="1" x14ac:dyDescent="0.35">
      <c r="A455" s="3" t="s">
        <v>1070</v>
      </c>
      <c r="B455" s="2" t="s">
        <v>54</v>
      </c>
      <c r="C455" s="21">
        <v>4</v>
      </c>
      <c r="D455" s="23" t="s">
        <v>892</v>
      </c>
      <c r="E455" s="23"/>
      <c r="F455" s="28"/>
      <c r="G455" s="3" t="s">
        <v>918</v>
      </c>
      <c r="H455" s="6"/>
      <c r="I455" s="6"/>
      <c r="J455" s="6">
        <v>30</v>
      </c>
      <c r="K455" s="21"/>
      <c r="L455" s="21" t="s">
        <v>896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ht="14.4" hidden="1" x14ac:dyDescent="0.35">
      <c r="A456" s="3" t="s">
        <v>1071</v>
      </c>
      <c r="B456" s="2" t="s">
        <v>54</v>
      </c>
      <c r="C456" s="21">
        <v>4</v>
      </c>
      <c r="D456" s="23" t="s">
        <v>892</v>
      </c>
      <c r="E456" s="23"/>
      <c r="F456" s="28"/>
      <c r="G456" s="3" t="s">
        <v>1072</v>
      </c>
      <c r="H456" s="4"/>
      <c r="I456" s="6"/>
      <c r="J456" s="4">
        <v>30</v>
      </c>
      <c r="K456" s="5"/>
      <c r="L456" s="5" t="s">
        <v>896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ht="14.4" hidden="1" x14ac:dyDescent="0.35">
      <c r="A457" s="3" t="s">
        <v>1073</v>
      </c>
      <c r="B457" s="2" t="s">
        <v>54</v>
      </c>
      <c r="C457" s="21">
        <v>4</v>
      </c>
      <c r="D457" s="23" t="s">
        <v>892</v>
      </c>
      <c r="E457" s="23"/>
      <c r="F457" s="28"/>
      <c r="G457" s="3" t="s">
        <v>883</v>
      </c>
      <c r="H457" s="6"/>
      <c r="I457" s="6"/>
      <c r="J457" s="6">
        <v>30</v>
      </c>
      <c r="K457" s="21"/>
      <c r="L457" s="21" t="s">
        <v>896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ht="14.4" hidden="1" x14ac:dyDescent="0.35">
      <c r="A458" s="3" t="s">
        <v>1074</v>
      </c>
      <c r="B458" s="2" t="s">
        <v>54</v>
      </c>
      <c r="C458" s="21">
        <v>4.25</v>
      </c>
      <c r="D458" s="23" t="s">
        <v>892</v>
      </c>
      <c r="E458" s="23"/>
      <c r="F458" s="28"/>
      <c r="G458" s="3" t="s">
        <v>968</v>
      </c>
      <c r="H458" s="4"/>
      <c r="I458" s="4"/>
      <c r="J458" s="4">
        <v>30</v>
      </c>
      <c r="K458" s="5"/>
      <c r="L458" s="5" t="s">
        <v>896</v>
      </c>
      <c r="M458" s="4" t="s">
        <v>925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ht="14.4" hidden="1" x14ac:dyDescent="0.35">
      <c r="A459" s="3" t="s">
        <v>1075</v>
      </c>
      <c r="B459" s="2" t="s">
        <v>54</v>
      </c>
      <c r="C459" s="21">
        <v>4</v>
      </c>
      <c r="D459" s="23" t="s">
        <v>892</v>
      </c>
      <c r="E459" s="23"/>
      <c r="F459" s="28"/>
      <c r="G459" s="3" t="s">
        <v>1076</v>
      </c>
      <c r="H459" s="4"/>
      <c r="I459" s="6"/>
      <c r="J459" s="4">
        <v>30</v>
      </c>
      <c r="K459" s="5"/>
      <c r="L459" s="5" t="s">
        <v>896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ht="14.4" hidden="1" x14ac:dyDescent="0.35">
      <c r="A460" s="3" t="s">
        <v>1077</v>
      </c>
      <c r="B460" s="2" t="s">
        <v>54</v>
      </c>
      <c r="C460" s="21">
        <v>4.25</v>
      </c>
      <c r="D460" s="23" t="s">
        <v>892</v>
      </c>
      <c r="E460" s="23"/>
      <c r="F460" s="28"/>
      <c r="G460" s="3" t="s">
        <v>968</v>
      </c>
      <c r="H460" s="4"/>
      <c r="I460" s="4"/>
      <c r="J460" s="4">
        <v>30</v>
      </c>
      <c r="K460" s="5"/>
      <c r="L460" s="5" t="s">
        <v>896</v>
      </c>
      <c r="M460" s="4" t="s">
        <v>925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ht="14.4" hidden="1" x14ac:dyDescent="0.35">
      <c r="A461" s="3" t="s">
        <v>1078</v>
      </c>
      <c r="B461" s="2" t="s">
        <v>54</v>
      </c>
      <c r="C461" s="21">
        <v>4.25</v>
      </c>
      <c r="D461" s="23" t="s">
        <v>892</v>
      </c>
      <c r="E461" s="23"/>
      <c r="F461" s="28"/>
      <c r="G461" s="3" t="s">
        <v>968</v>
      </c>
      <c r="H461" s="4"/>
      <c r="I461" s="4"/>
      <c r="J461" s="4">
        <v>30</v>
      </c>
      <c r="K461" s="5"/>
      <c r="L461" s="5" t="s">
        <v>896</v>
      </c>
      <c r="M461" s="4" t="s">
        <v>1039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ht="14.4" hidden="1" x14ac:dyDescent="0.35">
      <c r="A462" s="3" t="s">
        <v>1079</v>
      </c>
      <c r="B462" s="2" t="s">
        <v>54</v>
      </c>
      <c r="C462" s="21">
        <v>4.75</v>
      </c>
      <c r="D462" s="23" t="s">
        <v>892</v>
      </c>
      <c r="E462" s="23"/>
      <c r="F462" s="28"/>
      <c r="G462" s="3" t="s">
        <v>968</v>
      </c>
      <c r="H462" s="6"/>
      <c r="I462" s="6"/>
      <c r="J462" s="6">
        <v>30</v>
      </c>
      <c r="K462" s="21"/>
      <c r="L462" s="21" t="s">
        <v>896</v>
      </c>
      <c r="M462" s="6" t="s">
        <v>969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ht="14.4" hidden="1" x14ac:dyDescent="0.35">
      <c r="A463" s="3" t="s">
        <v>1080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896</v>
      </c>
      <c r="M463" s="6" t="s">
        <v>770</v>
      </c>
      <c r="N463" s="6" t="s">
        <v>845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ht="14.4" hidden="1" x14ac:dyDescent="0.35">
      <c r="A464" s="3" t="s">
        <v>1081</v>
      </c>
      <c r="B464" s="2" t="s">
        <v>54</v>
      </c>
      <c r="C464" s="21">
        <v>6</v>
      </c>
      <c r="D464" s="23" t="s">
        <v>892</v>
      </c>
      <c r="E464" s="23"/>
      <c r="F464" s="28"/>
      <c r="G464" s="3" t="s">
        <v>1057</v>
      </c>
      <c r="H464" s="6"/>
      <c r="I464" s="6"/>
      <c r="J464" s="6">
        <v>30</v>
      </c>
      <c r="K464" s="21"/>
      <c r="L464" s="21" t="s">
        <v>896</v>
      </c>
      <c r="M464" s="6" t="s">
        <v>969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ht="14.4" hidden="1" x14ac:dyDescent="0.35">
      <c r="A465" s="3" t="s">
        <v>1082</v>
      </c>
      <c r="B465" s="2" t="s">
        <v>54</v>
      </c>
      <c r="C465" s="21">
        <v>6</v>
      </c>
      <c r="D465" s="23" t="s">
        <v>892</v>
      </c>
      <c r="E465" s="23"/>
      <c r="F465" s="28"/>
      <c r="G465" s="3" t="s">
        <v>905</v>
      </c>
      <c r="H465" s="6"/>
      <c r="I465" s="6"/>
      <c r="J465" s="6">
        <v>30</v>
      </c>
      <c r="K465" s="21"/>
      <c r="L465" s="21" t="s">
        <v>896</v>
      </c>
      <c r="M465" s="6" t="s">
        <v>969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ht="14.4" hidden="1" x14ac:dyDescent="0.35">
      <c r="A466" s="3" t="s">
        <v>1083</v>
      </c>
      <c r="B466" s="2" t="s">
        <v>54</v>
      </c>
      <c r="C466" s="21">
        <v>6</v>
      </c>
      <c r="D466" s="23" t="s">
        <v>892</v>
      </c>
      <c r="E466" s="23"/>
      <c r="F466" s="28"/>
      <c r="G466" s="3" t="s">
        <v>915</v>
      </c>
      <c r="H466" s="6"/>
      <c r="I466" s="6"/>
      <c r="J466" s="6">
        <v>30</v>
      </c>
      <c r="K466" s="21"/>
      <c r="L466" s="21" t="s">
        <v>896</v>
      </c>
      <c r="M466" s="6" t="s">
        <v>1084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ht="14.4" hidden="1" x14ac:dyDescent="0.35">
      <c r="A467" s="3" t="s">
        <v>1085</v>
      </c>
      <c r="B467" s="2" t="s">
        <v>54</v>
      </c>
      <c r="C467" s="21">
        <v>6.3</v>
      </c>
      <c r="D467" s="23" t="s">
        <v>892</v>
      </c>
      <c r="E467" s="23"/>
      <c r="F467" s="28"/>
      <c r="G467" s="3" t="s">
        <v>1086</v>
      </c>
      <c r="H467" s="6"/>
      <c r="I467" s="6"/>
      <c r="J467" s="6">
        <v>30</v>
      </c>
      <c r="K467" s="21"/>
      <c r="L467" s="21" t="s">
        <v>896</v>
      </c>
      <c r="M467" s="6" t="s">
        <v>884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ht="14.4" hidden="1" x14ac:dyDescent="0.35">
      <c r="A468" s="3" t="s">
        <v>1087</v>
      </c>
      <c r="B468" s="2" t="s">
        <v>54</v>
      </c>
      <c r="C468" s="21">
        <v>6.3</v>
      </c>
      <c r="D468" s="23" t="s">
        <v>892</v>
      </c>
      <c r="E468" s="23"/>
      <c r="F468" s="28"/>
      <c r="G468" s="3" t="s">
        <v>1088</v>
      </c>
      <c r="H468" s="6"/>
      <c r="I468" s="6"/>
      <c r="J468" s="6">
        <v>30</v>
      </c>
      <c r="K468" s="21"/>
      <c r="L468" s="21" t="s">
        <v>896</v>
      </c>
      <c r="M468" s="6" t="s">
        <v>925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ht="14.4" hidden="1" x14ac:dyDescent="0.35">
      <c r="A469" s="3" t="s">
        <v>1089</v>
      </c>
      <c r="B469" s="2" t="s">
        <v>54</v>
      </c>
      <c r="C469" s="21">
        <v>6.3</v>
      </c>
      <c r="D469" s="23" t="s">
        <v>892</v>
      </c>
      <c r="E469" s="23"/>
      <c r="F469" s="28"/>
      <c r="G469" s="3" t="s">
        <v>946</v>
      </c>
      <c r="H469" s="6"/>
      <c r="I469" s="6"/>
      <c r="J469" s="6">
        <v>30</v>
      </c>
      <c r="K469" s="21"/>
      <c r="L469" s="21" t="s">
        <v>896</v>
      </c>
      <c r="M469" s="6" t="s">
        <v>969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ht="14.4" hidden="1" x14ac:dyDescent="0.35">
      <c r="A470" s="3" t="s">
        <v>1090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896</v>
      </c>
      <c r="M470" s="6" t="s">
        <v>969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ht="14.4" hidden="1" x14ac:dyDescent="0.35">
      <c r="A471" s="3" t="s">
        <v>1091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905</v>
      </c>
      <c r="H471" s="6"/>
      <c r="I471" s="6"/>
      <c r="J471" s="6">
        <v>30</v>
      </c>
      <c r="K471" s="5"/>
      <c r="L471" s="5" t="s">
        <v>896</v>
      </c>
      <c r="M471" s="6" t="s">
        <v>925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ht="14.4" hidden="1" x14ac:dyDescent="0.35">
      <c r="A472" s="3" t="s">
        <v>1092</v>
      </c>
      <c r="B472" s="2" t="s">
        <v>54</v>
      </c>
      <c r="C472" s="21">
        <v>6.8</v>
      </c>
      <c r="D472" s="23" t="s">
        <v>958</v>
      </c>
      <c r="E472" s="23"/>
      <c r="F472" s="28"/>
      <c r="G472" s="3" t="s">
        <v>1093</v>
      </c>
      <c r="H472" s="6"/>
      <c r="I472" s="6"/>
      <c r="J472" s="6">
        <v>30</v>
      </c>
      <c r="K472" s="21"/>
      <c r="L472" s="21" t="s">
        <v>896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ht="14.4" hidden="1" x14ac:dyDescent="0.35">
      <c r="A473" s="3" t="s">
        <v>1094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1095</v>
      </c>
      <c r="H473" s="4"/>
      <c r="I473" s="4"/>
      <c r="J473" s="4">
        <v>30</v>
      </c>
      <c r="K473" s="5"/>
      <c r="L473" s="5" t="s">
        <v>896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ht="14.4" hidden="1" x14ac:dyDescent="0.35">
      <c r="A474" s="3" t="s">
        <v>1096</v>
      </c>
      <c r="B474" s="2" t="s">
        <v>54</v>
      </c>
      <c r="C474" s="21">
        <v>8</v>
      </c>
      <c r="D474" s="23" t="s">
        <v>1097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896</v>
      </c>
      <c r="M474" s="6" t="s">
        <v>925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ht="14.4" hidden="1" x14ac:dyDescent="0.35">
      <c r="A475" s="3" t="s">
        <v>1098</v>
      </c>
      <c r="B475" s="2" t="s">
        <v>54</v>
      </c>
      <c r="C475" s="21">
        <v>8</v>
      </c>
      <c r="D475" s="23" t="s">
        <v>892</v>
      </c>
      <c r="E475" s="23"/>
      <c r="F475" s="28"/>
      <c r="G475" s="3" t="s">
        <v>1099</v>
      </c>
      <c r="H475" s="6"/>
      <c r="I475" s="6"/>
      <c r="J475" s="6">
        <v>30</v>
      </c>
      <c r="K475" s="21"/>
      <c r="L475" s="21" t="s">
        <v>896</v>
      </c>
      <c r="M475" s="6" t="s">
        <v>851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ht="14.4" hidden="1" x14ac:dyDescent="0.35">
      <c r="A476" s="3" t="s">
        <v>1100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1101</v>
      </c>
      <c r="H476" s="4"/>
      <c r="I476" s="4"/>
      <c r="J476" s="4">
        <v>30</v>
      </c>
      <c r="K476" s="5"/>
      <c r="L476" s="5" t="s">
        <v>896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ht="14.4" hidden="1" x14ac:dyDescent="0.35">
      <c r="A477" s="3" t="s">
        <v>1102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859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860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ht="14.4" hidden="1" x14ac:dyDescent="0.35">
      <c r="A478" s="3" t="s">
        <v>1103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829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ht="14.4" hidden="1" x14ac:dyDescent="0.35">
      <c r="A479" s="3" t="s">
        <v>1104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829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ht="14.4" hidden="1" x14ac:dyDescent="0.35">
      <c r="A480" s="3" t="s">
        <v>1105</v>
      </c>
      <c r="B480" s="2" t="s">
        <v>54</v>
      </c>
      <c r="C480" s="21">
        <v>9.5</v>
      </c>
      <c r="D480" s="23" t="s">
        <v>892</v>
      </c>
      <c r="E480" s="23"/>
      <c r="F480" s="28"/>
      <c r="G480" s="3" t="s">
        <v>1106</v>
      </c>
      <c r="H480" s="6"/>
      <c r="I480" s="6"/>
      <c r="J480" s="6">
        <v>30</v>
      </c>
      <c r="K480" s="21"/>
      <c r="L480" s="21" t="s">
        <v>896</v>
      </c>
      <c r="M480" s="6" t="s">
        <v>851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ht="14.4" hidden="1" x14ac:dyDescent="0.35">
      <c r="A481" s="3" t="s">
        <v>1107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872</v>
      </c>
      <c r="H481" s="6"/>
      <c r="I481" s="6"/>
      <c r="J481" s="6">
        <v>30</v>
      </c>
      <c r="K481" s="21"/>
      <c r="L481" s="21" t="s">
        <v>896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ht="14.4" hidden="1" x14ac:dyDescent="0.35">
      <c r="A482" s="3" t="s">
        <v>1108</v>
      </c>
      <c r="B482" s="2" t="s">
        <v>54</v>
      </c>
      <c r="C482" s="21">
        <v>9.5</v>
      </c>
      <c r="D482" s="23" t="s">
        <v>892</v>
      </c>
      <c r="E482" s="23"/>
      <c r="F482" s="28"/>
      <c r="G482" s="3" t="s">
        <v>1057</v>
      </c>
      <c r="H482" s="6"/>
      <c r="I482" s="6"/>
      <c r="J482" s="6">
        <v>30</v>
      </c>
      <c r="K482" s="21"/>
      <c r="L482" s="21" t="s">
        <v>896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ht="14.4" hidden="1" x14ac:dyDescent="0.35">
      <c r="A483" s="3" t="s">
        <v>1109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831</v>
      </c>
      <c r="H483" s="4"/>
      <c r="I483" s="4" t="s">
        <v>751</v>
      </c>
      <c r="J483" s="4">
        <v>59</v>
      </c>
      <c r="K483" s="5"/>
      <c r="L483" s="5" t="s">
        <v>871</v>
      </c>
      <c r="M483" s="4" t="s">
        <v>907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ht="14.4" hidden="1" x14ac:dyDescent="0.35">
      <c r="A484" s="3" t="s">
        <v>1110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831</v>
      </c>
      <c r="H484" s="4"/>
      <c r="I484" s="4" t="s">
        <v>751</v>
      </c>
      <c r="J484" s="4">
        <v>59</v>
      </c>
      <c r="K484" s="5"/>
      <c r="L484" s="5" t="s">
        <v>871</v>
      </c>
      <c r="M484" s="4" t="s">
        <v>907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ht="14.4" hidden="1" x14ac:dyDescent="0.35">
      <c r="A485" s="3" t="s">
        <v>1111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896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ht="14.4" hidden="1" x14ac:dyDescent="0.35">
      <c r="A486" s="22" t="s">
        <v>1113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896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ht="14.4" hidden="1" x14ac:dyDescent="0.35">
      <c r="A487" s="22" t="s">
        <v>1114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1115</v>
      </c>
      <c r="H487" s="4"/>
      <c r="I487" s="4"/>
      <c r="J487" s="4">
        <v>30</v>
      </c>
      <c r="K487" s="5"/>
      <c r="L487" s="5" t="s">
        <v>896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ht="14.4" hidden="1" x14ac:dyDescent="0.35">
      <c r="A488" s="22" t="s">
        <v>1116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909</v>
      </c>
      <c r="H488" s="4"/>
      <c r="I488" s="4"/>
      <c r="J488" s="4">
        <v>30</v>
      </c>
      <c r="K488" s="5"/>
      <c r="L488" s="5" t="s">
        <v>896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ht="14.4" hidden="1" x14ac:dyDescent="0.35">
      <c r="A489" s="22" t="s">
        <v>1117</v>
      </c>
      <c r="B489" s="2" t="s">
        <v>823</v>
      </c>
      <c r="C489" s="21">
        <v>1.5</v>
      </c>
      <c r="D489" s="23">
        <v>490</v>
      </c>
      <c r="E489" s="23"/>
      <c r="F489" s="28"/>
      <c r="G489" s="3" t="s">
        <v>923</v>
      </c>
      <c r="H489" s="6"/>
      <c r="I489" s="6"/>
      <c r="J489" s="6">
        <v>63</v>
      </c>
      <c r="K489" s="21"/>
      <c r="L489" s="21" t="s">
        <v>924</v>
      </c>
      <c r="M489" s="6" t="s">
        <v>925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ht="14.4" hidden="1" x14ac:dyDescent="0.35">
      <c r="A490" s="22" t="s">
        <v>1118</v>
      </c>
      <c r="B490" s="2" t="s">
        <v>823</v>
      </c>
      <c r="C490" s="21">
        <v>1.5</v>
      </c>
      <c r="D490" s="23">
        <v>755</v>
      </c>
      <c r="E490" s="23"/>
      <c r="F490" s="28"/>
      <c r="G490" s="3" t="s">
        <v>923</v>
      </c>
      <c r="H490" s="6"/>
      <c r="I490" s="6"/>
      <c r="J490" s="6">
        <v>63</v>
      </c>
      <c r="K490" s="21"/>
      <c r="L490" s="21" t="s">
        <v>924</v>
      </c>
      <c r="M490" s="6" t="s">
        <v>925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ht="14.4" hidden="1" x14ac:dyDescent="0.35">
      <c r="A491" s="22" t="s">
        <v>1119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1120</v>
      </c>
      <c r="N491" s="6" t="s">
        <v>1120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ht="14.4" hidden="1" x14ac:dyDescent="0.35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1121</v>
      </c>
      <c r="H492" s="6"/>
      <c r="I492" s="6"/>
      <c r="J492" s="6">
        <v>32</v>
      </c>
      <c r="K492" s="21"/>
      <c r="L492" s="21" t="s">
        <v>896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ht="14.4" hidden="1" x14ac:dyDescent="0.35">
      <c r="A493" s="22" t="s">
        <v>1122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1123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ht="14.4" hidden="1" x14ac:dyDescent="0.35">
      <c r="A494" s="22" t="s">
        <v>1124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1123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ht="14.4" hidden="1" x14ac:dyDescent="0.35">
      <c r="A495" s="22" t="s">
        <v>1125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1123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ht="14.4" hidden="1" x14ac:dyDescent="0.35">
      <c r="A496" s="22" t="s">
        <v>1126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1123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ht="14.4" hidden="1" x14ac:dyDescent="0.35">
      <c r="A497" s="22" t="s">
        <v>1127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1123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hidden="1" x14ac:dyDescent="0.35">
      <c r="A498" s="19" t="s">
        <v>1128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1129</v>
      </c>
      <c r="G498" s="20" t="s">
        <v>1130</v>
      </c>
      <c r="H498" s="6"/>
      <c r="I498" s="6" t="s">
        <v>1131</v>
      </c>
      <c r="J498" s="6">
        <v>90</v>
      </c>
      <c r="K498" s="21">
        <v>10</v>
      </c>
      <c r="L498" s="21" t="s">
        <v>1132</v>
      </c>
      <c r="M498" s="6" t="s">
        <v>238</v>
      </c>
      <c r="N498" s="6" t="s">
        <v>1133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1134</v>
      </c>
      <c r="AK498" s="65">
        <f>8082.15083333333</f>
        <v>8082.1508333333304</v>
      </c>
      <c r="AL498" s="1"/>
      <c r="AM498" s="1"/>
      <c r="AN498" s="83"/>
      <c r="AO498" s="81"/>
    </row>
    <row r="499" spans="1:41" s="26" customFormat="1" ht="14.4" hidden="1" x14ac:dyDescent="0.35">
      <c r="A499" s="19" t="s">
        <v>1135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1136</v>
      </c>
      <c r="G499" s="20" t="s">
        <v>1137</v>
      </c>
      <c r="H499" s="6"/>
      <c r="I499" s="6" t="s">
        <v>1138</v>
      </c>
      <c r="J499" s="6">
        <v>59</v>
      </c>
      <c r="K499" s="21">
        <v>4</v>
      </c>
      <c r="L499" s="21" t="s">
        <v>1132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1139</v>
      </c>
      <c r="AK499" s="65">
        <f>14011.7408333333</f>
        <v>14011.740833333301</v>
      </c>
      <c r="AL499" s="1"/>
      <c r="AM499" s="1"/>
      <c r="AN499" s="83"/>
      <c r="AO499" s="81"/>
    </row>
    <row r="500" spans="1:41" s="26" customFormat="1" ht="14.4" hidden="1" x14ac:dyDescent="0.35">
      <c r="A500" s="19" t="s">
        <v>1140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1141</v>
      </c>
      <c r="G500" s="20" t="s">
        <v>1142</v>
      </c>
      <c r="H500" s="6"/>
      <c r="I500" s="6" t="s">
        <v>1143</v>
      </c>
      <c r="J500" s="6">
        <v>60</v>
      </c>
      <c r="K500" s="21"/>
      <c r="L500" s="21" t="s">
        <v>1144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1145</v>
      </c>
      <c r="AK500" s="65">
        <f>17038.2366666667</f>
        <v>17038.2366666667</v>
      </c>
      <c r="AL500" s="1"/>
      <c r="AM500" s="1"/>
      <c r="AN500" s="83"/>
      <c r="AO500" s="81"/>
    </row>
    <row r="501" spans="1:41" s="26" customFormat="1" ht="14.4" hidden="1" x14ac:dyDescent="0.35">
      <c r="A501" s="19" t="s">
        <v>1146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1147</v>
      </c>
      <c r="G501" s="20" t="s">
        <v>1137</v>
      </c>
      <c r="H501" s="6"/>
      <c r="I501" s="6" t="s">
        <v>1138</v>
      </c>
      <c r="J501" s="6">
        <v>59</v>
      </c>
      <c r="K501" s="21">
        <v>3</v>
      </c>
      <c r="L501" s="21" t="s">
        <v>1132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1148</v>
      </c>
      <c r="AK501" s="65">
        <f>9475.1525</f>
        <v>9475.1525000000001</v>
      </c>
      <c r="AL501" s="1"/>
      <c r="AM501" s="1"/>
      <c r="AN501" s="83"/>
      <c r="AO501" s="81"/>
    </row>
    <row r="502" spans="1:41" s="26" customFormat="1" ht="20.399999999999999" hidden="1" x14ac:dyDescent="0.35">
      <c r="A502" s="19" t="s">
        <v>1149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1136</v>
      </c>
      <c r="G502" s="20" t="s">
        <v>1150</v>
      </c>
      <c r="H502" s="6"/>
      <c r="I502" s="6" t="s">
        <v>1143</v>
      </c>
      <c r="J502" s="6">
        <v>69</v>
      </c>
      <c r="K502" s="21">
        <v>5</v>
      </c>
      <c r="L502" s="21" t="s">
        <v>1132</v>
      </c>
      <c r="M502" s="6" t="s">
        <v>238</v>
      </c>
      <c r="N502" s="6" t="s">
        <v>1151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1152</v>
      </c>
      <c r="AK502" s="65">
        <f>9521.9975</f>
        <v>9521.9974999999995</v>
      </c>
      <c r="AL502" s="1"/>
      <c r="AM502" s="1"/>
      <c r="AN502" s="83"/>
      <c r="AO502" s="81"/>
    </row>
    <row r="503" spans="1:41" s="26" customFormat="1" ht="14.4" hidden="1" x14ac:dyDescent="0.35">
      <c r="A503" s="19" t="s">
        <v>1153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1154</v>
      </c>
      <c r="H503" s="6"/>
      <c r="I503" s="6" t="s">
        <v>1155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1156</v>
      </c>
      <c r="AK503" s="65">
        <f>4547.8325</f>
        <v>4547.8325000000004</v>
      </c>
      <c r="AL503" s="1"/>
      <c r="AM503" s="1"/>
      <c r="AN503" s="83"/>
      <c r="AO503" s="81"/>
    </row>
    <row r="504" spans="1:41" s="26" customFormat="1" ht="14.4" hidden="1" x14ac:dyDescent="0.35">
      <c r="A504" s="19" t="s">
        <v>1157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1158</v>
      </c>
      <c r="G504" s="20" t="s">
        <v>1159</v>
      </c>
      <c r="H504" s="6"/>
      <c r="I504" s="6" t="s">
        <v>1138</v>
      </c>
      <c r="J504" s="6">
        <v>69</v>
      </c>
      <c r="K504" s="21"/>
      <c r="L504" s="21" t="s">
        <v>1160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t="14.4" hidden="1" x14ac:dyDescent="0.35">
      <c r="A505" s="19" t="s">
        <v>1161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1136</v>
      </c>
      <c r="G505" s="20" t="s">
        <v>1162</v>
      </c>
      <c r="H505" s="6"/>
      <c r="I505" s="6" t="s">
        <v>1138</v>
      </c>
      <c r="J505" s="6">
        <v>59</v>
      </c>
      <c r="K505" s="21">
        <v>1.8</v>
      </c>
      <c r="L505" s="21" t="s">
        <v>1132</v>
      </c>
      <c r="M505" s="6" t="s">
        <v>238</v>
      </c>
      <c r="N505" s="6" t="s">
        <v>1163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1164</v>
      </c>
      <c r="AK505" s="65">
        <f>2352.08</f>
        <v>2352.08</v>
      </c>
      <c r="AL505" s="1"/>
      <c r="AM505" s="1"/>
      <c r="AN505" s="83"/>
      <c r="AO505" s="81"/>
    </row>
    <row r="506" spans="1:41" s="26" customFormat="1" ht="14.4" hidden="1" x14ac:dyDescent="0.35">
      <c r="A506" s="19" t="s">
        <v>1165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1141</v>
      </c>
      <c r="G506" s="20" t="s">
        <v>1166</v>
      </c>
      <c r="H506" s="6"/>
      <c r="I506" s="6" t="s">
        <v>1138</v>
      </c>
      <c r="J506" s="6">
        <v>59</v>
      </c>
      <c r="K506" s="21">
        <v>7</v>
      </c>
      <c r="L506" s="21" t="s">
        <v>1132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1167</v>
      </c>
      <c r="AK506" s="65">
        <f>6579.9675</f>
        <v>6579.9674999999997</v>
      </c>
      <c r="AL506" s="1"/>
      <c r="AM506" s="1"/>
      <c r="AN506" s="83"/>
      <c r="AO506" s="81"/>
    </row>
    <row r="507" spans="1:41" s="26" customFormat="1" ht="30.65" hidden="1" x14ac:dyDescent="0.35">
      <c r="A507" s="19" t="s">
        <v>1168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1169</v>
      </c>
      <c r="H507" s="6"/>
      <c r="I507" s="6" t="s">
        <v>1138</v>
      </c>
      <c r="J507" s="6">
        <v>59</v>
      </c>
      <c r="K507" s="21">
        <v>9</v>
      </c>
      <c r="L507" s="21" t="s">
        <v>1132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1170</v>
      </c>
      <c r="AK507" s="65">
        <f>2993.12083333333</f>
        <v>2993.1208333333302</v>
      </c>
      <c r="AL507" s="1"/>
      <c r="AM507" s="1"/>
      <c r="AN507" s="83"/>
      <c r="AO507" s="81"/>
    </row>
    <row r="508" spans="1:41" s="26" customFormat="1" ht="14.4" hidden="1" x14ac:dyDescent="0.35">
      <c r="A508" s="19" t="s">
        <v>1171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1172</v>
      </c>
      <c r="G508" s="20" t="s">
        <v>1150</v>
      </c>
      <c r="H508" s="6"/>
      <c r="I508" s="6" t="s">
        <v>1143</v>
      </c>
      <c r="J508" s="6">
        <v>60</v>
      </c>
      <c r="K508" s="21"/>
      <c r="L508" s="21" t="s">
        <v>1144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t="14.4" hidden="1" x14ac:dyDescent="0.35">
      <c r="A509" s="19" t="s">
        <v>1173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1174</v>
      </c>
      <c r="G509" s="20" t="s">
        <v>1162</v>
      </c>
      <c r="H509" s="6"/>
      <c r="I509" s="6" t="s">
        <v>1138</v>
      </c>
      <c r="J509" s="6">
        <v>59</v>
      </c>
      <c r="K509" s="21">
        <v>1.5</v>
      </c>
      <c r="L509" s="21" t="s">
        <v>1132</v>
      </c>
      <c r="M509" s="6" t="s">
        <v>238</v>
      </c>
      <c r="N509" s="6" t="s">
        <v>1163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1175</v>
      </c>
      <c r="AK509" s="65">
        <f>6736.4775</f>
        <v>6736.4775</v>
      </c>
      <c r="AL509" s="1"/>
      <c r="AM509" s="1"/>
      <c r="AN509" s="83"/>
      <c r="AO509" s="81"/>
    </row>
    <row r="510" spans="1:41" s="26" customFormat="1" ht="14.4" hidden="1" x14ac:dyDescent="0.35">
      <c r="A510" s="19" t="s">
        <v>1176</v>
      </c>
      <c r="B510" s="21" t="s">
        <v>41</v>
      </c>
      <c r="C510" s="21">
        <v>1.8</v>
      </c>
      <c r="D510" s="23">
        <v>466</v>
      </c>
      <c r="E510" s="23"/>
      <c r="F510" s="23" t="s">
        <v>1147</v>
      </c>
      <c r="G510" s="20" t="s">
        <v>1177</v>
      </c>
      <c r="H510" s="6"/>
      <c r="I510" s="6" t="s">
        <v>1138</v>
      </c>
      <c r="J510" s="6">
        <v>59</v>
      </c>
      <c r="K510" s="21">
        <v>1.8</v>
      </c>
      <c r="L510" s="21" t="s">
        <v>1132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f>0</f>
        <v>0</v>
      </c>
      <c r="AL510" s="1"/>
      <c r="AM510" s="1"/>
      <c r="AN510" s="83"/>
      <c r="AO510" s="81"/>
    </row>
    <row r="511" spans="1:41" s="26" customFormat="1" ht="14.4" hidden="1" x14ac:dyDescent="0.35">
      <c r="A511" s="19" t="s">
        <v>1178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1179</v>
      </c>
      <c r="H511" s="6"/>
      <c r="I511" s="6" t="s">
        <v>1143</v>
      </c>
      <c r="J511" s="6">
        <v>60</v>
      </c>
      <c r="K511" s="21"/>
      <c r="L511" s="21" t="s">
        <v>840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t="14.4" hidden="1" x14ac:dyDescent="0.35">
      <c r="A512" s="19" t="s">
        <v>1180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1174</v>
      </c>
      <c r="G512" s="20" t="s">
        <v>1181</v>
      </c>
      <c r="H512" s="6"/>
      <c r="I512" s="6" t="s">
        <v>1143</v>
      </c>
      <c r="J512" s="6">
        <v>69</v>
      </c>
      <c r="K512" s="21">
        <v>9</v>
      </c>
      <c r="L512" s="21" t="s">
        <v>1132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1182</v>
      </c>
      <c r="AK512" s="65">
        <f>3584.835</f>
        <v>3584.835</v>
      </c>
      <c r="AL512" s="1"/>
      <c r="AM512" s="1"/>
      <c r="AN512" s="83"/>
      <c r="AO512" s="81"/>
    </row>
    <row r="513" spans="1:41" s="26" customFormat="1" ht="20.399999999999999" hidden="1" x14ac:dyDescent="0.35">
      <c r="A513" s="19" t="s">
        <v>1183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1174</v>
      </c>
      <c r="G513" s="20" t="s">
        <v>1184</v>
      </c>
      <c r="H513" s="6"/>
      <c r="I513" s="6" t="s">
        <v>1143</v>
      </c>
      <c r="J513" s="6">
        <v>69</v>
      </c>
      <c r="K513" s="21">
        <v>9</v>
      </c>
      <c r="L513" s="21" t="s">
        <v>1132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1185</v>
      </c>
      <c r="AK513" s="65">
        <f>7843.88666666667</f>
        <v>7843.88666666667</v>
      </c>
      <c r="AL513" s="1"/>
      <c r="AM513" s="1"/>
      <c r="AN513" s="83"/>
      <c r="AO513" s="81"/>
    </row>
    <row r="514" spans="1:41" s="26" customFormat="1" ht="14.4" hidden="1" x14ac:dyDescent="0.35">
      <c r="A514" s="19" t="s">
        <v>1186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1174</v>
      </c>
      <c r="G514" s="20" t="s">
        <v>1187</v>
      </c>
      <c r="H514" s="6"/>
      <c r="I514" s="6" t="s">
        <v>1138</v>
      </c>
      <c r="J514" s="6">
        <v>59</v>
      </c>
      <c r="K514" s="21">
        <v>3.5</v>
      </c>
      <c r="L514" s="21" t="s">
        <v>1132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1188</v>
      </c>
      <c r="AK514" s="65">
        <f>5209.45333333333</f>
        <v>5209.4533333333302</v>
      </c>
      <c r="AL514" s="1"/>
      <c r="AM514" s="1"/>
      <c r="AN514" s="83"/>
      <c r="AO514" s="81"/>
    </row>
    <row r="515" spans="1:41" s="26" customFormat="1" ht="14.4" hidden="1" x14ac:dyDescent="0.35">
      <c r="A515" s="19" t="s">
        <v>1189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1190</v>
      </c>
      <c r="H515" s="6"/>
      <c r="I515" s="6" t="s">
        <v>1138</v>
      </c>
      <c r="J515" s="6">
        <v>59</v>
      </c>
      <c r="K515" s="21">
        <v>3.5</v>
      </c>
      <c r="L515" s="21" t="s">
        <v>1132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78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78" si="28">COUNTIF(Z515:AF515,"X")/7</f>
        <v>1</v>
      </c>
      <c r="AH515" s="51">
        <f t="shared" ref="AH515:AH578" si="29">IF(AG515=100%,Y515," ")</f>
        <v>16.496479999999998</v>
      </c>
      <c r="AI515" s="64">
        <v>1</v>
      </c>
      <c r="AJ515" s="1" t="s">
        <v>1191</v>
      </c>
      <c r="AK515" s="65">
        <f>27611.06/12</f>
        <v>2300.9216666666666</v>
      </c>
      <c r="AL515" s="1"/>
      <c r="AM515" s="1"/>
      <c r="AN515" s="83"/>
      <c r="AO515" s="81"/>
    </row>
    <row r="516" spans="1:41" s="26" customFormat="1" ht="14.4" hidden="1" x14ac:dyDescent="0.35">
      <c r="A516" s="19" t="s">
        <v>1192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1169</v>
      </c>
      <c r="H516" s="6"/>
      <c r="I516" s="6" t="s">
        <v>1138</v>
      </c>
      <c r="J516" s="6">
        <v>59</v>
      </c>
      <c r="K516" s="21">
        <v>5</v>
      </c>
      <c r="L516" s="21" t="s">
        <v>1132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1193</v>
      </c>
      <c r="AK516" s="65">
        <f>42227.41/12</f>
        <v>3518.9508333333338</v>
      </c>
      <c r="AL516" s="1"/>
      <c r="AM516" s="1"/>
      <c r="AN516" s="83"/>
      <c r="AO516" s="81"/>
    </row>
    <row r="517" spans="1:41" s="26" customFormat="1" ht="20.399999999999999" hidden="1" x14ac:dyDescent="0.35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1147</v>
      </c>
      <c r="G517" s="20" t="s">
        <v>1194</v>
      </c>
      <c r="H517" s="6"/>
      <c r="I517" s="6" t="s">
        <v>1195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1196</v>
      </c>
      <c r="AK517" s="65">
        <f>451.548333333333+933.24</f>
        <v>1384.788333333333</v>
      </c>
      <c r="AL517" s="1"/>
      <c r="AM517" s="1"/>
      <c r="AN517" s="83"/>
      <c r="AO517" s="81"/>
    </row>
    <row r="518" spans="1:41" s="26" customFormat="1" ht="14.4" hidden="1" x14ac:dyDescent="0.35">
      <c r="A518" s="19" t="s">
        <v>1197</v>
      </c>
      <c r="B518" s="21" t="s">
        <v>79</v>
      </c>
      <c r="C518" s="21">
        <v>1</v>
      </c>
      <c r="D518" s="23">
        <v>1150</v>
      </c>
      <c r="E518" s="23">
        <v>250</v>
      </c>
      <c r="F518" s="23" t="s">
        <v>1198</v>
      </c>
      <c r="G518" s="20" t="s">
        <v>1199</v>
      </c>
      <c r="H518" s="6"/>
      <c r="I518" s="6" t="s">
        <v>1200</v>
      </c>
      <c r="J518" s="6">
        <v>90</v>
      </c>
      <c r="K518" s="21">
        <v>8</v>
      </c>
      <c r="L518" s="21" t="s">
        <v>82</v>
      </c>
      <c r="M518" s="6" t="s">
        <v>238</v>
      </c>
      <c r="N518" s="35" t="s">
        <v>47</v>
      </c>
      <c r="O518" s="6" t="s">
        <v>145</v>
      </c>
      <c r="P518" s="6"/>
      <c r="Q518" s="27"/>
      <c r="R518" s="28" t="s">
        <v>151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 t="shared" si="27"/>
        <v>13.909891000000002</v>
      </c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si="28"/>
        <v>1</v>
      </c>
      <c r="AH518" s="51">
        <f t="shared" si="29"/>
        <v>13.909891000000002</v>
      </c>
      <c r="AI518" s="64">
        <v>1</v>
      </c>
      <c r="AJ518" s="1" t="s">
        <v>1201</v>
      </c>
      <c r="AK518" s="65">
        <f>34245.48/12</f>
        <v>2853.7900000000004</v>
      </c>
      <c r="AL518" s="1"/>
      <c r="AM518" s="1"/>
      <c r="AN518" s="83"/>
      <c r="AO518" s="81"/>
    </row>
    <row r="519" spans="1:41" s="26" customFormat="1" ht="14.4" hidden="1" x14ac:dyDescent="0.35">
      <c r="A519" s="19" t="s">
        <v>1202</v>
      </c>
      <c r="B519" s="21" t="s">
        <v>41</v>
      </c>
      <c r="C519" s="21">
        <v>0.7</v>
      </c>
      <c r="D519" s="23">
        <v>550</v>
      </c>
      <c r="E519" s="23">
        <v>740</v>
      </c>
      <c r="F519" s="23" t="s">
        <v>98</v>
      </c>
      <c r="G519" s="20" t="s">
        <v>1203</v>
      </c>
      <c r="H519" s="6"/>
      <c r="I519" s="6" t="s">
        <v>1138</v>
      </c>
      <c r="J519" s="6">
        <v>59</v>
      </c>
      <c r="K519" s="21">
        <v>3</v>
      </c>
      <c r="L519" s="21" t="s">
        <v>1132</v>
      </c>
      <c r="M519" s="6" t="s">
        <v>238</v>
      </c>
      <c r="N519" s="6" t="s">
        <v>197</v>
      </c>
      <c r="O519" s="6" t="s">
        <v>145</v>
      </c>
      <c r="P519" s="6"/>
      <c r="Q519" s="27"/>
      <c r="R519" s="28" t="s">
        <v>151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 t="shared" si="27"/>
        <v>13.903871999999998</v>
      </c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28"/>
        <v>1</v>
      </c>
      <c r="AH519" s="51">
        <f t="shared" si="29"/>
        <v>13.903871999999998</v>
      </c>
      <c r="AI519" s="64"/>
      <c r="AJ519" s="1"/>
      <c r="AK519" s="65">
        <f>26601.63/12</f>
        <v>2216.8025000000002</v>
      </c>
      <c r="AL519" s="1"/>
      <c r="AM519" s="1"/>
      <c r="AN519" s="83"/>
      <c r="AO519" s="81"/>
    </row>
    <row r="520" spans="1:41" s="26" customFormat="1" ht="20.399999999999999" hidden="1" x14ac:dyDescent="0.35">
      <c r="A520" s="19" t="s">
        <v>1204</v>
      </c>
      <c r="B520" s="21" t="s">
        <v>41</v>
      </c>
      <c r="C520" s="21">
        <v>0.7</v>
      </c>
      <c r="D520" s="23">
        <v>800</v>
      </c>
      <c r="E520" s="23">
        <v>920</v>
      </c>
      <c r="F520" s="77">
        <v>3.5000000000000003E-2</v>
      </c>
      <c r="G520" s="20" t="s">
        <v>1205</v>
      </c>
      <c r="H520" s="6"/>
      <c r="I520" s="6" t="s">
        <v>1143</v>
      </c>
      <c r="J520" s="6">
        <v>69</v>
      </c>
      <c r="K520" s="21">
        <v>4.5</v>
      </c>
      <c r="L520" s="21" t="s">
        <v>1132</v>
      </c>
      <c r="M520" s="6" t="s">
        <v>238</v>
      </c>
      <c r="N520" s="6" t="s">
        <v>197</v>
      </c>
      <c r="O520" s="6" t="s">
        <v>48</v>
      </c>
      <c r="P520" s="6"/>
      <c r="Q520" s="27"/>
      <c r="R520" s="28" t="s">
        <v>151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 t="shared" si="27"/>
        <v>12.512808000000001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12.512808000000001</v>
      </c>
      <c r="AI520" s="64">
        <v>2</v>
      </c>
      <c r="AJ520" s="62" t="s">
        <v>1206</v>
      </c>
      <c r="AK520" s="65">
        <f>1268.74833333333</f>
        <v>1268.74833333333</v>
      </c>
      <c r="AL520" s="1"/>
      <c r="AM520" s="1"/>
      <c r="AN520" s="83"/>
      <c r="AO520" s="81"/>
    </row>
    <row r="521" spans="1:41" s="26" customFormat="1" ht="14.4" hidden="1" x14ac:dyDescent="0.35">
      <c r="A521" s="19" t="s">
        <v>1207</v>
      </c>
      <c r="B521" s="21" t="s">
        <v>41</v>
      </c>
      <c r="C521" s="21">
        <v>1.5</v>
      </c>
      <c r="D521" s="23">
        <v>1150</v>
      </c>
      <c r="E521" s="23"/>
      <c r="F521" s="23"/>
      <c r="G521" s="20" t="s">
        <v>1208</v>
      </c>
      <c r="H521" s="6"/>
      <c r="I521" s="6" t="s">
        <v>1138</v>
      </c>
      <c r="J521" s="6">
        <v>59</v>
      </c>
      <c r="K521" s="21">
        <v>26</v>
      </c>
      <c r="L521" s="21" t="s">
        <v>764</v>
      </c>
      <c r="M521" s="6" t="s">
        <v>1209</v>
      </c>
      <c r="N521" s="6" t="s">
        <v>1210</v>
      </c>
      <c r="O521" s="6"/>
      <c r="P521" s="6"/>
      <c r="Q521" s="27"/>
      <c r="R521" s="28" t="s">
        <v>151</v>
      </c>
      <c r="S521" s="6" t="s">
        <v>82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 t="shared" si="27"/>
        <v>12.466799999999999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12.466799999999999</v>
      </c>
      <c r="AI521" s="64"/>
      <c r="AJ521" s="1"/>
      <c r="AK521" s="65">
        <f>0</f>
        <v>0</v>
      </c>
      <c r="AL521" s="1"/>
      <c r="AM521" s="1"/>
      <c r="AN521" s="83"/>
      <c r="AO521" s="81"/>
    </row>
    <row r="522" spans="1:41" s="26" customFormat="1" ht="14.4" hidden="1" x14ac:dyDescent="0.35">
      <c r="A522" s="19" t="s">
        <v>1211</v>
      </c>
      <c r="B522" s="21" t="s">
        <v>41</v>
      </c>
      <c r="C522" s="21">
        <v>1.8</v>
      </c>
      <c r="D522" s="23">
        <v>300</v>
      </c>
      <c r="E522" s="23">
        <v>180</v>
      </c>
      <c r="F522" s="23" t="s">
        <v>1212</v>
      </c>
      <c r="G522" s="20" t="s">
        <v>1213</v>
      </c>
      <c r="H522" s="6"/>
      <c r="I522" s="6" t="s">
        <v>1143</v>
      </c>
      <c r="J522" s="6">
        <v>69</v>
      </c>
      <c r="K522" s="21">
        <v>1.7</v>
      </c>
      <c r="L522" s="21" t="s">
        <v>1132</v>
      </c>
      <c r="M522" s="6" t="s">
        <v>238</v>
      </c>
      <c r="N522" s="6" t="s">
        <v>1151</v>
      </c>
      <c r="O522" s="6"/>
      <c r="P522" s="6"/>
      <c r="Q522" s="27"/>
      <c r="R522" s="28" t="s">
        <v>151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 t="shared" si="27"/>
        <v>12.292592639999999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12.292592639999999</v>
      </c>
      <c r="AI522" s="64">
        <v>1</v>
      </c>
      <c r="AJ522" s="1" t="s">
        <v>1214</v>
      </c>
      <c r="AK522" s="65">
        <f>8426.39/12</f>
        <v>702.19916666666666</v>
      </c>
      <c r="AL522" s="1"/>
      <c r="AM522" s="1"/>
      <c r="AN522" s="83"/>
      <c r="AO522" s="81"/>
    </row>
    <row r="523" spans="1:41" s="26" customFormat="1" ht="14.4" hidden="1" x14ac:dyDescent="0.35">
      <c r="A523" s="19" t="s">
        <v>1215</v>
      </c>
      <c r="B523" s="21" t="s">
        <v>54</v>
      </c>
      <c r="C523" s="21">
        <v>4</v>
      </c>
      <c r="D523" s="23">
        <v>1300</v>
      </c>
      <c r="E523" s="23"/>
      <c r="F523" s="23"/>
      <c r="G523" s="20" t="s">
        <v>1216</v>
      </c>
      <c r="H523" s="6"/>
      <c r="I523" s="6"/>
      <c r="J523" s="6">
        <v>120</v>
      </c>
      <c r="K523" s="21"/>
      <c r="L523" s="21" t="s">
        <v>1217</v>
      </c>
      <c r="M523" s="6" t="s">
        <v>238</v>
      </c>
      <c r="N523" s="6" t="s">
        <v>197</v>
      </c>
      <c r="O523" s="6"/>
      <c r="P523" s="6"/>
      <c r="Q523" s="27"/>
      <c r="R523" s="28" t="s">
        <v>151</v>
      </c>
      <c r="S523" s="6" t="s">
        <v>82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 t="shared" si="27"/>
        <v>11.460180600000001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11.460180600000001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t="14.4" hidden="1" x14ac:dyDescent="0.35">
      <c r="A524" s="19" t="s">
        <v>1218</v>
      </c>
      <c r="B524" s="21" t="s">
        <v>41</v>
      </c>
      <c r="C524" s="21">
        <v>1.65</v>
      </c>
      <c r="D524" s="23">
        <v>520</v>
      </c>
      <c r="E524" s="23">
        <v>248</v>
      </c>
      <c r="F524" s="23" t="s">
        <v>1212</v>
      </c>
      <c r="G524" s="20" t="s">
        <v>1219</v>
      </c>
      <c r="H524" s="6"/>
      <c r="I524" s="6" t="s">
        <v>1143</v>
      </c>
      <c r="J524" s="6">
        <v>69</v>
      </c>
      <c r="K524" s="21">
        <v>2</v>
      </c>
      <c r="L524" s="21" t="s">
        <v>1132</v>
      </c>
      <c r="M524" s="6" t="s">
        <v>238</v>
      </c>
      <c r="N524" s="6" t="s">
        <v>197</v>
      </c>
      <c r="O524" s="6" t="s">
        <v>145</v>
      </c>
      <c r="P524" s="6"/>
      <c r="Q524" s="27"/>
      <c r="R524" s="28" t="s">
        <v>151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 t="shared" si="27"/>
        <v>10.64362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10.64362</v>
      </c>
      <c r="AI524" s="64">
        <v>1</v>
      </c>
      <c r="AJ524" s="1" t="s">
        <v>1220</v>
      </c>
      <c r="AK524" s="65">
        <f>20698.99/12</f>
        <v>1724.9158333333335</v>
      </c>
      <c r="AL524" s="1"/>
      <c r="AM524" s="1"/>
      <c r="AN524" s="83"/>
      <c r="AO524" s="81"/>
    </row>
    <row r="525" spans="1:41" s="26" customFormat="1" ht="14.4" hidden="1" x14ac:dyDescent="0.35">
      <c r="A525" s="19" t="s">
        <v>1221</v>
      </c>
      <c r="B525" s="21" t="s">
        <v>41</v>
      </c>
      <c r="C525" s="21">
        <v>1.2</v>
      </c>
      <c r="D525" s="23">
        <v>525</v>
      </c>
      <c r="E525" s="23">
        <v>140</v>
      </c>
      <c r="F525" s="23" t="s">
        <v>1222</v>
      </c>
      <c r="G525" s="20" t="s">
        <v>1223</v>
      </c>
      <c r="H525" s="6"/>
      <c r="I525" s="6" t="s">
        <v>1143</v>
      </c>
      <c r="J525" s="6">
        <v>69</v>
      </c>
      <c r="K525" s="21">
        <v>1.8</v>
      </c>
      <c r="L525" s="21" t="s">
        <v>1132</v>
      </c>
      <c r="M525" s="6" t="s">
        <v>238</v>
      </c>
      <c r="N525" s="6" t="s">
        <v>1151</v>
      </c>
      <c r="O525" s="6" t="s">
        <v>145</v>
      </c>
      <c r="P525" s="6"/>
      <c r="Q525" s="27"/>
      <c r="R525" s="28" t="s">
        <v>151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 t="shared" si="27"/>
        <v>9.7643968000000001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9.7643968000000001</v>
      </c>
      <c r="AI525" s="64">
        <v>1</v>
      </c>
      <c r="AJ525" s="62" t="s">
        <v>1224</v>
      </c>
      <c r="AK525" s="65">
        <f>1060.15666666667+1161.48</f>
        <v>2221.63666666667</v>
      </c>
      <c r="AL525" s="1"/>
      <c r="AM525" s="1"/>
      <c r="AN525" s="83"/>
      <c r="AO525" s="81"/>
    </row>
    <row r="526" spans="1:41" s="26" customFormat="1" ht="14.4" hidden="1" x14ac:dyDescent="0.35">
      <c r="A526" s="19" t="s">
        <v>1225</v>
      </c>
      <c r="B526" s="21" t="s">
        <v>41</v>
      </c>
      <c r="C526" s="21">
        <v>1.2</v>
      </c>
      <c r="D526" s="23">
        <v>600</v>
      </c>
      <c r="E526" s="23">
        <v>115</v>
      </c>
      <c r="F526" s="23" t="s">
        <v>98</v>
      </c>
      <c r="G526" s="20" t="s">
        <v>1226</v>
      </c>
      <c r="H526" s="6"/>
      <c r="I526" s="6" t="s">
        <v>1138</v>
      </c>
      <c r="J526" s="6">
        <v>59</v>
      </c>
      <c r="K526" s="21">
        <v>1.6</v>
      </c>
      <c r="L526" s="21" t="s">
        <v>1132</v>
      </c>
      <c r="M526" s="6" t="s">
        <v>238</v>
      </c>
      <c r="N526" s="6" t="s">
        <v>1151</v>
      </c>
      <c r="O526" s="6" t="s">
        <v>240</v>
      </c>
      <c r="P526" s="6"/>
      <c r="Q526" s="27"/>
      <c r="R526" s="28" t="s">
        <v>151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 t="shared" si="27"/>
        <v>8.2918399999999988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8.2918399999999988</v>
      </c>
      <c r="AI526" s="64">
        <v>1</v>
      </c>
      <c r="AJ526" s="1" t="s">
        <v>1227</v>
      </c>
      <c r="AK526" s="65">
        <f>5364.19/12</f>
        <v>447.01583333333332</v>
      </c>
      <c r="AL526" s="1"/>
      <c r="AM526" s="1"/>
      <c r="AN526" s="83"/>
      <c r="AO526" s="81"/>
    </row>
    <row r="527" spans="1:41" s="26" customFormat="1" ht="20.399999999999999" hidden="1" x14ac:dyDescent="0.35">
      <c r="A527" s="19" t="s">
        <v>1228</v>
      </c>
      <c r="B527" s="21" t="s">
        <v>41</v>
      </c>
      <c r="C527" s="21">
        <v>1.5</v>
      </c>
      <c r="D527" s="23">
        <v>1100</v>
      </c>
      <c r="E527" s="23">
        <v>165</v>
      </c>
      <c r="F527" s="23" t="s">
        <v>98</v>
      </c>
      <c r="G527" s="20" t="s">
        <v>1208</v>
      </c>
      <c r="H527" s="6"/>
      <c r="I527" s="6" t="s">
        <v>1138</v>
      </c>
      <c r="J527" s="6">
        <v>59</v>
      </c>
      <c r="K527" s="21">
        <v>24</v>
      </c>
      <c r="L527" s="21" t="s">
        <v>764</v>
      </c>
      <c r="M527" s="6" t="s">
        <v>203</v>
      </c>
      <c r="N527" s="6" t="s">
        <v>1210</v>
      </c>
      <c r="O527" s="6" t="s">
        <v>240</v>
      </c>
      <c r="P527" s="6"/>
      <c r="Q527" s="27"/>
      <c r="R527" s="28" t="s">
        <v>151</v>
      </c>
      <c r="S527" s="6" t="s">
        <v>82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 t="shared" si="27"/>
        <v>7.8474240000000011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7.8474240000000011</v>
      </c>
      <c r="AI527" s="64">
        <v>2</v>
      </c>
      <c r="AJ527" s="62" t="s">
        <v>1229</v>
      </c>
      <c r="AK527" s="65">
        <v>2016.19</v>
      </c>
      <c r="AL527" s="1"/>
      <c r="AM527" s="1"/>
      <c r="AN527" s="83"/>
      <c r="AO527" s="81"/>
    </row>
    <row r="528" spans="1:41" s="26" customFormat="1" ht="14.4" hidden="1" x14ac:dyDescent="0.35">
      <c r="A528" s="19" t="s">
        <v>723</v>
      </c>
      <c r="B528" s="21" t="s">
        <v>41</v>
      </c>
      <c r="C528" s="21">
        <v>1.2</v>
      </c>
      <c r="D528" s="23">
        <v>550</v>
      </c>
      <c r="E528" s="23"/>
      <c r="F528" s="23"/>
      <c r="G528" s="20" t="s">
        <v>1230</v>
      </c>
      <c r="H528" s="6"/>
      <c r="I528" s="6" t="s">
        <v>1143</v>
      </c>
      <c r="J528" s="6">
        <v>60</v>
      </c>
      <c r="K528" s="21"/>
      <c r="L528" s="21" t="s">
        <v>1132</v>
      </c>
      <c r="M528" s="6" t="s">
        <v>238</v>
      </c>
      <c r="N528" s="6" t="s">
        <v>197</v>
      </c>
      <c r="O528" s="6"/>
      <c r="P528" s="6"/>
      <c r="Q528" s="27"/>
      <c r="R528" s="28" t="s">
        <v>151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 t="shared" si="27"/>
        <v>7.824959999999999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7.824959999999999</v>
      </c>
      <c r="AI528" s="64"/>
      <c r="AJ528" s="1"/>
      <c r="AK528" s="65">
        <v>0</v>
      </c>
      <c r="AL528" s="1"/>
      <c r="AM528" s="1"/>
      <c r="AN528" s="83"/>
      <c r="AO528" s="81"/>
    </row>
    <row r="529" spans="1:41" s="26" customFormat="1" ht="14.4" hidden="1" x14ac:dyDescent="0.35">
      <c r="A529" s="19" t="s">
        <v>1231</v>
      </c>
      <c r="B529" s="21" t="s">
        <v>41</v>
      </c>
      <c r="C529" s="21">
        <v>1.2</v>
      </c>
      <c r="D529" s="23">
        <v>375</v>
      </c>
      <c r="E529" s="23">
        <v>183</v>
      </c>
      <c r="F529" s="23" t="s">
        <v>1222</v>
      </c>
      <c r="G529" s="20" t="s">
        <v>1232</v>
      </c>
      <c r="H529" s="6"/>
      <c r="I529" s="6" t="s">
        <v>1143</v>
      </c>
      <c r="J529" s="6">
        <v>60</v>
      </c>
      <c r="K529" s="21"/>
      <c r="L529" s="21" t="s">
        <v>840</v>
      </c>
      <c r="M529" s="6" t="s">
        <v>238</v>
      </c>
      <c r="N529" s="6">
        <v>246</v>
      </c>
      <c r="O529" s="6" t="s">
        <v>145</v>
      </c>
      <c r="P529" s="6"/>
      <c r="Q529" s="27"/>
      <c r="R529" s="28" t="s">
        <v>151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 t="shared" si="27"/>
        <v>6.8000640000000008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6.8000640000000008</v>
      </c>
      <c r="AI529" s="64">
        <v>1</v>
      </c>
      <c r="AJ529" s="1" t="s">
        <v>1233</v>
      </c>
      <c r="AK529" s="65">
        <f>6829.6/12</f>
        <v>569.13333333333333</v>
      </c>
      <c r="AL529" s="1"/>
      <c r="AM529" s="1"/>
      <c r="AN529" s="83"/>
      <c r="AO529" s="81"/>
    </row>
    <row r="530" spans="1:41" s="26" customFormat="1" ht="14.4" hidden="1" x14ac:dyDescent="0.35">
      <c r="A530" s="19" t="s">
        <v>1234</v>
      </c>
      <c r="B530" s="21" t="s">
        <v>54</v>
      </c>
      <c r="C530" s="21">
        <v>3</v>
      </c>
      <c r="D530" s="23">
        <v>1050</v>
      </c>
      <c r="E530" s="23"/>
      <c r="F530" s="23"/>
      <c r="G530" s="20" t="s">
        <v>1235</v>
      </c>
      <c r="H530" s="6"/>
      <c r="I530" s="6" t="s">
        <v>1138</v>
      </c>
      <c r="J530" s="6">
        <v>59</v>
      </c>
      <c r="K530" s="21">
        <v>20</v>
      </c>
      <c r="L530" s="21" t="s">
        <v>764</v>
      </c>
      <c r="M530" s="6" t="s">
        <v>203</v>
      </c>
      <c r="N530" s="6" t="s">
        <v>1210</v>
      </c>
      <c r="O530" s="6"/>
      <c r="P530" s="6"/>
      <c r="Q530" s="27"/>
      <c r="R530" s="28" t="s">
        <v>151</v>
      </c>
      <c r="S530" s="6" t="s">
        <v>82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 t="shared" si="27"/>
        <v>6.5020551999999991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6.5020551999999991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t="14.4" hidden="1" x14ac:dyDescent="0.35">
      <c r="A531" s="19" t="s">
        <v>1236</v>
      </c>
      <c r="B531" s="21" t="s">
        <v>41</v>
      </c>
      <c r="C531" s="21">
        <v>1.2</v>
      </c>
      <c r="D531" s="23">
        <v>1150</v>
      </c>
      <c r="E531" s="23"/>
      <c r="F531" s="23"/>
      <c r="G531" s="20" t="s">
        <v>1208</v>
      </c>
      <c r="H531" s="6"/>
      <c r="I531" s="6" t="s">
        <v>1143</v>
      </c>
      <c r="J531" s="6">
        <v>69</v>
      </c>
      <c r="K531" s="21">
        <v>26</v>
      </c>
      <c r="L531" s="21" t="s">
        <v>764</v>
      </c>
      <c r="M531" s="6" t="s">
        <v>1209</v>
      </c>
      <c r="N531" s="6" t="s">
        <v>1237</v>
      </c>
      <c r="O531" s="6"/>
      <c r="P531" s="6"/>
      <c r="Q531" s="27"/>
      <c r="R531" s="28" t="s">
        <v>151</v>
      </c>
      <c r="S531" s="6" t="s">
        <v>82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 t="shared" si="27"/>
        <v>6.4552560000000003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6.4552560000000003</v>
      </c>
      <c r="AI531" s="64"/>
      <c r="AJ531" s="1"/>
      <c r="AK531" s="65">
        <v>0</v>
      </c>
      <c r="AL531" s="1"/>
      <c r="AM531" s="1"/>
      <c r="AN531" s="83"/>
      <c r="AO531" s="81"/>
    </row>
    <row r="532" spans="1:41" s="26" customFormat="1" ht="14.4" hidden="1" x14ac:dyDescent="0.35">
      <c r="A532" s="19" t="s">
        <v>1238</v>
      </c>
      <c r="B532" s="21" t="s">
        <v>79</v>
      </c>
      <c r="C532" s="21">
        <v>2.5</v>
      </c>
      <c r="D532" s="23">
        <v>525</v>
      </c>
      <c r="E532" s="23">
        <v>97</v>
      </c>
      <c r="F532" s="23" t="s">
        <v>1239</v>
      </c>
      <c r="G532" s="20" t="s">
        <v>1240</v>
      </c>
      <c r="H532" s="6"/>
      <c r="I532" s="6" t="s">
        <v>1143</v>
      </c>
      <c r="J532" s="6">
        <v>69</v>
      </c>
      <c r="K532" s="21">
        <v>2</v>
      </c>
      <c r="L532" s="21" t="s">
        <v>1132</v>
      </c>
      <c r="M532" s="6" t="s">
        <v>238</v>
      </c>
      <c r="N532" s="6" t="s">
        <v>197</v>
      </c>
      <c r="O532" s="6" t="s">
        <v>145</v>
      </c>
      <c r="P532" s="6"/>
      <c r="Q532" s="27"/>
      <c r="R532" s="28" t="s">
        <v>151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 t="shared" si="27"/>
        <v>6.3897599999999999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6.3897599999999999</v>
      </c>
      <c r="AI532" s="64">
        <v>1</v>
      </c>
      <c r="AJ532" s="1" t="s">
        <v>1241</v>
      </c>
      <c r="AK532" s="65">
        <f>9529.58/12</f>
        <v>794.13166666666666</v>
      </c>
      <c r="AL532" s="1"/>
      <c r="AM532" s="1"/>
      <c r="AN532" s="83"/>
      <c r="AO532" s="81"/>
    </row>
    <row r="533" spans="1:41" s="26" customFormat="1" ht="14.4" hidden="1" x14ac:dyDescent="0.35">
      <c r="A533" s="19" t="s">
        <v>1242</v>
      </c>
      <c r="B533" s="21" t="s">
        <v>41</v>
      </c>
      <c r="C533" s="21">
        <v>1.2</v>
      </c>
      <c r="D533" s="23">
        <v>467</v>
      </c>
      <c r="E533" s="23">
        <v>130</v>
      </c>
      <c r="F533" s="23" t="s">
        <v>1222</v>
      </c>
      <c r="G533" s="20" t="s">
        <v>1243</v>
      </c>
      <c r="H533" s="6"/>
      <c r="I533" s="6" t="s">
        <v>1143</v>
      </c>
      <c r="J533" s="6">
        <v>60</v>
      </c>
      <c r="K533" s="21"/>
      <c r="L533" s="21" t="s">
        <v>840</v>
      </c>
      <c r="M533" s="6" t="s">
        <v>238</v>
      </c>
      <c r="N533" s="6">
        <v>246</v>
      </c>
      <c r="O533" s="6" t="s">
        <v>145</v>
      </c>
      <c r="P533" s="6"/>
      <c r="Q533" s="27"/>
      <c r="R533" s="28" t="s">
        <v>151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 t="shared" si="27"/>
        <v>5.9438399999999998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5.9438399999999998</v>
      </c>
      <c r="AI533" s="64">
        <v>1</v>
      </c>
      <c r="AJ533" s="1">
        <f>6072.26/12</f>
        <v>506.0216666666667</v>
      </c>
      <c r="AK533" s="65">
        <v>0</v>
      </c>
      <c r="AL533" s="1"/>
      <c r="AM533" s="1"/>
      <c r="AN533" s="83"/>
      <c r="AO533" s="81"/>
    </row>
    <row r="534" spans="1:41" s="26" customFormat="1" ht="14.4" hidden="1" x14ac:dyDescent="0.35">
      <c r="A534" s="19" t="s">
        <v>1244</v>
      </c>
      <c r="B534" s="21" t="s">
        <v>79</v>
      </c>
      <c r="C534" s="21">
        <v>2.5</v>
      </c>
      <c r="D534" s="23">
        <v>1000</v>
      </c>
      <c r="E534" s="23"/>
      <c r="F534" s="23" t="s">
        <v>1239</v>
      </c>
      <c r="G534" s="20" t="s">
        <v>1245</v>
      </c>
      <c r="H534" s="6"/>
      <c r="I534" s="6" t="s">
        <v>1143</v>
      </c>
      <c r="J534" s="6">
        <v>69</v>
      </c>
      <c r="K534" s="21">
        <v>1.7</v>
      </c>
      <c r="L534" s="21" t="s">
        <v>1132</v>
      </c>
      <c r="M534" s="6" t="s">
        <v>238</v>
      </c>
      <c r="N534" s="6" t="s">
        <v>197</v>
      </c>
      <c r="O534" s="6"/>
      <c r="P534" s="6"/>
      <c r="Q534" s="27"/>
      <c r="R534" s="28" t="s">
        <v>151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 t="shared" si="27"/>
        <v>5.67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5.67</v>
      </c>
      <c r="AI534" s="64"/>
      <c r="AJ534" s="1"/>
      <c r="AK534" s="65">
        <v>0</v>
      </c>
      <c r="AL534" s="1"/>
      <c r="AM534" s="1"/>
      <c r="AN534" s="83"/>
      <c r="AO534" s="81"/>
    </row>
    <row r="535" spans="1:41" s="26" customFormat="1" ht="14.4" hidden="1" x14ac:dyDescent="0.35">
      <c r="A535" s="19" t="s">
        <v>734</v>
      </c>
      <c r="B535" s="21" t="s">
        <v>79</v>
      </c>
      <c r="C535" s="21">
        <v>0.75</v>
      </c>
      <c r="D535" s="23">
        <v>500</v>
      </c>
      <c r="E535" s="23">
        <v>325</v>
      </c>
      <c r="F535" s="23" t="s">
        <v>98</v>
      </c>
      <c r="G535" s="20" t="s">
        <v>1246</v>
      </c>
      <c r="H535" s="6"/>
      <c r="I535" s="6" t="s">
        <v>1138</v>
      </c>
      <c r="J535" s="6">
        <v>59</v>
      </c>
      <c r="K535" s="21">
        <v>5</v>
      </c>
      <c r="L535" s="21" t="s">
        <v>1132</v>
      </c>
      <c r="M535" s="6" t="s">
        <v>238</v>
      </c>
      <c r="N535" s="6" t="s">
        <v>197</v>
      </c>
      <c r="O535" s="6"/>
      <c r="P535" s="6"/>
      <c r="Q535" s="27"/>
      <c r="R535" s="28" t="s">
        <v>151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 t="shared" si="27"/>
        <v>5.6067839999999993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5.6067839999999993</v>
      </c>
      <c r="AI535" s="64">
        <v>1</v>
      </c>
      <c r="AJ535" s="1" t="s">
        <v>1247</v>
      </c>
      <c r="AK535" s="65">
        <f>10239.63/12</f>
        <v>853.3024999999999</v>
      </c>
      <c r="AL535" s="1"/>
      <c r="AM535" s="1"/>
      <c r="AN535" s="83"/>
      <c r="AO535" s="81"/>
    </row>
    <row r="536" spans="1:41" s="26" customFormat="1" ht="14.4" hidden="1" x14ac:dyDescent="0.35">
      <c r="A536" s="19" t="s">
        <v>1248</v>
      </c>
      <c r="B536" s="21" t="s">
        <v>41</v>
      </c>
      <c r="C536" s="21">
        <v>0.7</v>
      </c>
      <c r="D536" s="23">
        <v>750</v>
      </c>
      <c r="E536" s="23">
        <v>241</v>
      </c>
      <c r="F536" s="23" t="s">
        <v>98</v>
      </c>
      <c r="G536" s="20" t="s">
        <v>1203</v>
      </c>
      <c r="H536" s="6"/>
      <c r="I536" s="6" t="s">
        <v>1143</v>
      </c>
      <c r="J536" s="6">
        <v>60</v>
      </c>
      <c r="K536" s="21"/>
      <c r="L536" s="21" t="s">
        <v>840</v>
      </c>
      <c r="M536" s="6" t="s">
        <v>238</v>
      </c>
      <c r="N536" s="6">
        <v>246</v>
      </c>
      <c r="O536" s="6" t="s">
        <v>145</v>
      </c>
      <c r="P536" s="6"/>
      <c r="Q536" s="27"/>
      <c r="R536" s="28" t="s">
        <v>151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 t="shared" si="27"/>
        <v>5.1632960000000008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5.1632960000000008</v>
      </c>
      <c r="AI536" s="64">
        <v>1</v>
      </c>
      <c r="AJ536" s="1" t="s">
        <v>1249</v>
      </c>
      <c r="AK536" s="65">
        <f>25247/12</f>
        <v>2103.9166666666665</v>
      </c>
      <c r="AL536" s="1"/>
      <c r="AM536" s="1"/>
      <c r="AN536" s="83"/>
    </row>
    <row r="537" spans="1:41" s="26" customFormat="1" ht="14.4" hidden="1" x14ac:dyDescent="0.35">
      <c r="A537" s="19" t="s">
        <v>1250</v>
      </c>
      <c r="B537" s="21" t="s">
        <v>41</v>
      </c>
      <c r="C537" s="21">
        <v>0.8</v>
      </c>
      <c r="D537" s="23">
        <v>350</v>
      </c>
      <c r="E537" s="23">
        <v>180</v>
      </c>
      <c r="F537" s="23" t="s">
        <v>98</v>
      </c>
      <c r="G537" s="20" t="s">
        <v>1251</v>
      </c>
      <c r="H537" s="6"/>
      <c r="I537" s="6" t="s">
        <v>1143</v>
      </c>
      <c r="J537" s="6">
        <v>69</v>
      </c>
      <c r="K537" s="21">
        <v>2</v>
      </c>
      <c r="L537" s="21" t="s">
        <v>1132</v>
      </c>
      <c r="M537" s="6" t="s">
        <v>238</v>
      </c>
      <c r="N537" s="6" t="s">
        <v>1151</v>
      </c>
      <c r="O537" s="6" t="s">
        <v>145</v>
      </c>
      <c r="P537" s="6"/>
      <c r="Q537" s="27"/>
      <c r="R537" s="28" t="s">
        <v>151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 t="shared" si="27"/>
        <v>5.0388000000000002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5.0388000000000002</v>
      </c>
      <c r="AI537" s="64">
        <v>1</v>
      </c>
      <c r="AJ537" s="1" t="s">
        <v>1252</v>
      </c>
      <c r="AK537" s="65">
        <f>8902.03/12</f>
        <v>741.83583333333343</v>
      </c>
      <c r="AL537" s="1"/>
      <c r="AM537" s="1"/>
      <c r="AN537" s="83"/>
    </row>
    <row r="538" spans="1:41" s="26" customFormat="1" ht="14.4" hidden="1" x14ac:dyDescent="0.35">
      <c r="A538" s="19" t="s">
        <v>1253</v>
      </c>
      <c r="B538" s="21" t="s">
        <v>41</v>
      </c>
      <c r="C538" s="21">
        <v>1.2</v>
      </c>
      <c r="D538" s="23">
        <v>1300</v>
      </c>
      <c r="E538" s="23"/>
      <c r="F538" s="23"/>
      <c r="G538" s="20" t="s">
        <v>1254</v>
      </c>
      <c r="H538" s="6"/>
      <c r="I538" s="6" t="s">
        <v>1138</v>
      </c>
      <c r="J538" s="6">
        <v>59</v>
      </c>
      <c r="K538" s="21">
        <v>28</v>
      </c>
      <c r="L538" s="21" t="s">
        <v>764</v>
      </c>
      <c r="M538" s="6" t="s">
        <v>1209</v>
      </c>
      <c r="N538" s="6" t="s">
        <v>1255</v>
      </c>
      <c r="O538" s="6"/>
      <c r="P538" s="6"/>
      <c r="Q538" s="27"/>
      <c r="R538" s="28" t="s">
        <v>151</v>
      </c>
      <c r="S538" s="6" t="s">
        <v>82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 t="shared" si="27"/>
        <v>4.941025999999999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4.941025999999999</v>
      </c>
      <c r="AI538" s="64"/>
      <c r="AJ538" s="1"/>
      <c r="AK538" s="65">
        <v>0</v>
      </c>
      <c r="AL538" s="1"/>
      <c r="AM538" s="1"/>
      <c r="AN538" s="83"/>
    </row>
    <row r="539" spans="1:41" s="26" customFormat="1" ht="14.4" hidden="1" x14ac:dyDescent="0.35">
      <c r="A539" s="19" t="s">
        <v>719</v>
      </c>
      <c r="B539" s="21" t="s">
        <v>41</v>
      </c>
      <c r="C539" s="21">
        <v>0.8</v>
      </c>
      <c r="D539" s="23">
        <v>900</v>
      </c>
      <c r="E539" s="23"/>
      <c r="F539" s="23"/>
      <c r="G539" s="20" t="s">
        <v>1230</v>
      </c>
      <c r="H539" s="6"/>
      <c r="I539" s="6" t="s">
        <v>1143</v>
      </c>
      <c r="J539" s="6">
        <v>60</v>
      </c>
      <c r="K539" s="21"/>
      <c r="L539" s="21" t="s">
        <v>1132</v>
      </c>
      <c r="M539" s="6" t="s">
        <v>238</v>
      </c>
      <c r="N539" s="6" t="s">
        <v>197</v>
      </c>
      <c r="O539" s="6"/>
      <c r="P539" s="6"/>
      <c r="Q539" s="27"/>
      <c r="R539" s="28" t="s">
        <v>151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 t="shared" si="27"/>
        <v>4.9210056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4.9210056</v>
      </c>
      <c r="AI539" s="64"/>
      <c r="AJ539" s="1"/>
      <c r="AK539" s="65">
        <v>0</v>
      </c>
      <c r="AL539" s="1"/>
      <c r="AM539" s="1"/>
      <c r="AN539" s="83"/>
    </row>
    <row r="540" spans="1:41" s="26" customFormat="1" ht="14.4" hidden="1" x14ac:dyDescent="0.35">
      <c r="A540" s="19" t="s">
        <v>1256</v>
      </c>
      <c r="B540" s="21" t="s">
        <v>41</v>
      </c>
      <c r="C540" s="21">
        <v>2.5</v>
      </c>
      <c r="D540" s="23">
        <v>175</v>
      </c>
      <c r="E540" s="23">
        <v>132</v>
      </c>
      <c r="F540" s="23">
        <v>0.105</v>
      </c>
      <c r="G540" s="20" t="s">
        <v>1245</v>
      </c>
      <c r="H540" s="6"/>
      <c r="I540" s="6" t="s">
        <v>1138</v>
      </c>
      <c r="J540" s="6">
        <v>59</v>
      </c>
      <c r="K540" s="21">
        <v>1.9</v>
      </c>
      <c r="L540" s="21" t="s">
        <v>1132</v>
      </c>
      <c r="M540" s="6" t="s">
        <v>238</v>
      </c>
      <c r="N540" s="6">
        <v>246</v>
      </c>
      <c r="O540" s="6" t="s">
        <v>240</v>
      </c>
      <c r="P540" s="6"/>
      <c r="Q540" s="27"/>
      <c r="R540" s="28" t="s">
        <v>151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 t="shared" si="27"/>
        <v>4.4543999999999997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4.4543999999999997</v>
      </c>
      <c r="AI540" s="64">
        <v>1</v>
      </c>
      <c r="AJ540" s="1" t="s">
        <v>1257</v>
      </c>
      <c r="AK540" s="65">
        <f>3984.53/12</f>
        <v>332.04416666666668</v>
      </c>
      <c r="AL540" s="1"/>
      <c r="AM540" s="1"/>
      <c r="AN540" s="83"/>
    </row>
    <row r="541" spans="1:41" s="26" customFormat="1" ht="14.4" hidden="1" x14ac:dyDescent="0.35">
      <c r="A541" s="19" t="s">
        <v>1258</v>
      </c>
      <c r="B541" s="21" t="s">
        <v>41</v>
      </c>
      <c r="C541" s="21">
        <v>0.7</v>
      </c>
      <c r="D541" s="23">
        <v>1350</v>
      </c>
      <c r="E541" s="23"/>
      <c r="F541" s="23"/>
      <c r="G541" s="20" t="s">
        <v>1259</v>
      </c>
      <c r="H541" s="6"/>
      <c r="I541" s="6" t="s">
        <v>1138</v>
      </c>
      <c r="J541" s="6">
        <v>59</v>
      </c>
      <c r="K541" s="21">
        <v>30</v>
      </c>
      <c r="L541" s="21" t="s">
        <v>764</v>
      </c>
      <c r="M541" s="6" t="s">
        <v>203</v>
      </c>
      <c r="N541" s="6" t="s">
        <v>1210</v>
      </c>
      <c r="O541" s="6"/>
      <c r="P541" s="6"/>
      <c r="Q541" s="27"/>
      <c r="R541" s="28" t="s">
        <v>151</v>
      </c>
      <c r="S541" s="6" t="s">
        <v>82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 t="shared" si="27"/>
        <v>4.3885800000000001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4.3885800000000001</v>
      </c>
      <c r="AI541" s="64"/>
      <c r="AJ541" s="1"/>
      <c r="AK541" s="65">
        <v>0</v>
      </c>
      <c r="AL541" s="1"/>
      <c r="AM541" s="1"/>
      <c r="AN541" s="83"/>
    </row>
    <row r="542" spans="1:41" s="26" customFormat="1" ht="14.4" hidden="1" x14ac:dyDescent="0.35">
      <c r="A542" s="19" t="s">
        <v>1260</v>
      </c>
      <c r="B542" s="21" t="s">
        <v>79</v>
      </c>
      <c r="C542" s="21">
        <v>1.5</v>
      </c>
      <c r="D542" s="23">
        <v>350</v>
      </c>
      <c r="E542" s="23">
        <v>161</v>
      </c>
      <c r="F542" s="23" t="s">
        <v>1212</v>
      </c>
      <c r="G542" s="20" t="s">
        <v>1261</v>
      </c>
      <c r="H542" s="6"/>
      <c r="I542" s="6" t="s">
        <v>1143</v>
      </c>
      <c r="J542" s="6">
        <v>69</v>
      </c>
      <c r="K542" s="21">
        <v>1.1000000000000001</v>
      </c>
      <c r="L542" s="21" t="s">
        <v>1132</v>
      </c>
      <c r="M542" s="6" t="s">
        <v>238</v>
      </c>
      <c r="N542" s="6" t="s">
        <v>197</v>
      </c>
      <c r="O542" s="6" t="s">
        <v>145</v>
      </c>
      <c r="P542" s="6"/>
      <c r="Q542" s="27"/>
      <c r="R542" s="28" t="s">
        <v>151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 t="shared" si="27"/>
        <v>4.1429680000000007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4.1429680000000007</v>
      </c>
      <c r="AI542" s="64">
        <v>1</v>
      </c>
      <c r="AJ542" s="1" t="s">
        <v>1262</v>
      </c>
      <c r="AK542" s="65">
        <f>6584.07/12</f>
        <v>548.67250000000001</v>
      </c>
      <c r="AL542" s="1"/>
      <c r="AM542" s="1"/>
      <c r="AN542" s="83"/>
    </row>
    <row r="543" spans="1:41" s="26" customFormat="1" ht="14.4" hidden="1" x14ac:dyDescent="0.35">
      <c r="A543" s="19" t="s">
        <v>1263</v>
      </c>
      <c r="B543" s="21" t="s">
        <v>41</v>
      </c>
      <c r="C543" s="21">
        <v>0.8</v>
      </c>
      <c r="D543" s="23">
        <v>350</v>
      </c>
      <c r="E543" s="23">
        <v>144</v>
      </c>
      <c r="F543" s="23" t="s">
        <v>98</v>
      </c>
      <c r="G543" s="20" t="s">
        <v>1190</v>
      </c>
      <c r="H543" s="6"/>
      <c r="I543" s="6" t="s">
        <v>1143</v>
      </c>
      <c r="J543" s="6">
        <v>69</v>
      </c>
      <c r="K543" s="21">
        <v>1.3</v>
      </c>
      <c r="L543" s="21" t="s">
        <v>1132</v>
      </c>
      <c r="M543" s="6" t="s">
        <v>238</v>
      </c>
      <c r="N543" s="6" t="s">
        <v>1151</v>
      </c>
      <c r="O543" s="6" t="s">
        <v>240</v>
      </c>
      <c r="P543" s="6"/>
      <c r="Q543" s="27"/>
      <c r="R543" s="28" t="s">
        <v>151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 t="shared" si="27"/>
        <v>3.9436799999999996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3.9436799999999996</v>
      </c>
      <c r="AI543" s="64">
        <v>1</v>
      </c>
      <c r="AJ543" s="1" t="s">
        <v>1264</v>
      </c>
      <c r="AK543" s="65">
        <f>3330.91/12</f>
        <v>277.57583333333332</v>
      </c>
      <c r="AL543" s="1"/>
      <c r="AM543" s="1"/>
      <c r="AN543" s="83"/>
    </row>
    <row r="544" spans="1:41" s="26" customFormat="1" ht="14.4" hidden="1" x14ac:dyDescent="0.35">
      <c r="A544" s="19" t="s">
        <v>1265</v>
      </c>
      <c r="B544" s="21" t="s">
        <v>79</v>
      </c>
      <c r="C544" s="21">
        <v>1.5</v>
      </c>
      <c r="D544" s="23">
        <v>367</v>
      </c>
      <c r="E544" s="23">
        <v>145</v>
      </c>
      <c r="F544" s="23" t="s">
        <v>1212</v>
      </c>
      <c r="G544" s="20" t="s">
        <v>1261</v>
      </c>
      <c r="H544" s="6"/>
      <c r="I544" s="6" t="s">
        <v>1143</v>
      </c>
      <c r="J544" s="6">
        <v>69</v>
      </c>
      <c r="K544" s="21">
        <v>1.1000000000000001</v>
      </c>
      <c r="L544" s="21" t="s">
        <v>1132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 t="shared" si="27"/>
        <v>3.9114491999999998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3.9114491999999998</v>
      </c>
      <c r="AI544" s="64">
        <v>1</v>
      </c>
      <c r="AJ544" s="1" t="s">
        <v>1266</v>
      </c>
      <c r="AK544" s="65">
        <f>6302.45/12</f>
        <v>525.20416666666665</v>
      </c>
      <c r="AL544" s="1"/>
      <c r="AM544" s="1"/>
      <c r="AN544" s="83"/>
    </row>
    <row r="545" spans="1:40" s="26" customFormat="1" ht="14.4" hidden="1" x14ac:dyDescent="0.35">
      <c r="A545" s="19" t="s">
        <v>1267</v>
      </c>
      <c r="B545" s="21" t="s">
        <v>79</v>
      </c>
      <c r="C545" s="21">
        <v>1.4</v>
      </c>
      <c r="D545" s="23">
        <v>1050</v>
      </c>
      <c r="E545" s="23"/>
      <c r="F545" s="23"/>
      <c r="G545" s="20" t="s">
        <v>1235</v>
      </c>
      <c r="H545" s="6"/>
      <c r="I545" s="6" t="s">
        <v>1143</v>
      </c>
      <c r="J545" s="6">
        <v>69</v>
      </c>
      <c r="K545" s="21">
        <v>24</v>
      </c>
      <c r="L545" s="21" t="s">
        <v>764</v>
      </c>
      <c r="M545" s="6" t="s">
        <v>203</v>
      </c>
      <c r="N545" s="6" t="s">
        <v>1210</v>
      </c>
      <c r="O545" s="6"/>
      <c r="P545" s="6"/>
      <c r="Q545" s="27"/>
      <c r="R545" s="28" t="s">
        <v>151</v>
      </c>
      <c r="S545" s="6" t="s">
        <v>82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 t="shared" si="27"/>
        <v>3.8702144000000005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3.8702144000000005</v>
      </c>
      <c r="AI545" s="64"/>
      <c r="AJ545" s="1"/>
      <c r="AK545" s="65">
        <v>0</v>
      </c>
      <c r="AL545" s="1"/>
      <c r="AM545" s="1"/>
      <c r="AN545" s="83"/>
    </row>
    <row r="546" spans="1:40" s="26" customFormat="1" ht="14.4" hidden="1" x14ac:dyDescent="0.35">
      <c r="A546" s="19" t="s">
        <v>1268</v>
      </c>
      <c r="B546" s="21" t="s">
        <v>79</v>
      </c>
      <c r="C546" s="21">
        <v>1.6</v>
      </c>
      <c r="D546" s="23">
        <v>417</v>
      </c>
      <c r="E546" s="23">
        <v>125</v>
      </c>
      <c r="F546" s="23" t="s">
        <v>1212</v>
      </c>
      <c r="G546" s="20" t="s">
        <v>1269</v>
      </c>
      <c r="H546" s="6"/>
      <c r="I546" s="6" t="s">
        <v>1143</v>
      </c>
      <c r="J546" s="6">
        <v>69</v>
      </c>
      <c r="K546" s="21">
        <v>1.5</v>
      </c>
      <c r="L546" s="21" t="s">
        <v>1132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 t="shared" si="27"/>
        <v>3.834384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3.834384</v>
      </c>
      <c r="AI546" s="64">
        <v>1</v>
      </c>
      <c r="AJ546" s="1" t="s">
        <v>1270</v>
      </c>
      <c r="AK546" s="65">
        <f>6848.75/12</f>
        <v>570.72916666666663</v>
      </c>
      <c r="AL546" s="1"/>
      <c r="AM546" s="1"/>
      <c r="AN546" s="83"/>
    </row>
    <row r="547" spans="1:40" s="26" customFormat="1" ht="14.4" hidden="1" x14ac:dyDescent="0.35">
      <c r="A547" s="19" t="s">
        <v>1271</v>
      </c>
      <c r="B547" s="21" t="s">
        <v>41</v>
      </c>
      <c r="C547" s="21">
        <v>1.5</v>
      </c>
      <c r="D547" s="23">
        <v>1050</v>
      </c>
      <c r="E547" s="23"/>
      <c r="F547" s="23"/>
      <c r="G547" s="20" t="s">
        <v>1208</v>
      </c>
      <c r="H547" s="6"/>
      <c r="I547" s="6" t="s">
        <v>1143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1210</v>
      </c>
      <c r="O547" s="6"/>
      <c r="P547" s="6"/>
      <c r="Q547" s="27"/>
      <c r="R547" s="28" t="s">
        <v>151</v>
      </c>
      <c r="S547" s="6" t="s">
        <v>82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 t="shared" si="27"/>
        <v>3.8015999999999996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3.8015999999999996</v>
      </c>
      <c r="AI547" s="64"/>
      <c r="AJ547" s="1"/>
      <c r="AK547" s="65">
        <v>0</v>
      </c>
      <c r="AL547" s="1"/>
      <c r="AM547" s="1"/>
      <c r="AN547" s="83"/>
    </row>
    <row r="548" spans="1:40" s="26" customFormat="1" ht="14.4" hidden="1" x14ac:dyDescent="0.35">
      <c r="A548" s="19" t="s">
        <v>1272</v>
      </c>
      <c r="B548" s="21" t="s">
        <v>79</v>
      </c>
      <c r="C548" s="21">
        <v>1</v>
      </c>
      <c r="D548" s="23" t="s">
        <v>953</v>
      </c>
      <c r="E548" s="23"/>
      <c r="F548" s="23"/>
      <c r="G548" s="20" t="s">
        <v>1273</v>
      </c>
      <c r="H548" s="6"/>
      <c r="I548" s="6" t="s">
        <v>1143</v>
      </c>
      <c r="J548" s="6">
        <v>69</v>
      </c>
      <c r="K548" s="21">
        <v>18</v>
      </c>
      <c r="L548" s="21" t="s">
        <v>764</v>
      </c>
      <c r="M548" s="6" t="s">
        <v>203</v>
      </c>
      <c r="N548" s="6" t="s">
        <v>1210</v>
      </c>
      <c r="O548" s="6"/>
      <c r="P548" s="6"/>
      <c r="Q548" s="27"/>
      <c r="R548" s="28" t="s">
        <v>151</v>
      </c>
      <c r="S548" s="6" t="s">
        <v>82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 t="shared" si="27"/>
        <v>3.7963200000000001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3.7963200000000001</v>
      </c>
      <c r="AI548" s="64"/>
      <c r="AJ548" s="1"/>
      <c r="AK548" s="65">
        <v>0</v>
      </c>
      <c r="AL548" s="1"/>
      <c r="AM548" s="1"/>
      <c r="AN548" s="83"/>
    </row>
    <row r="549" spans="1:40" s="26" customFormat="1" ht="14.4" hidden="1" x14ac:dyDescent="0.35">
      <c r="A549" s="19" t="s">
        <v>1274</v>
      </c>
      <c r="B549" s="21" t="s">
        <v>41</v>
      </c>
      <c r="C549" s="21">
        <v>1.2</v>
      </c>
      <c r="D549" s="23">
        <v>1000</v>
      </c>
      <c r="E549" s="23"/>
      <c r="F549" s="23"/>
      <c r="G549" s="20" t="s">
        <v>460</v>
      </c>
      <c r="H549" s="6"/>
      <c r="I549" s="6" t="s">
        <v>1143</v>
      </c>
      <c r="J549" s="6">
        <v>69</v>
      </c>
      <c r="K549" s="21">
        <v>22</v>
      </c>
      <c r="L549" s="21" t="s">
        <v>764</v>
      </c>
      <c r="M549" s="6" t="s">
        <v>203</v>
      </c>
      <c r="N549" s="6" t="s">
        <v>1210</v>
      </c>
      <c r="O549" s="6"/>
      <c r="P549" s="6"/>
      <c r="Q549" s="27"/>
      <c r="R549" s="28" t="s">
        <v>151</v>
      </c>
      <c r="S549" s="6" t="s">
        <v>82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 t="shared" si="27"/>
        <v>3.7915680000000003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3.7915680000000003</v>
      </c>
      <c r="AI549" s="64"/>
      <c r="AJ549" s="1"/>
      <c r="AK549" s="65">
        <v>0</v>
      </c>
      <c r="AL549" s="1"/>
      <c r="AM549" s="1"/>
      <c r="AN549" s="83"/>
    </row>
    <row r="550" spans="1:40" s="26" customFormat="1" ht="14.4" hidden="1" x14ac:dyDescent="0.35">
      <c r="A550" s="19" t="s">
        <v>738</v>
      </c>
      <c r="B550" s="21" t="s">
        <v>41</v>
      </c>
      <c r="C550" s="21">
        <v>1.2</v>
      </c>
      <c r="D550" s="23">
        <v>316</v>
      </c>
      <c r="E550" s="23"/>
      <c r="F550" s="23"/>
      <c r="G550" s="20" t="s">
        <v>1184</v>
      </c>
      <c r="H550" s="6"/>
      <c r="I550" s="6" t="s">
        <v>1143</v>
      </c>
      <c r="J550" s="6">
        <v>69</v>
      </c>
      <c r="K550" s="21">
        <v>1</v>
      </c>
      <c r="L550" s="21" t="s">
        <v>1132</v>
      </c>
      <c r="M550" s="6" t="s">
        <v>238</v>
      </c>
      <c r="N550" s="6" t="s">
        <v>197</v>
      </c>
      <c r="O550" s="6"/>
      <c r="P550" s="6"/>
      <c r="Q550" s="27"/>
      <c r="R550" s="28" t="s">
        <v>151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 t="shared" si="27"/>
        <v>3.4980000000000002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3.4980000000000002</v>
      </c>
      <c r="AI550" s="64"/>
      <c r="AJ550" s="1"/>
      <c r="AK550" s="65">
        <v>0</v>
      </c>
      <c r="AL550" s="1"/>
      <c r="AM550" s="1"/>
      <c r="AN550" s="83"/>
    </row>
    <row r="551" spans="1:40" s="26" customFormat="1" ht="14.4" hidden="1" x14ac:dyDescent="0.35">
      <c r="A551" s="19" t="s">
        <v>1275</v>
      </c>
      <c r="B551" s="21" t="s">
        <v>79</v>
      </c>
      <c r="C551" s="21">
        <v>1.8</v>
      </c>
      <c r="D551" s="23">
        <v>190</v>
      </c>
      <c r="E551" s="23">
        <v>115</v>
      </c>
      <c r="F551" s="23" t="s">
        <v>1276</v>
      </c>
      <c r="G551" s="20" t="s">
        <v>1277</v>
      </c>
      <c r="H551" s="6"/>
      <c r="I551" s="6" t="s">
        <v>1143</v>
      </c>
      <c r="J551" s="6">
        <v>69</v>
      </c>
      <c r="K551" s="21">
        <v>1.6</v>
      </c>
      <c r="L551" s="21" t="s">
        <v>1132</v>
      </c>
      <c r="M551" s="6" t="s">
        <v>238</v>
      </c>
      <c r="N551" s="6" t="s">
        <v>1151</v>
      </c>
      <c r="O551" s="6" t="s">
        <v>240</v>
      </c>
      <c r="P551" s="6"/>
      <c r="Q551" s="27"/>
      <c r="R551" s="28" t="s">
        <v>151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 t="shared" si="27"/>
        <v>3.2808652799999996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3.2808652799999996</v>
      </c>
      <c r="AI551" s="64">
        <v>1</v>
      </c>
      <c r="AJ551" s="1" t="s">
        <v>1278</v>
      </c>
      <c r="AK551" s="65">
        <f>2328.83/12</f>
        <v>194.06916666666666</v>
      </c>
      <c r="AL551" s="1"/>
      <c r="AM551" s="1"/>
      <c r="AN551" s="83"/>
    </row>
    <row r="552" spans="1:40" s="26" customFormat="1" ht="14.4" hidden="1" x14ac:dyDescent="0.35">
      <c r="A552" s="19" t="s">
        <v>1279</v>
      </c>
      <c r="B552" s="21" t="s">
        <v>41</v>
      </c>
      <c r="C552" s="21">
        <v>1</v>
      </c>
      <c r="D552" s="23">
        <v>1200</v>
      </c>
      <c r="E552" s="23"/>
      <c r="F552" s="23"/>
      <c r="G552" s="20" t="s">
        <v>1208</v>
      </c>
      <c r="H552" s="6"/>
      <c r="I552" s="6" t="s">
        <v>1138</v>
      </c>
      <c r="J552" s="6">
        <v>59</v>
      </c>
      <c r="K552" s="21">
        <v>26</v>
      </c>
      <c r="L552" s="21" t="s">
        <v>764</v>
      </c>
      <c r="M552" s="6" t="s">
        <v>203</v>
      </c>
      <c r="N552" s="6" t="s">
        <v>1210</v>
      </c>
      <c r="O552" s="6"/>
      <c r="P552" s="6"/>
      <c r="Q552" s="27"/>
      <c r="R552" s="28" t="s">
        <v>151</v>
      </c>
      <c r="S552" s="6" t="s">
        <v>82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 t="shared" si="27"/>
        <v>3.03688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3.03688</v>
      </c>
      <c r="AI552" s="64"/>
      <c r="AJ552" s="1"/>
      <c r="AK552" s="65">
        <v>0</v>
      </c>
      <c r="AL552" s="1"/>
      <c r="AM552" s="1"/>
      <c r="AN552" s="83"/>
    </row>
    <row r="553" spans="1:40" s="26" customFormat="1" ht="14.4" hidden="1" x14ac:dyDescent="0.35">
      <c r="A553" s="19" t="s">
        <v>1280</v>
      </c>
      <c r="B553" s="21" t="s">
        <v>79</v>
      </c>
      <c r="C553" s="21">
        <v>1.5</v>
      </c>
      <c r="D553" s="23">
        <v>1250</v>
      </c>
      <c r="E553" s="23"/>
      <c r="F553" s="23"/>
      <c r="G553" s="20" t="s">
        <v>1269</v>
      </c>
      <c r="H553" s="6"/>
      <c r="I553" s="6" t="s">
        <v>1143</v>
      </c>
      <c r="J553" s="6">
        <v>69</v>
      </c>
      <c r="K553" s="21">
        <v>1.5</v>
      </c>
      <c r="L553" s="21" t="s">
        <v>1132</v>
      </c>
      <c r="M553" s="6" t="s">
        <v>238</v>
      </c>
      <c r="N553" s="6" t="s">
        <v>197</v>
      </c>
      <c r="O553" s="6"/>
      <c r="P553" s="6"/>
      <c r="Q553" s="27"/>
      <c r="R553" s="28" t="s">
        <v>151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 t="shared" si="27"/>
        <v>2.8407456000000004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2.8407456000000004</v>
      </c>
      <c r="AI553" s="64"/>
      <c r="AJ553" s="1"/>
      <c r="AK553" s="65">
        <v>0</v>
      </c>
      <c r="AL553" s="1"/>
      <c r="AM553" s="1"/>
      <c r="AN553" s="83"/>
    </row>
    <row r="554" spans="1:40" s="26" customFormat="1" ht="14.4" hidden="1" x14ac:dyDescent="0.35">
      <c r="A554" s="19" t="s">
        <v>1281</v>
      </c>
      <c r="B554" s="21" t="s">
        <v>41</v>
      </c>
      <c r="C554" s="21">
        <v>0.6</v>
      </c>
      <c r="D554" s="23">
        <v>312</v>
      </c>
      <c r="E554" s="23">
        <v>179</v>
      </c>
      <c r="F554" s="23" t="s">
        <v>98</v>
      </c>
      <c r="G554" s="20" t="s">
        <v>1282</v>
      </c>
      <c r="H554" s="6"/>
      <c r="I554" s="6" t="s">
        <v>1143</v>
      </c>
      <c r="J554" s="6">
        <v>60</v>
      </c>
      <c r="K554" s="21">
        <v>2.5</v>
      </c>
      <c r="L554" s="21" t="s">
        <v>1132</v>
      </c>
      <c r="M554" s="6" t="s">
        <v>238</v>
      </c>
      <c r="N554" s="6">
        <v>246</v>
      </c>
      <c r="O554" s="6" t="s">
        <v>240</v>
      </c>
      <c r="P554" s="6"/>
      <c r="Q554" s="27"/>
      <c r="R554" s="28" t="s">
        <v>151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 t="shared" si="27"/>
        <v>2.7674460000000001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2.7674460000000001</v>
      </c>
      <c r="AI554" s="64">
        <v>1</v>
      </c>
      <c r="AJ554" s="1" t="s">
        <v>1283</v>
      </c>
      <c r="AK554" s="65">
        <f>3720.62/12</f>
        <v>310.05166666666668</v>
      </c>
      <c r="AL554" s="1"/>
      <c r="AM554" s="1"/>
      <c r="AN554" s="83"/>
    </row>
    <row r="555" spans="1:40" s="26" customFormat="1" ht="14.4" hidden="1" x14ac:dyDescent="0.35">
      <c r="A555" s="19" t="s">
        <v>1284</v>
      </c>
      <c r="B555" s="21" t="s">
        <v>79</v>
      </c>
      <c r="C555" s="21">
        <v>1</v>
      </c>
      <c r="D555" s="23" t="s">
        <v>1285</v>
      </c>
      <c r="E555" s="23"/>
      <c r="F555" s="23"/>
      <c r="G555" s="20" t="s">
        <v>1273</v>
      </c>
      <c r="H555" s="6"/>
      <c r="I555" s="6" t="s">
        <v>1138</v>
      </c>
      <c r="J555" s="6">
        <v>59</v>
      </c>
      <c r="K555" s="21">
        <v>28</v>
      </c>
      <c r="L555" s="21" t="s">
        <v>764</v>
      </c>
      <c r="M555" s="6" t="s">
        <v>203</v>
      </c>
      <c r="N555" s="6" t="s">
        <v>1210</v>
      </c>
      <c r="O555" s="6"/>
      <c r="P555" s="6"/>
      <c r="Q555" s="27"/>
      <c r="R555" s="28" t="s">
        <v>151</v>
      </c>
      <c r="S555" s="6" t="s">
        <v>82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 t="shared" si="27"/>
        <v>2.585026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2.585026</v>
      </c>
      <c r="AI555" s="64"/>
      <c r="AJ555" s="1"/>
      <c r="AK555" s="65">
        <v>0</v>
      </c>
      <c r="AL555" s="1"/>
      <c r="AM555" s="1"/>
      <c r="AN555" s="83"/>
    </row>
    <row r="556" spans="1:40" s="26" customFormat="1" ht="14.4" hidden="1" x14ac:dyDescent="0.35">
      <c r="A556" s="19" t="s">
        <v>1286</v>
      </c>
      <c r="B556" s="21" t="s">
        <v>79</v>
      </c>
      <c r="C556" s="21">
        <v>1.2</v>
      </c>
      <c r="D556" s="23">
        <v>1120</v>
      </c>
      <c r="E556" s="23"/>
      <c r="F556" s="23"/>
      <c r="G556" s="20" t="s">
        <v>1287</v>
      </c>
      <c r="H556" s="6"/>
      <c r="I556" s="6" t="s">
        <v>1143</v>
      </c>
      <c r="J556" s="6">
        <v>69</v>
      </c>
      <c r="K556" s="21">
        <v>1.3</v>
      </c>
      <c r="L556" s="21" t="s">
        <v>1132</v>
      </c>
      <c r="M556" s="6" t="s">
        <v>238</v>
      </c>
      <c r="N556" s="6" t="s">
        <v>1151</v>
      </c>
      <c r="O556" s="6"/>
      <c r="P556" s="6"/>
      <c r="Q556" s="27"/>
      <c r="R556" s="28" t="s">
        <v>151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 t="shared" si="27"/>
        <v>2.5352140799999998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2.5352140799999998</v>
      </c>
      <c r="AI556" s="64"/>
      <c r="AJ556" s="1"/>
      <c r="AK556" s="65">
        <v>0</v>
      </c>
      <c r="AL556" s="1"/>
      <c r="AM556" s="1"/>
      <c r="AN556" s="83"/>
    </row>
    <row r="557" spans="1:40" s="26" customFormat="1" ht="14.4" hidden="1" x14ac:dyDescent="0.35">
      <c r="A557" s="19" t="s">
        <v>1288</v>
      </c>
      <c r="B557" s="21" t="s">
        <v>41</v>
      </c>
      <c r="C557" s="21">
        <v>2</v>
      </c>
      <c r="D557" s="23"/>
      <c r="E557" s="23"/>
      <c r="F557" s="23" t="s">
        <v>1212</v>
      </c>
      <c r="G557" s="20" t="s">
        <v>1289</v>
      </c>
      <c r="H557" s="6"/>
      <c r="I557" s="6" t="s">
        <v>1143</v>
      </c>
      <c r="J557" s="6">
        <v>69</v>
      </c>
      <c r="K557" s="21">
        <v>1.1000000000000001</v>
      </c>
      <c r="L557" s="21" t="s">
        <v>1132</v>
      </c>
      <c r="M557" s="6" t="s">
        <v>238</v>
      </c>
      <c r="N557" s="6" t="s">
        <v>144</v>
      </c>
      <c r="O557" s="6"/>
      <c r="P557" s="6"/>
      <c r="Q557" s="27"/>
      <c r="R557" s="28" t="s">
        <v>151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 t="shared" si="27"/>
        <v>2.4064000000000001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2.4064000000000001</v>
      </c>
      <c r="AI557" s="64"/>
      <c r="AJ557" s="1"/>
      <c r="AK557" s="65">
        <v>0</v>
      </c>
      <c r="AL557" s="1"/>
      <c r="AM557" s="1"/>
      <c r="AN557" s="83"/>
    </row>
    <row r="558" spans="1:40" s="26" customFormat="1" ht="14.4" hidden="1" x14ac:dyDescent="0.35">
      <c r="A558" s="19" t="s">
        <v>1290</v>
      </c>
      <c r="B558" s="21" t="s">
        <v>41</v>
      </c>
      <c r="C558" s="21">
        <v>1.5</v>
      </c>
      <c r="D558" s="23">
        <v>350</v>
      </c>
      <c r="E558" s="23">
        <v>107</v>
      </c>
      <c r="F558" s="23" t="s">
        <v>1276</v>
      </c>
      <c r="G558" s="20" t="s">
        <v>1291</v>
      </c>
      <c r="H558" s="6"/>
      <c r="I558" s="6" t="s">
        <v>1143</v>
      </c>
      <c r="J558" s="6">
        <v>60</v>
      </c>
      <c r="K558" s="21"/>
      <c r="L558" s="21" t="s">
        <v>840</v>
      </c>
      <c r="M558" s="6" t="s">
        <v>238</v>
      </c>
      <c r="N558" s="6">
        <v>246</v>
      </c>
      <c r="O558" s="6" t="s">
        <v>145</v>
      </c>
      <c r="P558" s="6"/>
      <c r="Q558" s="27"/>
      <c r="R558" s="28" t="s">
        <v>151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 t="shared" si="27"/>
        <v>2.2925439999999999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2.2925439999999999</v>
      </c>
      <c r="AI558" s="64">
        <v>1</v>
      </c>
      <c r="AJ558" s="1" t="s">
        <v>1292</v>
      </c>
      <c r="AK558" s="65">
        <f>8029.74/12</f>
        <v>669.14499999999998</v>
      </c>
      <c r="AL558" s="1"/>
      <c r="AM558" s="1"/>
      <c r="AN558" s="83"/>
    </row>
    <row r="559" spans="1:40" s="26" customFormat="1" ht="14.4" hidden="1" x14ac:dyDescent="0.35">
      <c r="A559" s="19" t="s">
        <v>586</v>
      </c>
      <c r="B559" s="21" t="s">
        <v>41</v>
      </c>
      <c r="C559" s="21">
        <v>0.8</v>
      </c>
      <c r="D559" s="23">
        <v>1300</v>
      </c>
      <c r="E559" s="23"/>
      <c r="F559" s="23"/>
      <c r="G559" s="20" t="s">
        <v>587</v>
      </c>
      <c r="H559" s="6"/>
      <c r="I559" s="6" t="s">
        <v>1138</v>
      </c>
      <c r="J559" s="6">
        <v>59</v>
      </c>
      <c r="K559" s="21">
        <v>28</v>
      </c>
      <c r="L559" s="21" t="s">
        <v>764</v>
      </c>
      <c r="M559" s="6" t="s">
        <v>1209</v>
      </c>
      <c r="N559" s="6" t="s">
        <v>1255</v>
      </c>
      <c r="O559" s="6"/>
      <c r="P559" s="6"/>
      <c r="Q559" s="27"/>
      <c r="R559" s="28" t="s">
        <v>151</v>
      </c>
      <c r="S559" s="6" t="s">
        <v>82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 t="shared" si="27"/>
        <v>2.21184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2.21184</v>
      </c>
      <c r="AI559" s="64"/>
      <c r="AJ559" s="1"/>
      <c r="AK559" s="65">
        <v>0</v>
      </c>
      <c r="AL559" s="1"/>
      <c r="AM559" s="1"/>
      <c r="AN559" s="83"/>
    </row>
    <row r="560" spans="1:40" s="26" customFormat="1" ht="14.4" hidden="1" x14ac:dyDescent="0.35">
      <c r="A560" s="19" t="s">
        <v>1293</v>
      </c>
      <c r="B560" s="21" t="s">
        <v>41</v>
      </c>
      <c r="C560" s="21">
        <v>1.2</v>
      </c>
      <c r="D560" s="23">
        <v>238</v>
      </c>
      <c r="E560" s="23">
        <v>150</v>
      </c>
      <c r="F560" s="23" t="s">
        <v>98</v>
      </c>
      <c r="G560" s="20" t="s">
        <v>1226</v>
      </c>
      <c r="H560" s="6"/>
      <c r="I560" s="6" t="s">
        <v>1138</v>
      </c>
      <c r="J560" s="6">
        <v>59</v>
      </c>
      <c r="K560" s="21">
        <v>1.5</v>
      </c>
      <c r="L560" s="21" t="s">
        <v>1132</v>
      </c>
      <c r="M560" s="6" t="s">
        <v>238</v>
      </c>
      <c r="N560" s="6" t="s">
        <v>1151</v>
      </c>
      <c r="O560" s="6" t="s">
        <v>240</v>
      </c>
      <c r="P560" s="6"/>
      <c r="Q560" s="27"/>
      <c r="R560" s="28" t="s">
        <v>151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 t="shared" si="27"/>
        <v>2.2074948000000001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2.2074948000000001</v>
      </c>
      <c r="AI560" s="64">
        <v>1</v>
      </c>
      <c r="AJ560" s="1" t="s">
        <v>1294</v>
      </c>
      <c r="AK560" s="65">
        <f>2833.87/12</f>
        <v>236.15583333333333</v>
      </c>
      <c r="AL560" s="1"/>
      <c r="AM560" s="1"/>
      <c r="AN560" s="83"/>
    </row>
    <row r="561" spans="1:40" s="26" customFormat="1" ht="14.4" hidden="1" x14ac:dyDescent="0.35">
      <c r="A561" s="19" t="s">
        <v>1295</v>
      </c>
      <c r="B561" s="21" t="s">
        <v>41</v>
      </c>
      <c r="C561" s="21">
        <v>1.2</v>
      </c>
      <c r="D561" s="23">
        <v>350</v>
      </c>
      <c r="E561" s="23">
        <v>250</v>
      </c>
      <c r="F561" s="23" t="s">
        <v>98</v>
      </c>
      <c r="G561" s="20" t="s">
        <v>1296</v>
      </c>
      <c r="H561" s="6"/>
      <c r="I561" s="6" t="s">
        <v>1143</v>
      </c>
      <c r="J561" s="6">
        <v>60</v>
      </c>
      <c r="K561" s="21">
        <v>2</v>
      </c>
      <c r="L561" s="21" t="s">
        <v>1132</v>
      </c>
      <c r="M561" s="6" t="s">
        <v>238</v>
      </c>
      <c r="N561" s="6" t="s">
        <v>1297</v>
      </c>
      <c r="O561" s="6" t="s">
        <v>145</v>
      </c>
      <c r="P561" s="6"/>
      <c r="Q561" s="27"/>
      <c r="R561" s="28" t="s">
        <v>151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 t="shared" si="27"/>
        <v>2.1762000000000001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2.1762000000000001</v>
      </c>
      <c r="AI561" s="64">
        <v>1</v>
      </c>
      <c r="AJ561" s="1" t="s">
        <v>1295</v>
      </c>
      <c r="AK561" s="65">
        <f>7375.39/12</f>
        <v>614.6158333333334</v>
      </c>
      <c r="AL561" s="1"/>
      <c r="AM561" s="1"/>
      <c r="AN561" s="83"/>
    </row>
    <row r="562" spans="1:40" s="26" customFormat="1" ht="14.4" hidden="1" x14ac:dyDescent="0.35">
      <c r="A562" s="19" t="s">
        <v>1298</v>
      </c>
      <c r="B562" s="21" t="s">
        <v>41</v>
      </c>
      <c r="C562" s="21">
        <v>0.7</v>
      </c>
      <c r="D562" s="23">
        <v>270</v>
      </c>
      <c r="E562" s="23">
        <v>131</v>
      </c>
      <c r="F562" s="23" t="s">
        <v>98</v>
      </c>
      <c r="G562" s="20" t="s">
        <v>1299</v>
      </c>
      <c r="H562" s="6"/>
      <c r="I562" s="6" t="s">
        <v>1143</v>
      </c>
      <c r="J562" s="6">
        <v>60</v>
      </c>
      <c r="K562" s="21"/>
      <c r="L562" s="21" t="s">
        <v>1132</v>
      </c>
      <c r="M562" s="6" t="s">
        <v>238</v>
      </c>
      <c r="N562" s="6">
        <v>246</v>
      </c>
      <c r="O562" s="6" t="s">
        <v>145</v>
      </c>
      <c r="P562" s="6"/>
      <c r="Q562" s="27"/>
      <c r="R562" s="28" t="s">
        <v>151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 t="shared" si="27"/>
        <v>2.04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2.04</v>
      </c>
      <c r="AI562" s="64">
        <v>1</v>
      </c>
      <c r="AJ562" s="1" t="s">
        <v>1300</v>
      </c>
      <c r="AK562" s="65">
        <f>6109.21/12</f>
        <v>509.10083333333336</v>
      </c>
      <c r="AL562" s="1"/>
      <c r="AM562" s="1"/>
      <c r="AN562" s="83"/>
    </row>
    <row r="563" spans="1:40" s="26" customFormat="1" ht="14.4" hidden="1" x14ac:dyDescent="0.35">
      <c r="A563" s="19" t="s">
        <v>1301</v>
      </c>
      <c r="B563" s="21" t="s">
        <v>41</v>
      </c>
      <c r="C563" s="21">
        <v>0.8</v>
      </c>
      <c r="D563" s="23">
        <v>337</v>
      </c>
      <c r="E563" s="23"/>
      <c r="F563" s="23" t="s">
        <v>98</v>
      </c>
      <c r="G563" s="20" t="s">
        <v>1302</v>
      </c>
      <c r="H563" s="6"/>
      <c r="I563" s="6" t="s">
        <v>1143</v>
      </c>
      <c r="J563" s="6">
        <v>60</v>
      </c>
      <c r="K563" s="21"/>
      <c r="L563" s="21" t="s">
        <v>840</v>
      </c>
      <c r="M563" s="6" t="s">
        <v>238</v>
      </c>
      <c r="N563" s="6">
        <v>246</v>
      </c>
      <c r="O563" s="6"/>
      <c r="P563" s="6"/>
      <c r="Q563" s="27"/>
      <c r="R563" s="28" t="s">
        <v>151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 t="shared" si="27"/>
        <v>1.323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1.323</v>
      </c>
      <c r="AI563" s="64"/>
      <c r="AJ563" s="1"/>
      <c r="AK563" s="65">
        <v>0</v>
      </c>
      <c r="AL563" s="1"/>
      <c r="AM563" s="1"/>
      <c r="AN563" s="83"/>
    </row>
    <row r="564" spans="1:40" s="26" customFormat="1" ht="14.4" hidden="1" x14ac:dyDescent="0.35">
      <c r="A564" s="19" t="s">
        <v>1303</v>
      </c>
      <c r="B564" s="21" t="s">
        <v>41</v>
      </c>
      <c r="C564" s="21">
        <v>1</v>
      </c>
      <c r="D564" s="23">
        <v>1150</v>
      </c>
      <c r="E564" s="23"/>
      <c r="F564" s="23"/>
      <c r="G564" s="20" t="s">
        <v>1304</v>
      </c>
      <c r="H564" s="6"/>
      <c r="I564" s="6" t="s">
        <v>1143</v>
      </c>
      <c r="J564" s="6">
        <v>69</v>
      </c>
      <c r="K564" s="21">
        <v>26</v>
      </c>
      <c r="L564" s="21" t="s">
        <v>764</v>
      </c>
      <c r="M564" s="6" t="s">
        <v>203</v>
      </c>
      <c r="N564" s="6" t="s">
        <v>1237</v>
      </c>
      <c r="O564" s="6"/>
      <c r="P564" s="6"/>
      <c r="Q564" s="27"/>
      <c r="R564" s="28" t="s">
        <v>151</v>
      </c>
      <c r="S564" s="6" t="s">
        <v>82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 t="shared" si="27"/>
        <v>1.3164342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1.3164342</v>
      </c>
      <c r="AI564" s="64"/>
      <c r="AJ564" s="1"/>
      <c r="AK564" s="65">
        <v>0</v>
      </c>
      <c r="AL564" s="1"/>
      <c r="AM564" s="1"/>
      <c r="AN564" s="83"/>
    </row>
    <row r="565" spans="1:40" s="26" customFormat="1" ht="14.4" hidden="1" x14ac:dyDescent="0.35">
      <c r="A565" s="32" t="s">
        <v>1305</v>
      </c>
      <c r="B565" s="21" t="s">
        <v>79</v>
      </c>
      <c r="C565" s="21">
        <v>1</v>
      </c>
      <c r="D565" s="23">
        <v>1150</v>
      </c>
      <c r="E565" s="23"/>
      <c r="F565" s="23"/>
      <c r="G565" s="20" t="s">
        <v>1306</v>
      </c>
      <c r="H565" s="6"/>
      <c r="I565" s="6"/>
      <c r="J565" s="6">
        <v>60</v>
      </c>
      <c r="K565" s="21">
        <v>18</v>
      </c>
      <c r="L565" s="21" t="s">
        <v>764</v>
      </c>
      <c r="M565" s="6" t="s">
        <v>203</v>
      </c>
      <c r="N565" s="6" t="s">
        <v>1210</v>
      </c>
      <c r="O565" s="6"/>
      <c r="P565" s="6"/>
      <c r="Q565" s="27"/>
      <c r="R565" s="28" t="s">
        <v>151</v>
      </c>
      <c r="S565" s="6" t="s">
        <v>82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 t="shared" si="27"/>
        <v>1.1284415999999999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1.1284415999999999</v>
      </c>
      <c r="AI565" s="64"/>
      <c r="AJ565" s="1"/>
      <c r="AK565" s="65">
        <v>0</v>
      </c>
      <c r="AL565" s="1"/>
      <c r="AM565" s="1"/>
      <c r="AN565" s="83"/>
    </row>
    <row r="566" spans="1:40" s="26" customFormat="1" ht="14.4" hidden="1" x14ac:dyDescent="0.35">
      <c r="A566" s="19" t="s">
        <v>1307</v>
      </c>
      <c r="B566" s="21" t="s">
        <v>79</v>
      </c>
      <c r="C566" s="21">
        <v>0.65</v>
      </c>
      <c r="D566" s="23">
        <v>1150</v>
      </c>
      <c r="E566" s="23"/>
      <c r="F566" s="23" t="s">
        <v>98</v>
      </c>
      <c r="G566" s="20" t="s">
        <v>1308</v>
      </c>
      <c r="H566" s="6"/>
      <c r="I566" s="6" t="s">
        <v>1143</v>
      </c>
      <c r="J566" s="6">
        <v>69</v>
      </c>
      <c r="K566" s="21">
        <v>1</v>
      </c>
      <c r="L566" s="21" t="s">
        <v>1132</v>
      </c>
      <c r="M566" s="6" t="s">
        <v>238</v>
      </c>
      <c r="N566" s="6" t="s">
        <v>197</v>
      </c>
      <c r="O566" s="6"/>
      <c r="P566" s="6"/>
      <c r="Q566" s="27"/>
      <c r="R566" s="28" t="s">
        <v>151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 t="shared" si="27"/>
        <v>1.0978559999999997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1.0978559999999997</v>
      </c>
      <c r="AI566" s="64"/>
      <c r="AJ566" s="1"/>
      <c r="AK566" s="65">
        <v>0</v>
      </c>
      <c r="AL566" s="1"/>
      <c r="AM566" s="1"/>
      <c r="AN566" s="83"/>
    </row>
    <row r="567" spans="1:40" s="26" customFormat="1" ht="14.4" hidden="1" x14ac:dyDescent="0.35">
      <c r="A567" s="19" t="s">
        <v>1309</v>
      </c>
      <c r="B567" s="21" t="s">
        <v>41</v>
      </c>
      <c r="C567" s="21">
        <v>1.5</v>
      </c>
      <c r="D567" s="23">
        <v>263</v>
      </c>
      <c r="E567" s="23">
        <v>107</v>
      </c>
      <c r="F567" s="23" t="s">
        <v>1212</v>
      </c>
      <c r="G567" s="20" t="s">
        <v>1310</v>
      </c>
      <c r="H567" s="6"/>
      <c r="I567" s="6" t="s">
        <v>1143</v>
      </c>
      <c r="J567" s="6">
        <v>69</v>
      </c>
      <c r="K567" s="21">
        <v>0.5</v>
      </c>
      <c r="L567" s="21" t="s">
        <v>1132</v>
      </c>
      <c r="M567" s="6" t="s">
        <v>238</v>
      </c>
      <c r="N567" s="6" t="s">
        <v>197</v>
      </c>
      <c r="O567" s="6" t="s">
        <v>145</v>
      </c>
      <c r="P567" s="6"/>
      <c r="Q567" s="27"/>
      <c r="R567" s="28" t="s">
        <v>151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 t="shared" si="27"/>
        <v>1.004256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1.004256</v>
      </c>
      <c r="AI567" s="64">
        <v>1</v>
      </c>
      <c r="AJ567" s="1" t="s">
        <v>1311</v>
      </c>
      <c r="AK567" s="65">
        <f>7591.66/12</f>
        <v>632.63833333333332</v>
      </c>
      <c r="AL567" s="1"/>
      <c r="AM567" s="1"/>
      <c r="AN567" s="83"/>
    </row>
    <row r="568" spans="1:40" s="26" customFormat="1" ht="14.4" hidden="1" x14ac:dyDescent="0.35">
      <c r="A568" s="19" t="s">
        <v>1312</v>
      </c>
      <c r="B568" s="21" t="s">
        <v>41</v>
      </c>
      <c r="C568" s="21">
        <v>1.5</v>
      </c>
      <c r="D568" s="23">
        <v>157</v>
      </c>
      <c r="E568" s="23"/>
      <c r="F568" s="23" t="s">
        <v>1276</v>
      </c>
      <c r="G568" s="20" t="s">
        <v>1313</v>
      </c>
      <c r="H568" s="6"/>
      <c r="I568" s="6" t="s">
        <v>1143</v>
      </c>
      <c r="J568" s="6">
        <v>60</v>
      </c>
      <c r="K568" s="21"/>
      <c r="L568" s="21" t="s">
        <v>840</v>
      </c>
      <c r="M568" s="6" t="s">
        <v>238</v>
      </c>
      <c r="N568" s="6">
        <v>246</v>
      </c>
      <c r="O568" s="6"/>
      <c r="P568" s="6"/>
      <c r="Q568" s="27"/>
      <c r="R568" s="28" t="s">
        <v>151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 t="shared" si="27"/>
        <v>0.87360000000000004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0.87360000000000004</v>
      </c>
      <c r="AI568" s="64"/>
      <c r="AJ568" s="1"/>
      <c r="AK568" s="65">
        <v>0</v>
      </c>
      <c r="AL568" s="1"/>
      <c r="AM568" s="1"/>
      <c r="AN568" s="83"/>
    </row>
    <row r="569" spans="1:40" s="26" customFormat="1" ht="14.4" hidden="1" x14ac:dyDescent="0.35">
      <c r="A569" s="19" t="s">
        <v>1314</v>
      </c>
      <c r="B569" s="21" t="s">
        <v>41</v>
      </c>
      <c r="C569" s="21">
        <v>0.65</v>
      </c>
      <c r="D569" s="23">
        <v>172</v>
      </c>
      <c r="E569" s="23"/>
      <c r="F569" s="23"/>
      <c r="G569" s="20" t="s">
        <v>1169</v>
      </c>
      <c r="H569" s="6"/>
      <c r="I569" s="6" t="s">
        <v>1138</v>
      </c>
      <c r="J569" s="6">
        <v>59</v>
      </c>
      <c r="K569" s="21">
        <v>1</v>
      </c>
      <c r="L569" s="21" t="s">
        <v>1132</v>
      </c>
      <c r="M569" s="6" t="s">
        <v>238</v>
      </c>
      <c r="N569" s="6" t="s">
        <v>197</v>
      </c>
      <c r="O569" s="6"/>
      <c r="P569" s="6"/>
      <c r="Q569" s="27"/>
      <c r="R569" s="28" t="s">
        <v>151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 t="shared" si="27"/>
        <v>0.81600000000000017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0.81600000000000017</v>
      </c>
      <c r="AI569" s="64"/>
      <c r="AJ569" s="1"/>
      <c r="AK569" s="65">
        <v>0</v>
      </c>
      <c r="AL569" s="1"/>
      <c r="AM569" s="1"/>
      <c r="AN569" s="83"/>
    </row>
    <row r="570" spans="1:40" s="26" customFormat="1" ht="14.4" hidden="1" x14ac:dyDescent="0.35">
      <c r="A570" s="19" t="s">
        <v>1315</v>
      </c>
      <c r="B570" s="21" t="s">
        <v>41</v>
      </c>
      <c r="C570" s="21">
        <v>1.2</v>
      </c>
      <c r="D570" s="23">
        <v>325</v>
      </c>
      <c r="E570" s="23"/>
      <c r="F570" s="23" t="s">
        <v>1276</v>
      </c>
      <c r="G570" s="20" t="s">
        <v>1316</v>
      </c>
      <c r="H570" s="6"/>
      <c r="I570" s="6" t="s">
        <v>1143</v>
      </c>
      <c r="J570" s="6">
        <v>60</v>
      </c>
      <c r="K570" s="21"/>
      <c r="L570" s="21" t="s">
        <v>1144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 t="shared" si="27"/>
        <v>0.80579999999999996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0.80579999999999996</v>
      </c>
      <c r="AI570" s="64"/>
      <c r="AJ570" s="1"/>
      <c r="AK570" s="65">
        <v>0</v>
      </c>
      <c r="AL570" s="1"/>
      <c r="AM570" s="1"/>
      <c r="AN570" s="83"/>
    </row>
    <row r="571" spans="1:40" s="26" customFormat="1" ht="14.4" hidden="1" x14ac:dyDescent="0.35">
      <c r="A571" s="19" t="s">
        <v>1317</v>
      </c>
      <c r="B571" s="21" t="s">
        <v>41</v>
      </c>
      <c r="C571" s="21">
        <v>2</v>
      </c>
      <c r="D571" s="23">
        <v>1000</v>
      </c>
      <c r="E571" s="23"/>
      <c r="F571" s="23" t="s">
        <v>1212</v>
      </c>
      <c r="G571" s="20" t="s">
        <v>1318</v>
      </c>
      <c r="H571" s="6"/>
      <c r="I571" s="6" t="s">
        <v>1143</v>
      </c>
      <c r="J571" s="6">
        <v>69</v>
      </c>
      <c r="K571" s="21">
        <v>0.5</v>
      </c>
      <c r="L571" s="21" t="s">
        <v>1132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 t="shared" si="27"/>
        <v>0.61675519999999995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0.61675519999999995</v>
      </c>
      <c r="AI571" s="64"/>
      <c r="AJ571" s="1"/>
      <c r="AK571" s="65">
        <v>0</v>
      </c>
      <c r="AL571" s="1"/>
      <c r="AM571" s="1"/>
      <c r="AN571" s="83"/>
    </row>
    <row r="572" spans="1:40" s="26" customFormat="1" ht="14.4" hidden="1" x14ac:dyDescent="0.35">
      <c r="A572" s="19" t="s">
        <v>1319</v>
      </c>
      <c r="B572" s="21" t="s">
        <v>41</v>
      </c>
      <c r="C572" s="21">
        <v>1.2</v>
      </c>
      <c r="D572" s="23">
        <v>1400</v>
      </c>
      <c r="E572" s="23"/>
      <c r="F572" s="23"/>
      <c r="G572" s="20" t="s">
        <v>1320</v>
      </c>
      <c r="H572" s="6"/>
      <c r="I572" s="6" t="s">
        <v>1138</v>
      </c>
      <c r="J572" s="6">
        <v>59</v>
      </c>
      <c r="K572" s="21">
        <v>32</v>
      </c>
      <c r="L572" s="21" t="s">
        <v>764</v>
      </c>
      <c r="M572" s="6" t="s">
        <v>1209</v>
      </c>
      <c r="N572" s="6" t="s">
        <v>1321</v>
      </c>
      <c r="O572" s="6"/>
      <c r="P572" s="6"/>
      <c r="Q572" s="27"/>
      <c r="R572" s="28" t="s">
        <v>151</v>
      </c>
      <c r="S572" s="6" t="s">
        <v>82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 t="shared" si="27"/>
        <v>0.52800000000000002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0.52800000000000002</v>
      </c>
      <c r="AI572" s="64"/>
      <c r="AJ572" s="1"/>
      <c r="AK572" s="65">
        <v>0</v>
      </c>
      <c r="AL572" s="1"/>
      <c r="AM572" s="1"/>
      <c r="AN572" s="83"/>
    </row>
    <row r="573" spans="1:40" s="26" customFormat="1" ht="14.4" hidden="1" x14ac:dyDescent="0.35">
      <c r="A573" s="19" t="s">
        <v>1322</v>
      </c>
      <c r="B573" s="21" t="s">
        <v>41</v>
      </c>
      <c r="C573" s="21">
        <v>0.6</v>
      </c>
      <c r="D573" s="23">
        <v>1000</v>
      </c>
      <c r="E573" s="23"/>
      <c r="F573" s="23"/>
      <c r="G573" s="20" t="s">
        <v>1323</v>
      </c>
      <c r="H573" s="6"/>
      <c r="I573" s="6" t="s">
        <v>1138</v>
      </c>
      <c r="J573" s="6">
        <v>69</v>
      </c>
      <c r="K573" s="21">
        <v>26</v>
      </c>
      <c r="L573" s="21" t="s">
        <v>764</v>
      </c>
      <c r="M573" s="6" t="s">
        <v>1209</v>
      </c>
      <c r="N573" s="6" t="s">
        <v>1321</v>
      </c>
      <c r="O573" s="6"/>
      <c r="P573" s="6"/>
      <c r="Q573" s="27"/>
      <c r="R573" s="28" t="s">
        <v>151</v>
      </c>
      <c r="S573" s="6" t="s">
        <v>82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 t="shared" si="27"/>
        <v>0.52060799999999996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0.52060799999999996</v>
      </c>
      <c r="AI573" s="64"/>
      <c r="AJ573" s="1"/>
      <c r="AK573" s="65">
        <v>0</v>
      </c>
      <c r="AL573" s="1"/>
      <c r="AM573" s="1"/>
      <c r="AN573" s="83"/>
    </row>
    <row r="574" spans="1:40" s="26" customFormat="1" ht="14.4" hidden="1" x14ac:dyDescent="0.35">
      <c r="A574" s="19" t="s">
        <v>1324</v>
      </c>
      <c r="B574" s="21" t="s">
        <v>41</v>
      </c>
      <c r="C574" s="21">
        <v>1</v>
      </c>
      <c r="D574" s="23">
        <v>1200</v>
      </c>
      <c r="E574" s="23"/>
      <c r="F574" s="23" t="s">
        <v>98</v>
      </c>
      <c r="G574" s="20" t="s">
        <v>1325</v>
      </c>
      <c r="H574" s="6"/>
      <c r="I574" s="6" t="s">
        <v>1143</v>
      </c>
      <c r="J574" s="6">
        <v>60</v>
      </c>
      <c r="K574" s="21">
        <v>0.5</v>
      </c>
      <c r="L574" s="21" t="s">
        <v>1132</v>
      </c>
      <c r="M574" s="6" t="s">
        <v>238</v>
      </c>
      <c r="N574" s="6" t="s">
        <v>197</v>
      </c>
      <c r="O574" s="6"/>
      <c r="P574" s="6"/>
      <c r="Q574" s="27"/>
      <c r="R574" s="28" t="s">
        <v>151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 t="shared" si="27"/>
        <v>0.40576000000000001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0.40576000000000001</v>
      </c>
      <c r="AI574" s="64"/>
      <c r="AJ574" s="1"/>
      <c r="AK574" s="65">
        <v>0</v>
      </c>
      <c r="AL574" s="1"/>
      <c r="AM574" s="1"/>
      <c r="AN574" s="83"/>
    </row>
    <row r="575" spans="1:40" s="26" customFormat="1" ht="14.4" hidden="1" x14ac:dyDescent="0.35">
      <c r="A575" s="19" t="s">
        <v>1326</v>
      </c>
      <c r="B575" s="21" t="s">
        <v>41</v>
      </c>
      <c r="C575" s="21">
        <v>0.7</v>
      </c>
      <c r="D575" s="23">
        <v>300</v>
      </c>
      <c r="E575" s="23"/>
      <c r="F575" s="23" t="s">
        <v>98</v>
      </c>
      <c r="G575" s="20" t="s">
        <v>1327</v>
      </c>
      <c r="H575" s="6"/>
      <c r="I575" s="6" t="s">
        <v>1143</v>
      </c>
      <c r="J575" s="6">
        <v>60</v>
      </c>
      <c r="K575" s="21">
        <v>0.5</v>
      </c>
      <c r="L575" s="21" t="s">
        <v>1132</v>
      </c>
      <c r="M575" s="6" t="s">
        <v>238</v>
      </c>
      <c r="N575" s="6" t="s">
        <v>1297</v>
      </c>
      <c r="O575" s="6"/>
      <c r="P575" s="6"/>
      <c r="Q575" s="27"/>
      <c r="R575" s="28" t="s">
        <v>151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 t="shared" si="27"/>
        <v>0.33599999999999997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0.33599999999999997</v>
      </c>
      <c r="AI575" s="64"/>
      <c r="AJ575" s="1"/>
      <c r="AK575" s="65">
        <v>0</v>
      </c>
      <c r="AL575" s="1"/>
      <c r="AM575" s="1"/>
      <c r="AN575" s="83"/>
    </row>
    <row r="576" spans="1:40" s="26" customFormat="1" ht="14.4" hidden="1" x14ac:dyDescent="0.35">
      <c r="A576" s="19" t="s">
        <v>1328</v>
      </c>
      <c r="B576" s="21" t="s">
        <v>41</v>
      </c>
      <c r="C576" s="21">
        <v>0.7</v>
      </c>
      <c r="D576" s="23">
        <v>101</v>
      </c>
      <c r="E576" s="23"/>
      <c r="F576" s="23"/>
      <c r="G576" s="20" t="s">
        <v>1205</v>
      </c>
      <c r="H576" s="6"/>
      <c r="I576" s="6" t="s">
        <v>1143</v>
      </c>
      <c r="J576" s="6">
        <v>69</v>
      </c>
      <c r="K576" s="21">
        <v>0.5</v>
      </c>
      <c r="L576" s="21" t="s">
        <v>1132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 t="shared" si="27"/>
        <v>0.2272256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0.2272256</v>
      </c>
      <c r="AI576" s="64"/>
      <c r="AJ576" s="1"/>
      <c r="AK576" s="65">
        <v>0</v>
      </c>
      <c r="AL576" s="1"/>
      <c r="AM576" s="1"/>
      <c r="AN576" s="83"/>
    </row>
    <row r="577" spans="1:40" s="26" customFormat="1" ht="14.4" hidden="1" x14ac:dyDescent="0.35">
      <c r="A577" s="19" t="s">
        <v>1329</v>
      </c>
      <c r="B577" s="21" t="s">
        <v>41</v>
      </c>
      <c r="C577" s="21">
        <v>1.6</v>
      </c>
      <c r="D577" s="23">
        <v>1050</v>
      </c>
      <c r="E577" s="23"/>
      <c r="F577" s="23" t="s">
        <v>98</v>
      </c>
      <c r="G577" s="20" t="s">
        <v>1330</v>
      </c>
      <c r="H577" s="6"/>
      <c r="I577" s="6" t="s">
        <v>1138</v>
      </c>
      <c r="J577" s="6">
        <v>59</v>
      </c>
      <c r="K577" s="21">
        <v>1</v>
      </c>
      <c r="L577" s="21" t="s">
        <v>1132</v>
      </c>
      <c r="M577" s="6" t="s">
        <v>238</v>
      </c>
      <c r="N577" s="35" t="s">
        <v>47</v>
      </c>
      <c r="O577" s="6"/>
      <c r="P577" s="6"/>
      <c r="Q577" s="27"/>
      <c r="R577" s="28" t="s">
        <v>151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 t="shared" si="27"/>
        <v>0.16500000000000001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0.16500000000000001</v>
      </c>
      <c r="AI577" s="64"/>
      <c r="AJ577" s="1"/>
      <c r="AK577" s="65">
        <v>0</v>
      </c>
      <c r="AL577" s="1"/>
      <c r="AM577" s="1"/>
      <c r="AN577" s="83"/>
    </row>
    <row r="578" spans="1:40" s="26" customFormat="1" ht="14.4" hidden="1" x14ac:dyDescent="0.35">
      <c r="A578" s="19" t="s">
        <v>1331</v>
      </c>
      <c r="B578" s="21" t="s">
        <v>41</v>
      </c>
      <c r="C578" s="21">
        <v>0.7</v>
      </c>
      <c r="D578" s="23">
        <v>6</v>
      </c>
      <c r="E578" s="23"/>
      <c r="F578" s="23" t="s">
        <v>98</v>
      </c>
      <c r="G578" s="20" t="s">
        <v>1203</v>
      </c>
      <c r="H578" s="6"/>
      <c r="I578" s="6" t="s">
        <v>1138</v>
      </c>
      <c r="J578" s="6">
        <v>59</v>
      </c>
      <c r="K578" s="21">
        <v>0.6</v>
      </c>
      <c r="L578" s="21" t="s">
        <v>1132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 t="shared" si="27"/>
        <v>0.14757119999999999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0.14757119999999999</v>
      </c>
      <c r="AI578" s="64"/>
      <c r="AJ578" s="1"/>
      <c r="AK578" s="65">
        <v>0</v>
      </c>
      <c r="AL578" s="1"/>
      <c r="AM578" s="1"/>
      <c r="AN578" s="83"/>
    </row>
    <row r="579" spans="1:40" s="26" customFormat="1" ht="14.4" hidden="1" x14ac:dyDescent="0.35">
      <c r="A579" s="19" t="s">
        <v>1332</v>
      </c>
      <c r="B579" s="21" t="s">
        <v>41</v>
      </c>
      <c r="C579" s="21">
        <v>0.6</v>
      </c>
      <c r="D579" s="23">
        <v>1000</v>
      </c>
      <c r="E579" s="23"/>
      <c r="F579" s="23"/>
      <c r="G579" s="20" t="s">
        <v>1333</v>
      </c>
      <c r="H579" s="6"/>
      <c r="I579" s="6" t="s">
        <v>1138</v>
      </c>
      <c r="J579" s="6">
        <v>59</v>
      </c>
      <c r="K579" s="21">
        <v>22</v>
      </c>
      <c r="L579" s="21" t="s">
        <v>764</v>
      </c>
      <c r="M579" s="6" t="s">
        <v>203</v>
      </c>
      <c r="N579" s="6" t="s">
        <v>1237</v>
      </c>
      <c r="O579" s="6"/>
      <c r="P579" s="6"/>
      <c r="Q579" s="27"/>
      <c r="R579" s="28" t="s">
        <v>151</v>
      </c>
      <c r="S579" s="6" t="s">
        <v>82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 t="shared" ref="Y579:Y642" si="30">AVERAGE(T579:X579)</f>
        <v>4.2090000000000002E-2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ref="AG579:AG642" si="31">COUNTIF(Z579:AF579,"X")/7</f>
        <v>1</v>
      </c>
      <c r="AH579" s="51">
        <f t="shared" ref="AH579:AH642" si="32">IF(AG579=100%,Y579," ")</f>
        <v>4.2090000000000002E-2</v>
      </c>
      <c r="AI579" s="64"/>
      <c r="AJ579" s="1"/>
      <c r="AK579" s="65">
        <v>0</v>
      </c>
      <c r="AL579" s="1"/>
      <c r="AM579" s="1"/>
      <c r="AN579" s="83"/>
    </row>
    <row r="580" spans="1:40" s="26" customFormat="1" ht="14.4" hidden="1" x14ac:dyDescent="0.35">
      <c r="A580" s="19" t="s">
        <v>1334</v>
      </c>
      <c r="B580" s="21" t="s">
        <v>41</v>
      </c>
      <c r="C580" s="21">
        <v>1</v>
      </c>
      <c r="D580" s="23">
        <v>1400</v>
      </c>
      <c r="E580" s="23"/>
      <c r="F580" s="23"/>
      <c r="G580" s="20" t="s">
        <v>1335</v>
      </c>
      <c r="H580" s="6"/>
      <c r="I580" s="6" t="s">
        <v>1143</v>
      </c>
      <c r="J580" s="6">
        <v>69</v>
      </c>
      <c r="K580" s="21">
        <v>32</v>
      </c>
      <c r="L580" s="21" t="s">
        <v>764</v>
      </c>
      <c r="M580" s="6" t="s">
        <v>203</v>
      </c>
      <c r="N580" s="6" t="s">
        <v>1237</v>
      </c>
      <c r="O580" s="6"/>
      <c r="P580" s="6"/>
      <c r="Q580" s="27"/>
      <c r="R580" s="28" t="s">
        <v>151</v>
      </c>
      <c r="S580" s="6" t="s">
        <v>82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 t="shared" si="30"/>
        <v>1.8029999999999997E-2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31"/>
        <v>1</v>
      </c>
      <c r="AH580" s="51">
        <f t="shared" si="32"/>
        <v>1.8029999999999997E-2</v>
      </c>
      <c r="AI580" s="64"/>
      <c r="AJ580" s="1"/>
      <c r="AK580" s="65">
        <v>0</v>
      </c>
      <c r="AL580" s="1"/>
      <c r="AM580" s="1"/>
      <c r="AN580" s="83"/>
    </row>
    <row r="581" spans="1:40" s="26" customFormat="1" ht="14.4" hidden="1" x14ac:dyDescent="0.35">
      <c r="A581" s="19" t="s">
        <v>1336</v>
      </c>
      <c r="B581" s="21" t="s">
        <v>41</v>
      </c>
      <c r="C581" s="21">
        <v>1.5</v>
      </c>
      <c r="D581" s="23">
        <v>1100</v>
      </c>
      <c r="E581" s="23"/>
      <c r="F581" s="23"/>
      <c r="G581" s="20" t="s">
        <v>1337</v>
      </c>
      <c r="H581" s="6"/>
      <c r="I581" s="6" t="s">
        <v>763</v>
      </c>
      <c r="J581" s="6">
        <v>60</v>
      </c>
      <c r="K581" s="21">
        <v>24</v>
      </c>
      <c r="L581" s="21" t="s">
        <v>356</v>
      </c>
      <c r="M581" s="6" t="s">
        <v>203</v>
      </c>
      <c r="N581" s="6" t="s">
        <v>1237</v>
      </c>
      <c r="O581" s="6"/>
      <c r="P581" s="6"/>
      <c r="Q581" s="27"/>
      <c r="R581" s="28" t="s">
        <v>151</v>
      </c>
      <c r="S581" s="6" t="s">
        <v>82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 t="shared" si="30"/>
        <v>1.23424E-2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si="31"/>
        <v>1</v>
      </c>
      <c r="AH581" s="51">
        <f t="shared" si="32"/>
        <v>1.23424E-2</v>
      </c>
      <c r="AI581" s="64"/>
      <c r="AJ581" s="1"/>
      <c r="AK581" s="65">
        <v>0</v>
      </c>
      <c r="AL581" s="1"/>
      <c r="AM581" s="1"/>
      <c r="AN581" s="83"/>
    </row>
    <row r="582" spans="1:40" s="26" customFormat="1" ht="14.4" hidden="1" x14ac:dyDescent="0.35">
      <c r="A582" s="19" t="s">
        <v>1338</v>
      </c>
      <c r="B582" s="21" t="s">
        <v>41</v>
      </c>
      <c r="C582" s="21">
        <v>2</v>
      </c>
      <c r="D582" s="23">
        <v>1200</v>
      </c>
      <c r="E582" s="23"/>
      <c r="F582" s="23"/>
      <c r="G582" s="20" t="s">
        <v>1339</v>
      </c>
      <c r="H582" s="6"/>
      <c r="I582" s="6" t="s">
        <v>1143</v>
      </c>
      <c r="J582" s="6">
        <v>69</v>
      </c>
      <c r="K582" s="21">
        <v>20</v>
      </c>
      <c r="L582" s="21" t="s">
        <v>764</v>
      </c>
      <c r="M582" s="6" t="s">
        <v>203</v>
      </c>
      <c r="N582" s="6" t="s">
        <v>1237</v>
      </c>
      <c r="O582" s="6"/>
      <c r="P582" s="6"/>
      <c r="Q582" s="27"/>
      <c r="R582" s="28" t="s">
        <v>151</v>
      </c>
      <c r="S582" s="6" t="s">
        <v>82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 t="shared" si="30"/>
        <v>1.0463999999999999E-2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1"/>
        <v>1</v>
      </c>
      <c r="AH582" s="51">
        <f t="shared" si="32"/>
        <v>1.0463999999999999E-2</v>
      </c>
      <c r="AI582" s="64"/>
      <c r="AJ582" s="1"/>
      <c r="AK582" s="65">
        <v>0</v>
      </c>
      <c r="AL582" s="1"/>
      <c r="AM582" s="1"/>
      <c r="AN582" s="83"/>
    </row>
    <row r="583" spans="1:40" s="26" customFormat="1" ht="14.4" hidden="1" x14ac:dyDescent="0.35">
      <c r="A583" s="19" t="s">
        <v>1340</v>
      </c>
      <c r="B583" s="21" t="s">
        <v>54</v>
      </c>
      <c r="C583" s="21">
        <v>2</v>
      </c>
      <c r="D583" s="23">
        <v>1000</v>
      </c>
      <c r="E583" s="23"/>
      <c r="F583" s="23"/>
      <c r="G583" s="20" t="s">
        <v>1341</v>
      </c>
      <c r="H583" s="6"/>
      <c r="I583" s="6" t="s">
        <v>1143</v>
      </c>
      <c r="J583" s="6">
        <v>69</v>
      </c>
      <c r="K583" s="21" t="s">
        <v>42</v>
      </c>
      <c r="L583" s="21" t="s">
        <v>764</v>
      </c>
      <c r="M583" s="6" t="s">
        <v>203</v>
      </c>
      <c r="N583" s="6" t="s">
        <v>1237</v>
      </c>
      <c r="O583" s="6"/>
      <c r="P583" s="6"/>
      <c r="Q583" s="27"/>
      <c r="R583" s="28" t="s">
        <v>151</v>
      </c>
      <c r="S583" s="6" t="s">
        <v>82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 t="shared" si="30"/>
        <v>9.5999999999999992E-4</v>
      </c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1"/>
        <v>1</v>
      </c>
      <c r="AH583" s="51">
        <f t="shared" si="32"/>
        <v>9.5999999999999992E-4</v>
      </c>
      <c r="AI583" s="64"/>
      <c r="AJ583" s="1"/>
      <c r="AK583" s="65">
        <v>0</v>
      </c>
      <c r="AL583" s="1"/>
      <c r="AM583" s="1"/>
      <c r="AN583" s="83"/>
    </row>
    <row r="584" spans="1:40" s="26" customFormat="1" ht="14.4" hidden="1" x14ac:dyDescent="0.35">
      <c r="A584" s="19" t="s">
        <v>1342</v>
      </c>
      <c r="B584" s="21" t="s">
        <v>79</v>
      </c>
      <c r="C584" s="21">
        <v>0.7</v>
      </c>
      <c r="D584" s="23">
        <v>1200</v>
      </c>
      <c r="E584" s="23"/>
      <c r="F584" s="23"/>
      <c r="G584" s="20" t="s">
        <v>1343</v>
      </c>
      <c r="H584" s="6"/>
      <c r="I584" s="6"/>
      <c r="J584" s="6">
        <v>30</v>
      </c>
      <c r="K584" s="21"/>
      <c r="L584" s="21" t="s">
        <v>356</v>
      </c>
      <c r="M584" s="6" t="s">
        <v>203</v>
      </c>
      <c r="N584" s="6" t="s">
        <v>1237</v>
      </c>
      <c r="O584" s="6"/>
      <c r="P584" s="6"/>
      <c r="Q584" s="27"/>
      <c r="R584" s="28" t="s">
        <v>151</v>
      </c>
      <c r="S584" s="6" t="s">
        <v>82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 t="shared" si="30"/>
        <v>2.52E-4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1"/>
        <v>1</v>
      </c>
      <c r="AH584" s="51">
        <f t="shared" si="32"/>
        <v>2.52E-4</v>
      </c>
      <c r="AI584" s="64"/>
      <c r="AJ584" s="1"/>
      <c r="AK584" s="65">
        <v>0</v>
      </c>
      <c r="AL584" s="1"/>
      <c r="AM584" s="1"/>
      <c r="AN584" s="83"/>
    </row>
    <row r="585" spans="1:40" s="26" customFormat="1" ht="14.4" hidden="1" x14ac:dyDescent="0.35">
      <c r="A585" s="19" t="s">
        <v>299</v>
      </c>
      <c r="B585" s="21" t="s">
        <v>79</v>
      </c>
      <c r="C585" s="21">
        <v>1</v>
      </c>
      <c r="D585" s="23">
        <v>1200</v>
      </c>
      <c r="E585" s="23"/>
      <c r="F585" s="23"/>
      <c r="G585" s="20" t="s">
        <v>1344</v>
      </c>
      <c r="H585" s="6"/>
      <c r="I585" s="6" t="s">
        <v>763</v>
      </c>
      <c r="J585" s="6">
        <v>60</v>
      </c>
      <c r="K585" s="21"/>
      <c r="L585" s="21" t="s">
        <v>356</v>
      </c>
      <c r="M585" s="6" t="s">
        <v>203</v>
      </c>
      <c r="N585" s="6" t="s">
        <v>1237</v>
      </c>
      <c r="O585" s="6"/>
      <c r="P585" s="6"/>
      <c r="Q585" s="27"/>
      <c r="R585" s="28" t="s">
        <v>151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 t="shared" si="30"/>
        <v>0</v>
      </c>
      <c r="Z585" s="10"/>
      <c r="AA585" s="10"/>
      <c r="AB585" s="10"/>
      <c r="AC585" s="10"/>
      <c r="AD585" s="10"/>
      <c r="AE585" s="10"/>
      <c r="AF585" s="10"/>
      <c r="AG585" s="38">
        <f t="shared" si="31"/>
        <v>0</v>
      </c>
      <c r="AH585" s="51" t="str">
        <f t="shared" si="32"/>
        <v xml:space="preserve"> </v>
      </c>
      <c r="AI585" s="64"/>
      <c r="AJ585" s="1"/>
      <c r="AK585" s="65">
        <v>0</v>
      </c>
      <c r="AL585" s="1"/>
      <c r="AM585" s="1"/>
      <c r="AN585" s="83"/>
    </row>
    <row r="586" spans="1:40" s="26" customFormat="1" ht="14.4" hidden="1" x14ac:dyDescent="0.35">
      <c r="A586" s="19" t="s">
        <v>1345</v>
      </c>
      <c r="B586" s="21" t="s">
        <v>41</v>
      </c>
      <c r="C586" s="21">
        <v>1</v>
      </c>
      <c r="D586" s="23">
        <v>1150</v>
      </c>
      <c r="E586" s="23"/>
      <c r="F586" s="23"/>
      <c r="G586" s="20" t="s">
        <v>1346</v>
      </c>
      <c r="H586" s="6"/>
      <c r="I586" s="6" t="s">
        <v>1143</v>
      </c>
      <c r="J586" s="6">
        <v>69</v>
      </c>
      <c r="K586" s="21">
        <v>26</v>
      </c>
      <c r="L586" s="21" t="s">
        <v>764</v>
      </c>
      <c r="M586" s="6" t="s">
        <v>203</v>
      </c>
      <c r="N586" s="6" t="s">
        <v>1237</v>
      </c>
      <c r="O586" s="6"/>
      <c r="P586" s="6"/>
      <c r="Q586" s="27"/>
      <c r="R586" s="28" t="s">
        <v>151</v>
      </c>
      <c r="S586" s="6" t="s">
        <v>82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0"/>
        <v>0</v>
      </c>
      <c r="Z586" s="10"/>
      <c r="AA586" s="10"/>
      <c r="AB586" s="10"/>
      <c r="AC586" s="10"/>
      <c r="AD586" s="10"/>
      <c r="AE586" s="10"/>
      <c r="AF586" s="10"/>
      <c r="AG586" s="38">
        <f t="shared" si="31"/>
        <v>0</v>
      </c>
      <c r="AH586" s="51" t="str">
        <f t="shared" si="32"/>
        <v xml:space="preserve"> </v>
      </c>
      <c r="AI586" s="64"/>
      <c r="AJ586" s="1"/>
      <c r="AK586" s="65">
        <v>0</v>
      </c>
      <c r="AL586" s="1"/>
      <c r="AM586" s="1"/>
      <c r="AN586" s="83"/>
    </row>
    <row r="587" spans="1:40" s="26" customFormat="1" ht="14.4" hidden="1" x14ac:dyDescent="0.35">
      <c r="A587" s="19" t="s">
        <v>1347</v>
      </c>
      <c r="B587" s="21" t="s">
        <v>41</v>
      </c>
      <c r="C587" s="21">
        <v>0.8</v>
      </c>
      <c r="D587" s="23">
        <v>1200</v>
      </c>
      <c r="E587" s="23"/>
      <c r="F587" s="23"/>
      <c r="G587" s="20" t="s">
        <v>1348</v>
      </c>
      <c r="H587" s="6"/>
      <c r="I587" s="6" t="s">
        <v>1143</v>
      </c>
      <c r="J587" s="6">
        <v>69</v>
      </c>
      <c r="K587" s="21">
        <v>26</v>
      </c>
      <c r="L587" s="21" t="s">
        <v>764</v>
      </c>
      <c r="M587" s="6" t="s">
        <v>203</v>
      </c>
      <c r="N587" s="6" t="s">
        <v>1237</v>
      </c>
      <c r="O587" s="6"/>
      <c r="P587" s="6"/>
      <c r="Q587" s="27"/>
      <c r="R587" s="28" t="s">
        <v>151</v>
      </c>
      <c r="S587" s="6" t="s">
        <v>82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0"/>
        <v>0</v>
      </c>
      <c r="Z587" s="10"/>
      <c r="AA587" s="10"/>
      <c r="AB587" s="10"/>
      <c r="AC587" s="10"/>
      <c r="AD587" s="10"/>
      <c r="AE587" s="10"/>
      <c r="AF587" s="10"/>
      <c r="AG587" s="38">
        <f t="shared" si="31"/>
        <v>0</v>
      </c>
      <c r="AH587" s="51" t="str">
        <f t="shared" si="32"/>
        <v xml:space="preserve"> </v>
      </c>
      <c r="AI587" s="64"/>
      <c r="AJ587" s="1"/>
      <c r="AK587" s="65">
        <v>0</v>
      </c>
      <c r="AL587" s="1"/>
      <c r="AM587" s="1"/>
      <c r="AN587" s="83"/>
    </row>
    <row r="588" spans="1:40" s="26" customFormat="1" ht="14.4" hidden="1" x14ac:dyDescent="0.35">
      <c r="A588" s="22" t="s">
        <v>1349</v>
      </c>
      <c r="B588" s="2"/>
      <c r="C588" s="21">
        <v>15</v>
      </c>
      <c r="D588" s="23"/>
      <c r="E588" s="23"/>
      <c r="F588" s="23"/>
      <c r="G588" s="3" t="s">
        <v>1350</v>
      </c>
      <c r="H588" s="4"/>
      <c r="I588" s="4"/>
      <c r="J588" s="4"/>
      <c r="K588" s="5"/>
      <c r="L588" s="21" t="s">
        <v>57</v>
      </c>
      <c r="M588" s="4"/>
      <c r="N588" s="6"/>
      <c r="O588" s="4"/>
      <c r="P588" s="4"/>
      <c r="Q588" s="24"/>
      <c r="R588" s="27" t="s">
        <v>187</v>
      </c>
      <c r="S588" s="4" t="s">
        <v>1351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 t="shared" si="30"/>
        <v>5.6083548576923086</v>
      </c>
      <c r="Z588" s="10"/>
      <c r="AA588" s="10"/>
      <c r="AB588" s="10"/>
      <c r="AC588" s="10"/>
      <c r="AD588" s="10"/>
      <c r="AE588" s="10"/>
      <c r="AF588" s="10"/>
      <c r="AG588" s="38">
        <f t="shared" si="31"/>
        <v>0</v>
      </c>
      <c r="AH588" s="51" t="str">
        <f t="shared" si="32"/>
        <v xml:space="preserve"> </v>
      </c>
      <c r="AI588" s="64"/>
      <c r="AJ588" s="1"/>
      <c r="AK588" s="65">
        <v>0</v>
      </c>
      <c r="AL588" s="1"/>
      <c r="AM588" s="1"/>
      <c r="AN588" s="83"/>
    </row>
    <row r="589" spans="1:40" s="26" customFormat="1" ht="14.4" hidden="1" x14ac:dyDescent="0.35">
      <c r="A589" s="22" t="s">
        <v>1352</v>
      </c>
      <c r="B589" s="2"/>
      <c r="C589" s="21">
        <v>4</v>
      </c>
      <c r="D589" s="23"/>
      <c r="E589" s="23"/>
      <c r="F589" s="23"/>
      <c r="G589" s="3" t="s">
        <v>1353</v>
      </c>
      <c r="H589" s="6"/>
      <c r="I589" s="6"/>
      <c r="J589" s="6"/>
      <c r="K589" s="21"/>
      <c r="L589" s="21" t="s">
        <v>1354</v>
      </c>
      <c r="M589" s="6"/>
      <c r="N589" s="6"/>
      <c r="O589" s="6"/>
      <c r="P589" s="6"/>
      <c r="Q589" s="27"/>
      <c r="R589" s="27" t="s">
        <v>187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 t="shared" si="30"/>
        <v>3.078514295476741</v>
      </c>
      <c r="Z589" s="10"/>
      <c r="AA589" s="10"/>
      <c r="AB589" s="10"/>
      <c r="AC589" s="10"/>
      <c r="AD589" s="10"/>
      <c r="AE589" s="10"/>
      <c r="AF589" s="10"/>
      <c r="AG589" s="38">
        <f t="shared" si="31"/>
        <v>0</v>
      </c>
      <c r="AH589" s="51" t="str">
        <f t="shared" si="32"/>
        <v xml:space="preserve"> </v>
      </c>
      <c r="AI589" s="64"/>
      <c r="AJ589" s="1"/>
      <c r="AK589" s="65">
        <v>0</v>
      </c>
      <c r="AL589" s="1"/>
      <c r="AM589" s="1"/>
      <c r="AN589" s="83"/>
    </row>
    <row r="590" spans="1:40" s="26" customFormat="1" ht="14.4" hidden="1" x14ac:dyDescent="0.35">
      <c r="A590" s="22" t="s">
        <v>1355</v>
      </c>
      <c r="B590" s="2"/>
      <c r="C590" s="21">
        <v>35</v>
      </c>
      <c r="D590" s="23"/>
      <c r="E590" s="23"/>
      <c r="F590" s="23"/>
      <c r="G590" s="3" t="s">
        <v>1350</v>
      </c>
      <c r="H590" s="4"/>
      <c r="I590" s="6"/>
      <c r="J590" s="4"/>
      <c r="K590" s="5"/>
      <c r="L590" s="5" t="s">
        <v>57</v>
      </c>
      <c r="M590" s="4"/>
      <c r="N590" s="4"/>
      <c r="O590" s="4"/>
      <c r="P590" s="4"/>
      <c r="Q590" s="24"/>
      <c r="R590" s="27" t="s">
        <v>187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 t="shared" si="30"/>
        <v>2.1297953939393937</v>
      </c>
      <c r="Z590" s="10"/>
      <c r="AA590" s="10"/>
      <c r="AB590" s="10"/>
      <c r="AC590" s="10"/>
      <c r="AD590" s="10"/>
      <c r="AE590" s="10"/>
      <c r="AF590" s="10"/>
      <c r="AG590" s="38">
        <f t="shared" si="31"/>
        <v>0</v>
      </c>
      <c r="AH590" s="51" t="str">
        <f t="shared" si="32"/>
        <v xml:space="preserve"> </v>
      </c>
      <c r="AI590" s="64"/>
      <c r="AJ590" s="1"/>
      <c r="AK590" s="65">
        <v>0</v>
      </c>
      <c r="AL590" s="1"/>
      <c r="AM590" s="1"/>
      <c r="AN590" s="83"/>
    </row>
    <row r="591" spans="1:40" s="26" customFormat="1" ht="14.4" hidden="1" x14ac:dyDescent="0.35">
      <c r="A591" s="22" t="s">
        <v>1356</v>
      </c>
      <c r="B591" s="2"/>
      <c r="C591" s="21">
        <v>3</v>
      </c>
      <c r="D591" s="23"/>
      <c r="E591" s="23"/>
      <c r="F591" s="23"/>
      <c r="G591" s="3" t="s">
        <v>1353</v>
      </c>
      <c r="H591" s="4"/>
      <c r="I591" s="6"/>
      <c r="J591" s="4"/>
      <c r="K591" s="5"/>
      <c r="L591" s="5" t="s">
        <v>1354</v>
      </c>
      <c r="M591" s="4"/>
      <c r="N591" s="4"/>
      <c r="O591" s="4"/>
      <c r="P591" s="4"/>
      <c r="Q591" s="24"/>
      <c r="R591" s="27" t="s">
        <v>187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 t="shared" si="30"/>
        <v>2.1006360000000002</v>
      </c>
      <c r="Z591" s="10"/>
      <c r="AA591" s="10"/>
      <c r="AB591" s="10"/>
      <c r="AC591" s="10"/>
      <c r="AD591" s="10"/>
      <c r="AE591" s="10"/>
      <c r="AF591" s="10"/>
      <c r="AG591" s="38">
        <f t="shared" si="31"/>
        <v>0</v>
      </c>
      <c r="AH591" s="51" t="str">
        <f t="shared" si="32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t="14.4" hidden="1" x14ac:dyDescent="0.35">
      <c r="A592" s="22" t="s">
        <v>647</v>
      </c>
      <c r="B592" s="2"/>
      <c r="C592" s="21">
        <v>2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5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 t="shared" si="30"/>
        <v>1.8285167115690739</v>
      </c>
      <c r="Z592" s="10"/>
      <c r="AA592" s="10"/>
      <c r="AB592" s="10"/>
      <c r="AC592" s="10"/>
      <c r="AD592" s="10"/>
      <c r="AE592" s="10"/>
      <c r="AF592" s="10"/>
      <c r="AG592" s="38">
        <f t="shared" si="31"/>
        <v>0</v>
      </c>
      <c r="AH592" s="51" t="str">
        <f t="shared" si="32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t="14.4" hidden="1" x14ac:dyDescent="0.35">
      <c r="A593" s="22" t="s">
        <v>1359</v>
      </c>
      <c r="B593" s="2"/>
      <c r="C593" s="21">
        <v>10</v>
      </c>
      <c r="D593" s="23"/>
      <c r="E593" s="23"/>
      <c r="F593" s="23"/>
      <c r="G593" s="3" t="s">
        <v>762</v>
      </c>
      <c r="H593" s="6"/>
      <c r="I593" s="6"/>
      <c r="J593" s="6"/>
      <c r="K593" s="21"/>
      <c r="L593" s="21" t="s">
        <v>1358</v>
      </c>
      <c r="M593" s="6"/>
      <c r="N593" s="6"/>
      <c r="O593" s="6"/>
      <c r="P593" s="6"/>
      <c r="Q593" s="27"/>
      <c r="R593" s="27" t="s">
        <v>187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 t="shared" si="30"/>
        <v>1.7968115113705696</v>
      </c>
      <c r="Z593" s="10"/>
      <c r="AA593" s="10"/>
      <c r="AB593" s="10"/>
      <c r="AC593" s="10"/>
      <c r="AD593" s="10"/>
      <c r="AE593" s="10"/>
      <c r="AF593" s="10"/>
      <c r="AG593" s="38">
        <f t="shared" si="31"/>
        <v>0</v>
      </c>
      <c r="AH593" s="51" t="str">
        <f t="shared" si="32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t="14.4" hidden="1" x14ac:dyDescent="0.35">
      <c r="A594" s="22" t="s">
        <v>1360</v>
      </c>
      <c r="B594" s="2"/>
      <c r="C594" s="21">
        <v>3</v>
      </c>
      <c r="D594" s="23"/>
      <c r="E594" s="23"/>
      <c r="F594" s="23"/>
      <c r="G594" s="3" t="s">
        <v>1353</v>
      </c>
      <c r="H594" s="4"/>
      <c r="I594" s="6"/>
      <c r="J594" s="4"/>
      <c r="K594" s="5"/>
      <c r="L594" s="5" t="s">
        <v>1354</v>
      </c>
      <c r="M594" s="4"/>
      <c r="N594" s="4"/>
      <c r="O594" s="4"/>
      <c r="P594" s="4"/>
      <c r="Q594" s="24"/>
      <c r="R594" s="27" t="s">
        <v>187</v>
      </c>
      <c r="S594" s="6"/>
      <c r="T594" s="1">
        <v>2.1548987380538991</v>
      </c>
      <c r="U594" s="1">
        <v>1.4122095476228311</v>
      </c>
      <c r="V594" s="1">
        <v>1.8194405197336021</v>
      </c>
      <c r="W594" s="1">
        <v>1.5468829690623442</v>
      </c>
      <c r="X594" s="1">
        <v>1.6450845141325847</v>
      </c>
      <c r="Y594" s="1">
        <f t="shared" si="30"/>
        <v>1.7157032577210523</v>
      </c>
      <c r="Z594" s="10"/>
      <c r="AA594" s="10"/>
      <c r="AB594" s="10"/>
      <c r="AC594" s="10"/>
      <c r="AD594" s="10"/>
      <c r="AE594" s="10"/>
      <c r="AF594" s="10"/>
      <c r="AG594" s="38">
        <f t="shared" si="31"/>
        <v>0</v>
      </c>
      <c r="AH594" s="51" t="str">
        <f t="shared" si="32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t="14.4" hidden="1" x14ac:dyDescent="0.35">
      <c r="A595" s="22" t="s">
        <v>1361</v>
      </c>
      <c r="B595" s="2"/>
      <c r="C595" s="21">
        <v>12.5</v>
      </c>
      <c r="D595" s="23"/>
      <c r="E595" s="23"/>
      <c r="F595" s="23"/>
      <c r="G595" s="3" t="s">
        <v>1362</v>
      </c>
      <c r="H595" s="6"/>
      <c r="I595" s="6"/>
      <c r="J595" s="6"/>
      <c r="K595" s="21"/>
      <c r="L595" s="21" t="s">
        <v>1363</v>
      </c>
      <c r="M595" s="6"/>
      <c r="N595" s="6"/>
      <c r="O595" s="6"/>
      <c r="P595" s="6"/>
      <c r="Q595" s="27"/>
      <c r="R595" s="27" t="s">
        <v>187</v>
      </c>
      <c r="S595" s="6"/>
      <c r="T595" s="1">
        <v>1.5951733745421246</v>
      </c>
      <c r="U595" s="1">
        <v>2.1854098809523808</v>
      </c>
      <c r="V595" s="1">
        <v>1.5421318269230766</v>
      </c>
      <c r="W595" s="1">
        <v>2.8972333745421244</v>
      </c>
      <c r="X595" s="1">
        <v>0</v>
      </c>
      <c r="Y595" s="1">
        <f t="shared" si="30"/>
        <v>1.6439896913919412</v>
      </c>
      <c r="Z595" s="10"/>
      <c r="AA595" s="10"/>
      <c r="AB595" s="10"/>
      <c r="AC595" s="10"/>
      <c r="AD595" s="10"/>
      <c r="AE595" s="10"/>
      <c r="AF595" s="10"/>
      <c r="AG595" s="38">
        <f t="shared" si="31"/>
        <v>0</v>
      </c>
      <c r="AH595" s="51" t="str">
        <f t="shared" si="32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t="14.4" hidden="1" x14ac:dyDescent="0.35">
      <c r="A596" s="22" t="s">
        <v>1364</v>
      </c>
      <c r="B596" s="2"/>
      <c r="C596" s="21">
        <v>40</v>
      </c>
      <c r="D596" s="23"/>
      <c r="E596" s="23"/>
      <c r="F596" s="23"/>
      <c r="G596" s="3" t="s">
        <v>1350</v>
      </c>
      <c r="H596" s="6"/>
      <c r="I596" s="6"/>
      <c r="J596" s="6"/>
      <c r="K596" s="21"/>
      <c r="L596" s="21" t="s">
        <v>57</v>
      </c>
      <c r="M596" s="6"/>
      <c r="N596" s="6"/>
      <c r="O596" s="6"/>
      <c r="P596" s="6"/>
      <c r="Q596" s="27"/>
      <c r="R596" s="27" t="s">
        <v>187</v>
      </c>
      <c r="S596" s="6"/>
      <c r="T596" s="1">
        <v>0.92315999999999998</v>
      </c>
      <c r="U596" s="1">
        <v>1.7671919999999999</v>
      </c>
      <c r="V596" s="1">
        <v>1.1209799999999999</v>
      </c>
      <c r="W596" s="1">
        <v>1.8331319999999998</v>
      </c>
      <c r="X596" s="1">
        <v>1.8858839999999999</v>
      </c>
      <c r="Y596" s="1">
        <f t="shared" si="30"/>
        <v>1.5060695999999998</v>
      </c>
      <c r="Z596" s="10"/>
      <c r="AA596" s="10"/>
      <c r="AB596" s="10"/>
      <c r="AC596" s="10"/>
      <c r="AD596" s="10"/>
      <c r="AE596" s="10"/>
      <c r="AF596" s="10"/>
      <c r="AG596" s="38">
        <f t="shared" si="31"/>
        <v>0</v>
      </c>
      <c r="AH596" s="51" t="str">
        <f t="shared" si="32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t="14.4" hidden="1" x14ac:dyDescent="0.35">
      <c r="A597" s="22" t="s">
        <v>1365</v>
      </c>
      <c r="B597" s="2"/>
      <c r="C597" s="21">
        <v>4.75</v>
      </c>
      <c r="D597" s="23"/>
      <c r="E597" s="23"/>
      <c r="F597" s="23"/>
      <c r="G597" s="3" t="s">
        <v>1362</v>
      </c>
      <c r="H597" s="6"/>
      <c r="I597" s="6"/>
      <c r="J597" s="6"/>
      <c r="K597" s="21"/>
      <c r="L597" s="21" t="s">
        <v>1366</v>
      </c>
      <c r="M597" s="6"/>
      <c r="N597" s="6"/>
      <c r="O597" s="6"/>
      <c r="P597" s="6"/>
      <c r="Q597" s="27"/>
      <c r="R597" s="27" t="s">
        <v>187</v>
      </c>
      <c r="S597" s="6"/>
      <c r="T597" s="1">
        <v>1.0123199999999999</v>
      </c>
      <c r="U597" s="1">
        <v>1.4341199999999998</v>
      </c>
      <c r="V597" s="1">
        <v>1.94028</v>
      </c>
      <c r="W597" s="1">
        <v>1.6450199999999997</v>
      </c>
      <c r="X597" s="1">
        <v>1.4762999999999999</v>
      </c>
      <c r="Y597" s="1">
        <f t="shared" si="30"/>
        <v>1.5016080000000001</v>
      </c>
      <c r="Z597" s="10"/>
      <c r="AA597" s="10"/>
      <c r="AB597" s="10"/>
      <c r="AC597" s="10"/>
      <c r="AD597" s="10"/>
      <c r="AE597" s="10"/>
      <c r="AF597" s="10"/>
      <c r="AG597" s="38">
        <f t="shared" si="31"/>
        <v>0</v>
      </c>
      <c r="AH597" s="51" t="str">
        <f t="shared" si="32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t="14.4" hidden="1" x14ac:dyDescent="0.35">
      <c r="A598" s="22" t="s">
        <v>1367</v>
      </c>
      <c r="B598" s="2"/>
      <c r="C598" s="21">
        <v>6</v>
      </c>
      <c r="D598" s="23"/>
      <c r="E598" s="23"/>
      <c r="F598" s="23"/>
      <c r="G598" s="3" t="s">
        <v>1362</v>
      </c>
      <c r="H598" s="6"/>
      <c r="I598" s="6"/>
      <c r="J598" s="6"/>
      <c r="K598" s="21"/>
      <c r="L598" s="21" t="s">
        <v>1358</v>
      </c>
      <c r="M598" s="4"/>
      <c r="N598" s="6"/>
      <c r="O598" s="6"/>
      <c r="P598" s="6"/>
      <c r="Q598" s="27"/>
      <c r="R598" s="27" t="s">
        <v>187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 t="shared" si="30"/>
        <v>1.4259504000000001</v>
      </c>
      <c r="Z598" s="10"/>
      <c r="AA598" s="10"/>
      <c r="AB598" s="10"/>
      <c r="AC598" s="10"/>
      <c r="AD598" s="10"/>
      <c r="AE598" s="10"/>
      <c r="AF598" s="10"/>
      <c r="AG598" s="38">
        <f t="shared" si="31"/>
        <v>0</v>
      </c>
      <c r="AH598" s="51" t="str">
        <f t="shared" si="32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t="14.4" hidden="1" x14ac:dyDescent="0.35">
      <c r="A599" s="22" t="s">
        <v>867</v>
      </c>
      <c r="B599" s="2"/>
      <c r="C599" s="21">
        <v>3.5</v>
      </c>
      <c r="D599" s="23"/>
      <c r="E599" s="23"/>
      <c r="F599" s="23"/>
      <c r="G599" s="3" t="s">
        <v>1368</v>
      </c>
      <c r="H599" s="4"/>
      <c r="I599" s="6"/>
      <c r="J599" s="4"/>
      <c r="K599" s="5"/>
      <c r="L599" s="5" t="s">
        <v>1366</v>
      </c>
      <c r="M599" s="4"/>
      <c r="N599" s="4"/>
      <c r="O599" s="4"/>
      <c r="P599" s="4"/>
      <c r="Q599" s="24"/>
      <c r="R599" s="27" t="s">
        <v>187</v>
      </c>
      <c r="S599" s="4"/>
      <c r="T599" s="1">
        <v>0.90434210000000015</v>
      </c>
      <c r="U599" s="1">
        <v>1.3407232</v>
      </c>
      <c r="V599" s="1">
        <v>1.7243406999999997</v>
      </c>
      <c r="W599" s="1">
        <v>1.5042120999999997</v>
      </c>
      <c r="X599" s="1">
        <v>1.2473953999999996</v>
      </c>
      <c r="Y599" s="1">
        <f t="shared" si="30"/>
        <v>1.3442026999999999</v>
      </c>
      <c r="Z599" s="10"/>
      <c r="AA599" s="10"/>
      <c r="AB599" s="10"/>
      <c r="AC599" s="10"/>
      <c r="AD599" s="10"/>
      <c r="AE599" s="10"/>
      <c r="AF599" s="10"/>
      <c r="AG599" s="38">
        <f t="shared" si="31"/>
        <v>0</v>
      </c>
      <c r="AH599" s="51" t="str">
        <f t="shared" si="32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t="14.4" hidden="1" x14ac:dyDescent="0.35">
      <c r="A600" s="22" t="s">
        <v>1369</v>
      </c>
      <c r="B600" s="2"/>
      <c r="C600" s="21">
        <v>6</v>
      </c>
      <c r="D600" s="23"/>
      <c r="E600" s="23"/>
      <c r="F600" s="23"/>
      <c r="G600" s="3" t="s">
        <v>1362</v>
      </c>
      <c r="H600" s="6"/>
      <c r="I600" s="6"/>
      <c r="J600" s="6"/>
      <c r="K600" s="21"/>
      <c r="L600" s="21" t="s">
        <v>1358</v>
      </c>
      <c r="M600" s="6"/>
      <c r="N600" s="6"/>
      <c r="O600" s="6"/>
      <c r="P600" s="6"/>
      <c r="Q600" s="27"/>
      <c r="R600" s="27" t="s">
        <v>187</v>
      </c>
      <c r="S600" s="6"/>
      <c r="T600" s="1">
        <v>1.6345641999999998</v>
      </c>
      <c r="U600" s="1">
        <v>1.2439024000000001</v>
      </c>
      <c r="V600" s="1">
        <v>1.2999311999999998</v>
      </c>
      <c r="W600" s="1">
        <v>1.2139760000000002</v>
      </c>
      <c r="X600" s="1">
        <v>1.3065542000000001</v>
      </c>
      <c r="Y600" s="1">
        <f t="shared" si="30"/>
        <v>1.3397855999999999</v>
      </c>
      <c r="Z600" s="10"/>
      <c r="AA600" s="10"/>
      <c r="AB600" s="10"/>
      <c r="AC600" s="10"/>
      <c r="AD600" s="10"/>
      <c r="AE600" s="10"/>
      <c r="AF600" s="10"/>
      <c r="AG600" s="38">
        <f t="shared" si="31"/>
        <v>0</v>
      </c>
      <c r="AH600" s="51" t="str">
        <f t="shared" si="32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t="14.4" hidden="1" x14ac:dyDescent="0.35">
      <c r="A601" s="22" t="s">
        <v>1370</v>
      </c>
      <c r="B601" s="2"/>
      <c r="C601" s="21">
        <v>2</v>
      </c>
      <c r="D601" s="23"/>
      <c r="E601" s="23"/>
      <c r="F601" s="23"/>
      <c r="G601" s="3" t="s">
        <v>1371</v>
      </c>
      <c r="H601" s="4"/>
      <c r="I601" s="6"/>
      <c r="J601" s="4"/>
      <c r="K601" s="5"/>
      <c r="L601" s="5" t="s">
        <v>1366</v>
      </c>
      <c r="M601" s="4"/>
      <c r="N601" s="4"/>
      <c r="O601" s="4"/>
      <c r="P601" s="4"/>
      <c r="Q601" s="24"/>
      <c r="R601" s="27" t="s">
        <v>187</v>
      </c>
      <c r="S601" s="6"/>
      <c r="T601" s="1">
        <v>0.59289599999999998</v>
      </c>
      <c r="U601" s="1">
        <v>1.48224</v>
      </c>
      <c r="V601" s="1">
        <v>1.4081279999999998</v>
      </c>
      <c r="W601" s="1">
        <v>1.48224</v>
      </c>
      <c r="X601" s="1">
        <v>1.48224</v>
      </c>
      <c r="Y601" s="1">
        <f t="shared" si="30"/>
        <v>1.2895487999999999</v>
      </c>
      <c r="Z601" s="10"/>
      <c r="AA601" s="10"/>
      <c r="AB601" s="10"/>
      <c r="AC601" s="10"/>
      <c r="AD601" s="10"/>
      <c r="AE601" s="10"/>
      <c r="AF601" s="10"/>
      <c r="AG601" s="38">
        <f t="shared" si="31"/>
        <v>0</v>
      </c>
      <c r="AH601" s="51" t="str">
        <f t="shared" si="32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t="14.4" hidden="1" x14ac:dyDescent="0.35">
      <c r="A602" s="22" t="s">
        <v>655</v>
      </c>
      <c r="B602" s="2"/>
      <c r="C602" s="21">
        <v>3</v>
      </c>
      <c r="D602" s="23"/>
      <c r="E602" s="23"/>
      <c r="F602" s="23"/>
      <c r="G602" s="3" t="s">
        <v>1362</v>
      </c>
      <c r="H602" s="4"/>
      <c r="I602" s="6"/>
      <c r="J602" s="4"/>
      <c r="K602" s="5"/>
      <c r="L602" s="5" t="s">
        <v>1366</v>
      </c>
      <c r="M602" s="4"/>
      <c r="N602" s="4"/>
      <c r="O602" s="4"/>
      <c r="P602" s="4"/>
      <c r="Q602" s="24"/>
      <c r="R602" s="27" t="s">
        <v>187</v>
      </c>
      <c r="S602" s="6"/>
      <c r="T602" s="1">
        <v>1.707203796226415</v>
      </c>
      <c r="U602" s="1">
        <v>0.75378366415094356</v>
      </c>
      <c r="V602" s="1">
        <v>1.3311301320754716</v>
      </c>
      <c r="W602" s="1">
        <v>0.88613329622641523</v>
      </c>
      <c r="X602" s="1">
        <v>1.590448296226415</v>
      </c>
      <c r="Y602" s="1">
        <f t="shared" si="30"/>
        <v>1.2537398369811321</v>
      </c>
      <c r="Z602" s="10"/>
      <c r="AA602" s="10"/>
      <c r="AB602" s="10"/>
      <c r="AC602" s="10"/>
      <c r="AD602" s="10"/>
      <c r="AE602" s="10"/>
      <c r="AF602" s="10"/>
      <c r="AG602" s="38">
        <f t="shared" si="31"/>
        <v>0</v>
      </c>
      <c r="AH602" s="51" t="str">
        <f t="shared" si="32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t="14.4" hidden="1" x14ac:dyDescent="0.35">
      <c r="A603" s="22" t="s">
        <v>275</v>
      </c>
      <c r="B603" s="2"/>
      <c r="C603" s="21">
        <v>3</v>
      </c>
      <c r="D603" s="23"/>
      <c r="E603" s="23"/>
      <c r="F603" s="23" t="s">
        <v>277</v>
      </c>
      <c r="G603" s="3" t="s">
        <v>1372</v>
      </c>
      <c r="H603" s="6"/>
      <c r="I603" s="6"/>
      <c r="J603" s="6"/>
      <c r="K603" s="21"/>
      <c r="L603" s="21" t="s">
        <v>1366</v>
      </c>
      <c r="M603" s="6"/>
      <c r="N603" s="6"/>
      <c r="O603" s="6"/>
      <c r="P603" s="6"/>
      <c r="Q603" s="27"/>
      <c r="R603" s="27" t="s">
        <v>187</v>
      </c>
      <c r="S603" s="6"/>
      <c r="T603" s="1">
        <v>0.50531334917030568</v>
      </c>
      <c r="U603" s="1">
        <v>1.254295294323144</v>
      </c>
      <c r="V603" s="1">
        <v>1.1903221986026198</v>
      </c>
      <c r="W603" s="1">
        <v>1.2532167248908295</v>
      </c>
      <c r="X603" s="1">
        <v>1.2524976786026201</v>
      </c>
      <c r="Y603" s="1">
        <f t="shared" si="30"/>
        <v>1.0911290491179038</v>
      </c>
      <c r="Z603" s="10"/>
      <c r="AA603" s="10"/>
      <c r="AB603" s="10"/>
      <c r="AC603" s="10"/>
      <c r="AD603" s="10"/>
      <c r="AE603" s="10"/>
      <c r="AF603" s="10"/>
      <c r="AG603" s="38">
        <f t="shared" si="31"/>
        <v>0</v>
      </c>
      <c r="AH603" s="51" t="str">
        <f t="shared" si="32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t="14.4" hidden="1" x14ac:dyDescent="0.35">
      <c r="A604" s="22" t="s">
        <v>1373</v>
      </c>
      <c r="B604" s="2"/>
      <c r="C604" s="21">
        <v>25</v>
      </c>
      <c r="D604" s="23"/>
      <c r="E604" s="23"/>
      <c r="F604" s="23"/>
      <c r="G604" s="3" t="s">
        <v>1350</v>
      </c>
      <c r="H604" s="6"/>
      <c r="I604" s="6"/>
      <c r="J604" s="6"/>
      <c r="K604" s="21"/>
      <c r="L604" s="21" t="s">
        <v>1366</v>
      </c>
      <c r="M604" s="6"/>
      <c r="N604" s="6"/>
      <c r="O604" s="6"/>
      <c r="P604" s="6"/>
      <c r="Q604" s="27"/>
      <c r="R604" s="27" t="s">
        <v>187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 t="shared" si="30"/>
        <v>1.0911166355555557</v>
      </c>
      <c r="Z604" s="10"/>
      <c r="AA604" s="10"/>
      <c r="AB604" s="10"/>
      <c r="AC604" s="10"/>
      <c r="AD604" s="10"/>
      <c r="AE604" s="10"/>
      <c r="AF604" s="10"/>
      <c r="AG604" s="38">
        <f t="shared" si="31"/>
        <v>0</v>
      </c>
      <c r="AH604" s="51" t="str">
        <f t="shared" si="32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t="14.4" hidden="1" x14ac:dyDescent="0.35">
      <c r="A605" s="22" t="s">
        <v>1374</v>
      </c>
      <c r="B605" s="2"/>
      <c r="C605" s="21">
        <v>6.3</v>
      </c>
      <c r="D605" s="23"/>
      <c r="E605" s="23"/>
      <c r="F605" s="23"/>
      <c r="G605" s="3" t="s">
        <v>1362</v>
      </c>
      <c r="H605" s="6"/>
      <c r="I605" s="6"/>
      <c r="J605" s="6"/>
      <c r="K605" s="21"/>
      <c r="L605" s="21" t="s">
        <v>1358</v>
      </c>
      <c r="M605" s="6"/>
      <c r="N605" s="6"/>
      <c r="O605" s="6"/>
      <c r="P605" s="6"/>
      <c r="Q605" s="27"/>
      <c r="R605" s="27" t="s">
        <v>187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 t="shared" si="30"/>
        <v>1.0883546496760041</v>
      </c>
      <c r="Z605" s="10"/>
      <c r="AA605" s="10"/>
      <c r="AB605" s="10"/>
      <c r="AC605" s="10"/>
      <c r="AD605" s="10"/>
      <c r="AE605" s="10"/>
      <c r="AF605" s="10"/>
      <c r="AG605" s="38">
        <f t="shared" si="31"/>
        <v>0</v>
      </c>
      <c r="AH605" s="51" t="str">
        <f t="shared" si="32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t="14.4" hidden="1" x14ac:dyDescent="0.35">
      <c r="A606" s="22" t="s">
        <v>378</v>
      </c>
      <c r="B606" s="2"/>
      <c r="C606" s="21">
        <v>4</v>
      </c>
      <c r="D606" s="23"/>
      <c r="E606" s="23"/>
      <c r="F606" s="23"/>
      <c r="G606" s="3" t="s">
        <v>1362</v>
      </c>
      <c r="H606" s="4"/>
      <c r="I606" s="6"/>
      <c r="J606" s="4"/>
      <c r="K606" s="5"/>
      <c r="L606" s="5" t="s">
        <v>1358</v>
      </c>
      <c r="M606" s="4"/>
      <c r="N606" s="4"/>
      <c r="O606" s="4"/>
      <c r="P606" s="4"/>
      <c r="Q606" s="24"/>
      <c r="R606" s="27" t="s">
        <v>187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 t="shared" si="30"/>
        <v>1.0749255200000001</v>
      </c>
      <c r="Z606" s="10"/>
      <c r="AA606" s="10"/>
      <c r="AB606" s="10"/>
      <c r="AC606" s="10"/>
      <c r="AD606" s="10"/>
      <c r="AE606" s="10"/>
      <c r="AF606" s="10"/>
      <c r="AG606" s="38">
        <f t="shared" si="31"/>
        <v>0</v>
      </c>
      <c r="AH606" s="51" t="str">
        <f t="shared" si="32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t="14.4" hidden="1" x14ac:dyDescent="0.35">
      <c r="A607" s="22" t="s">
        <v>370</v>
      </c>
      <c r="B607" s="2"/>
      <c r="C607" s="21">
        <v>4.75</v>
      </c>
      <c r="D607" s="23"/>
      <c r="E607" s="23"/>
      <c r="F607" s="23"/>
      <c r="G607" s="3" t="s">
        <v>1368</v>
      </c>
      <c r="H607" s="6"/>
      <c r="I607" s="6"/>
      <c r="J607" s="6"/>
      <c r="K607" s="21"/>
      <c r="L607" s="21" t="s">
        <v>1366</v>
      </c>
      <c r="M607" s="6"/>
      <c r="N607" s="6"/>
      <c r="O607" s="6"/>
      <c r="P607" s="6"/>
      <c r="Q607" s="27"/>
      <c r="R607" s="27" t="s">
        <v>187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 t="shared" si="30"/>
        <v>1.013652</v>
      </c>
      <c r="Z607" s="10"/>
      <c r="AA607" s="10"/>
      <c r="AB607" s="10"/>
      <c r="AC607" s="10"/>
      <c r="AD607" s="10"/>
      <c r="AE607" s="10"/>
      <c r="AF607" s="10"/>
      <c r="AG607" s="38">
        <f t="shared" si="31"/>
        <v>0</v>
      </c>
      <c r="AH607" s="51" t="str">
        <f t="shared" si="32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t="14.4" hidden="1" x14ac:dyDescent="0.35">
      <c r="A608" s="22" t="s">
        <v>1375</v>
      </c>
      <c r="B608" s="2"/>
      <c r="C608" s="21">
        <v>8</v>
      </c>
      <c r="D608" s="23"/>
      <c r="E608" s="23"/>
      <c r="F608" s="23"/>
      <c r="G608" s="3" t="s">
        <v>1362</v>
      </c>
      <c r="H608" s="4"/>
      <c r="I608" s="4"/>
      <c r="J608" s="4"/>
      <c r="K608" s="5"/>
      <c r="L608" s="5" t="s">
        <v>1363</v>
      </c>
      <c r="M608" s="4"/>
      <c r="N608" s="4"/>
      <c r="O608" s="4"/>
      <c r="P608" s="4"/>
      <c r="Q608" s="24"/>
      <c r="R608" s="27" t="s">
        <v>187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 t="shared" si="30"/>
        <v>0.76728073846153855</v>
      </c>
      <c r="Z608" s="10"/>
      <c r="AA608" s="10"/>
      <c r="AB608" s="10"/>
      <c r="AC608" s="10"/>
      <c r="AD608" s="10"/>
      <c r="AE608" s="10"/>
      <c r="AF608" s="10"/>
      <c r="AG608" s="38">
        <f t="shared" si="31"/>
        <v>0</v>
      </c>
      <c r="AH608" s="51" t="str">
        <f t="shared" si="32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t="14.4" hidden="1" x14ac:dyDescent="0.35">
      <c r="A609" s="22" t="s">
        <v>1376</v>
      </c>
      <c r="B609" s="2"/>
      <c r="C609" s="21">
        <v>6</v>
      </c>
      <c r="D609" s="23"/>
      <c r="E609" s="23"/>
      <c r="F609" s="23"/>
      <c r="G609" s="3" t="s">
        <v>1362</v>
      </c>
      <c r="H609" s="6"/>
      <c r="I609" s="6"/>
      <c r="J609" s="6"/>
      <c r="K609" s="21"/>
      <c r="L609" s="21" t="s">
        <v>1363</v>
      </c>
      <c r="M609" s="6"/>
      <c r="N609" s="6"/>
      <c r="O609" s="6"/>
      <c r="P609" s="6"/>
      <c r="Q609" s="27"/>
      <c r="R609" s="27" t="s">
        <v>187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 t="shared" si="30"/>
        <v>0.67866936717669724</v>
      </c>
      <c r="Z609" s="10"/>
      <c r="AA609" s="10"/>
      <c r="AB609" s="10"/>
      <c r="AC609" s="10"/>
      <c r="AD609" s="10"/>
      <c r="AE609" s="10"/>
      <c r="AF609" s="10"/>
      <c r="AG609" s="38">
        <f t="shared" si="31"/>
        <v>0</v>
      </c>
      <c r="AH609" s="51" t="str">
        <f t="shared" si="32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t="14.4" hidden="1" x14ac:dyDescent="0.35">
      <c r="A610" s="22" t="s">
        <v>1377</v>
      </c>
      <c r="B610" s="2"/>
      <c r="C610" s="21">
        <v>1.5</v>
      </c>
      <c r="D610" s="23"/>
      <c r="E610" s="23"/>
      <c r="F610" s="23"/>
      <c r="G610" s="3"/>
      <c r="H610" s="4"/>
      <c r="I610" s="6"/>
      <c r="J610" s="4"/>
      <c r="K610" s="5"/>
      <c r="L610" s="5" t="s">
        <v>1366</v>
      </c>
      <c r="M610" s="4" t="s">
        <v>1378</v>
      </c>
      <c r="N610" s="4"/>
      <c r="O610" s="4"/>
      <c r="P610" s="4"/>
      <c r="Q610" s="24"/>
      <c r="R610" s="27" t="s">
        <v>187</v>
      </c>
      <c r="S610" s="6"/>
      <c r="T610" s="1">
        <v>0.50341250000000004</v>
      </c>
      <c r="U610" s="1">
        <v>0.70040000000000002</v>
      </c>
      <c r="V610" s="1">
        <v>0.70040000000000002</v>
      </c>
      <c r="W610" s="1">
        <v>0.70040000000000002</v>
      </c>
      <c r="X610" s="1">
        <v>0.70040000000000002</v>
      </c>
      <c r="Y610" s="1">
        <f t="shared" si="30"/>
        <v>0.66100250000000016</v>
      </c>
      <c r="Z610" s="10"/>
      <c r="AA610" s="10"/>
      <c r="AB610" s="10"/>
      <c r="AC610" s="10"/>
      <c r="AD610" s="10"/>
      <c r="AE610" s="10"/>
      <c r="AF610" s="10"/>
      <c r="AG610" s="38">
        <f t="shared" si="31"/>
        <v>0</v>
      </c>
      <c r="AH610" s="51" t="str">
        <f t="shared" si="32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t="14.4" hidden="1" x14ac:dyDescent="0.35">
      <c r="A611" s="22" t="s">
        <v>1379</v>
      </c>
      <c r="B611" s="2"/>
      <c r="C611" s="21">
        <v>9.5</v>
      </c>
      <c r="D611" s="23"/>
      <c r="E611" s="23"/>
      <c r="F611" s="23"/>
      <c r="G611" s="3" t="s">
        <v>1362</v>
      </c>
      <c r="H611" s="6"/>
      <c r="I611" s="6"/>
      <c r="J611" s="6"/>
      <c r="K611" s="21"/>
      <c r="L611" s="21" t="s">
        <v>1363</v>
      </c>
      <c r="M611" s="6"/>
      <c r="N611" s="6"/>
      <c r="O611" s="6"/>
      <c r="P611" s="6"/>
      <c r="Q611" s="27"/>
      <c r="R611" s="27" t="s">
        <v>187</v>
      </c>
      <c r="S611" s="6"/>
      <c r="T611" s="1">
        <v>0.19134374999999998</v>
      </c>
      <c r="U611" s="1">
        <v>0.54683898305084744</v>
      </c>
      <c r="V611" s="1">
        <v>0.79714041464891039</v>
      </c>
      <c r="W611" s="1">
        <v>1.4183857082324454</v>
      </c>
      <c r="X611" s="1">
        <v>0.24601339285714283</v>
      </c>
      <c r="Y611" s="1">
        <f t="shared" si="30"/>
        <v>0.63994444975786924</v>
      </c>
      <c r="Z611" s="10"/>
      <c r="AA611" s="10"/>
      <c r="AB611" s="10"/>
      <c r="AC611" s="10"/>
      <c r="AD611" s="10"/>
      <c r="AE611" s="10"/>
      <c r="AF611" s="10"/>
      <c r="AG611" s="38">
        <f t="shared" si="31"/>
        <v>0</v>
      </c>
      <c r="AH611" s="51" t="str">
        <f t="shared" si="32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t="14.4" hidden="1" x14ac:dyDescent="0.35">
      <c r="A612" s="22" t="s">
        <v>672</v>
      </c>
      <c r="B612" s="2"/>
      <c r="C612" s="21">
        <v>5</v>
      </c>
      <c r="D612" s="23"/>
      <c r="E612" s="23"/>
      <c r="F612" s="23"/>
      <c r="G612" s="3" t="s">
        <v>1368</v>
      </c>
      <c r="H612" s="6"/>
      <c r="I612" s="6"/>
      <c r="J612" s="6"/>
      <c r="K612" s="21"/>
      <c r="L612" s="21" t="s">
        <v>1366</v>
      </c>
      <c r="M612" s="6"/>
      <c r="N612" s="6"/>
      <c r="O612" s="6"/>
      <c r="P612" s="6"/>
      <c r="Q612" s="27"/>
      <c r="R612" s="27" t="s">
        <v>187</v>
      </c>
      <c r="S612" s="6"/>
      <c r="T612" s="1">
        <v>0.76980480000000007</v>
      </c>
      <c r="U612" s="1">
        <v>0.46509040000000001</v>
      </c>
      <c r="V612" s="1">
        <v>0.59339120000000001</v>
      </c>
      <c r="W612" s="1">
        <v>0.44905280000000003</v>
      </c>
      <c r="X612" s="1">
        <v>0.78584240000000016</v>
      </c>
      <c r="Y612" s="1">
        <f t="shared" si="30"/>
        <v>0.61263632000000001</v>
      </c>
      <c r="Z612" s="10"/>
      <c r="AA612" s="10"/>
      <c r="AB612" s="10"/>
      <c r="AC612" s="10"/>
      <c r="AD612" s="10"/>
      <c r="AE612" s="10"/>
      <c r="AF612" s="10"/>
      <c r="AG612" s="38">
        <f t="shared" si="31"/>
        <v>0</v>
      </c>
      <c r="AH612" s="51" t="str">
        <f t="shared" si="32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t="14.4" hidden="1" x14ac:dyDescent="0.35">
      <c r="A613" s="22" t="s">
        <v>1380</v>
      </c>
      <c r="B613" s="2"/>
      <c r="C613" s="21">
        <v>15.75</v>
      </c>
      <c r="D613" s="23"/>
      <c r="E613" s="23"/>
      <c r="F613" s="23"/>
      <c r="G613" s="3" t="s">
        <v>1381</v>
      </c>
      <c r="H613" s="6"/>
      <c r="I613" s="6"/>
      <c r="J613" s="6"/>
      <c r="K613" s="21"/>
      <c r="L613" s="21" t="s">
        <v>1358</v>
      </c>
      <c r="M613" s="6"/>
      <c r="N613" s="6"/>
      <c r="O613" s="6"/>
      <c r="P613" s="6"/>
      <c r="Q613" s="27"/>
      <c r="R613" s="27" t="s">
        <v>187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 t="shared" si="30"/>
        <v>0.61221216000000001</v>
      </c>
      <c r="Z613" s="10"/>
      <c r="AA613" s="10"/>
      <c r="AB613" s="10"/>
      <c r="AC613" s="10"/>
      <c r="AD613" s="10"/>
      <c r="AE613" s="10"/>
      <c r="AF613" s="10"/>
      <c r="AG613" s="38">
        <f t="shared" si="31"/>
        <v>0</v>
      </c>
      <c r="AH613" s="51" t="str">
        <f t="shared" si="32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t="14.4" hidden="1" x14ac:dyDescent="0.35">
      <c r="A614" s="22" t="s">
        <v>1382</v>
      </c>
      <c r="B614" s="2"/>
      <c r="C614" s="21">
        <v>4.75</v>
      </c>
      <c r="D614" s="23"/>
      <c r="E614" s="23"/>
      <c r="F614" s="23"/>
      <c r="G614" s="3" t="s">
        <v>1383</v>
      </c>
      <c r="H614" s="6"/>
      <c r="I614" s="6"/>
      <c r="J614" s="6"/>
      <c r="K614" s="21"/>
      <c r="L614" s="21" t="s">
        <v>1358</v>
      </c>
      <c r="M614" s="6"/>
      <c r="N614" s="6"/>
      <c r="O614" s="6"/>
      <c r="P614" s="6"/>
      <c r="Q614" s="27"/>
      <c r="R614" s="27" t="s">
        <v>187</v>
      </c>
      <c r="S614" s="6"/>
      <c r="T614" s="1">
        <v>0</v>
      </c>
      <c r="U614" s="1">
        <v>0.24903899999999998</v>
      </c>
      <c r="V614" s="1">
        <v>0.99615599999999993</v>
      </c>
      <c r="W614" s="1">
        <v>0.74711699999999992</v>
      </c>
      <c r="X614" s="1">
        <v>0.99615599999999993</v>
      </c>
      <c r="Y614" s="1">
        <f t="shared" si="30"/>
        <v>0.59769359999999994</v>
      </c>
      <c r="Z614" s="10"/>
      <c r="AA614" s="10"/>
      <c r="AB614" s="10"/>
      <c r="AC614" s="10"/>
      <c r="AD614" s="10"/>
      <c r="AE614" s="10"/>
      <c r="AF614" s="10"/>
      <c r="AG614" s="38">
        <f t="shared" si="31"/>
        <v>0</v>
      </c>
      <c r="AH614" s="51" t="str">
        <f t="shared" si="32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t="14.4" hidden="1" x14ac:dyDescent="0.35">
      <c r="A615" s="22" t="s">
        <v>879</v>
      </c>
      <c r="B615" s="2"/>
      <c r="C615" s="21">
        <v>3</v>
      </c>
      <c r="D615" s="23"/>
      <c r="E615" s="23"/>
      <c r="F615" s="23"/>
      <c r="G615" s="3" t="s">
        <v>1384</v>
      </c>
      <c r="H615" s="6"/>
      <c r="I615" s="6"/>
      <c r="J615" s="6"/>
      <c r="K615" s="21"/>
      <c r="L615" s="21" t="s">
        <v>1366</v>
      </c>
      <c r="M615" s="6"/>
      <c r="N615" s="6"/>
      <c r="O615" s="6"/>
      <c r="P615" s="6"/>
      <c r="Q615" s="27"/>
      <c r="R615" s="27" t="s">
        <v>187</v>
      </c>
      <c r="S615" s="6"/>
      <c r="T615" s="1">
        <v>0.52515319999999999</v>
      </c>
      <c r="U615" s="1">
        <v>0.54449919999999996</v>
      </c>
      <c r="V615" s="1">
        <v>0.42600239999999995</v>
      </c>
      <c r="W615" s="1">
        <v>0.61754799999999999</v>
      </c>
      <c r="X615" s="1">
        <v>0.53339999999999999</v>
      </c>
      <c r="Y615" s="1">
        <f t="shared" si="30"/>
        <v>0.52932055999999994</v>
      </c>
      <c r="Z615" s="10"/>
      <c r="AA615" s="10"/>
      <c r="AB615" s="10"/>
      <c r="AC615" s="10"/>
      <c r="AD615" s="10"/>
      <c r="AE615" s="10"/>
      <c r="AF615" s="10"/>
      <c r="AG615" s="38">
        <f t="shared" si="31"/>
        <v>0</v>
      </c>
      <c r="AH615" s="51" t="str">
        <f t="shared" si="32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t="14.4" hidden="1" x14ac:dyDescent="0.35">
      <c r="A616" s="22" t="s">
        <v>906</v>
      </c>
      <c r="B616" s="2"/>
      <c r="C616" s="21">
        <v>9.5</v>
      </c>
      <c r="D616" s="23"/>
      <c r="E616" s="23"/>
      <c r="F616" s="23"/>
      <c r="G616" s="3" t="s">
        <v>1362</v>
      </c>
      <c r="H616" s="4"/>
      <c r="I616" s="4"/>
      <c r="J616" s="4"/>
      <c r="K616" s="5"/>
      <c r="L616" s="5" t="s">
        <v>1358</v>
      </c>
      <c r="M616" s="4"/>
      <c r="N616" s="4"/>
      <c r="O616" s="4"/>
      <c r="P616" s="4"/>
      <c r="Q616" s="24"/>
      <c r="R616" s="27" t="s">
        <v>187</v>
      </c>
      <c r="S616" s="4"/>
      <c r="T616" s="1">
        <v>0.51946514594594584</v>
      </c>
      <c r="U616" s="1">
        <v>0.43208962162162157</v>
      </c>
      <c r="V616" s="1">
        <v>0.52440502162162161</v>
      </c>
      <c r="W616" s="1">
        <v>0.48344347027027029</v>
      </c>
      <c r="X616" s="1">
        <v>0.57212995675675682</v>
      </c>
      <c r="Y616" s="1">
        <f t="shared" si="30"/>
        <v>0.50630664324324326</v>
      </c>
      <c r="Z616" s="10"/>
      <c r="AA616" s="10"/>
      <c r="AB616" s="10"/>
      <c r="AC616" s="10"/>
      <c r="AD616" s="10"/>
      <c r="AE616" s="10"/>
      <c r="AF616" s="10"/>
      <c r="AG616" s="38">
        <f t="shared" si="31"/>
        <v>0</v>
      </c>
      <c r="AH616" s="51" t="str">
        <f t="shared" si="32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t="14.4" hidden="1" x14ac:dyDescent="0.35">
      <c r="A617" s="22" t="s">
        <v>876</v>
      </c>
      <c r="B617" s="2"/>
      <c r="C617" s="21">
        <v>8</v>
      </c>
      <c r="D617" s="23"/>
      <c r="E617" s="23"/>
      <c r="F617" s="23"/>
      <c r="G617" s="3" t="s">
        <v>1362</v>
      </c>
      <c r="H617" s="6"/>
      <c r="I617" s="6"/>
      <c r="J617" s="6"/>
      <c r="K617" s="21"/>
      <c r="L617" s="21" t="s">
        <v>1358</v>
      </c>
      <c r="M617" s="4"/>
      <c r="N617" s="6"/>
      <c r="O617" s="6"/>
      <c r="P617" s="6"/>
      <c r="Q617" s="27"/>
      <c r="R617" s="27" t="s">
        <v>187</v>
      </c>
      <c r="S617" s="6"/>
      <c r="T617" s="1">
        <v>0.2562130489795918</v>
      </c>
      <c r="U617" s="1">
        <v>0.2811052367346939</v>
      </c>
      <c r="V617" s="1">
        <v>0.53541386122448975</v>
      </c>
      <c r="W617" s="1">
        <v>0.62149874693877549</v>
      </c>
      <c r="X617" s="1">
        <v>0.81472295918367343</v>
      </c>
      <c r="Y617" s="1">
        <f t="shared" si="30"/>
        <v>0.50179077061224497</v>
      </c>
      <c r="Z617" s="10"/>
      <c r="AA617" s="10"/>
      <c r="AB617" s="10"/>
      <c r="AC617" s="10"/>
      <c r="AD617" s="10"/>
      <c r="AE617" s="10"/>
      <c r="AF617" s="10"/>
      <c r="AG617" s="38">
        <f t="shared" si="31"/>
        <v>0</v>
      </c>
      <c r="AH617" s="51" t="str">
        <f t="shared" si="32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t="14.4" hidden="1" x14ac:dyDescent="0.35">
      <c r="A618" s="22" t="s">
        <v>1385</v>
      </c>
      <c r="B618" s="2"/>
      <c r="C618" s="21">
        <v>4.75</v>
      </c>
      <c r="D618" s="23"/>
      <c r="E618" s="23"/>
      <c r="F618" s="23"/>
      <c r="G618" s="3" t="s">
        <v>1362</v>
      </c>
      <c r="H618" s="6"/>
      <c r="I618" s="6"/>
      <c r="J618" s="6"/>
      <c r="K618" s="21"/>
      <c r="L618" s="21" t="s">
        <v>1358</v>
      </c>
      <c r="M618" s="6"/>
      <c r="N618" s="6"/>
      <c r="O618" s="6"/>
      <c r="P618" s="6"/>
      <c r="Q618" s="27"/>
      <c r="R618" s="27" t="s">
        <v>187</v>
      </c>
      <c r="S618" s="6"/>
      <c r="T618" s="1">
        <v>0.37855973689032885</v>
      </c>
      <c r="U618" s="1">
        <v>0.52787652996568024</v>
      </c>
      <c r="V618" s="1">
        <v>0.51436372932291263</v>
      </c>
      <c r="W618" s="1">
        <v>0.55360391022991684</v>
      </c>
      <c r="X618" s="1">
        <v>0.52380236152120441</v>
      </c>
      <c r="Y618" s="1">
        <f t="shared" si="30"/>
        <v>0.49964125358600864</v>
      </c>
      <c r="Z618" s="10"/>
      <c r="AA618" s="10"/>
      <c r="AB618" s="10"/>
      <c r="AC618" s="10"/>
      <c r="AD618" s="10"/>
      <c r="AE618" s="10"/>
      <c r="AF618" s="10"/>
      <c r="AG618" s="38">
        <f t="shared" si="31"/>
        <v>0</v>
      </c>
      <c r="AH618" s="51" t="str">
        <f t="shared" si="32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t="14.4" hidden="1" x14ac:dyDescent="0.35">
      <c r="A619" s="22" t="s">
        <v>1386</v>
      </c>
      <c r="B619" s="2"/>
      <c r="C619" s="21">
        <v>3.75</v>
      </c>
      <c r="D619" s="23"/>
      <c r="E619" s="23"/>
      <c r="F619" s="23"/>
      <c r="G619" s="3" t="s">
        <v>1387</v>
      </c>
      <c r="H619" s="6"/>
      <c r="I619" s="6"/>
      <c r="J619" s="6"/>
      <c r="K619" s="21"/>
      <c r="L619" s="21" t="s">
        <v>1366</v>
      </c>
      <c r="M619" s="6"/>
      <c r="N619" s="6"/>
      <c r="O619" s="6"/>
      <c r="P619" s="6"/>
      <c r="Q619" s="27"/>
      <c r="R619" s="27" t="s">
        <v>187</v>
      </c>
      <c r="S619" s="6"/>
      <c r="T619" s="1">
        <v>0.33639839999999999</v>
      </c>
      <c r="U619" s="1">
        <v>0.47656439999999994</v>
      </c>
      <c r="V619" s="1">
        <v>0.64476359999999999</v>
      </c>
      <c r="W619" s="1">
        <v>0.54664739999999989</v>
      </c>
      <c r="X619" s="1">
        <v>0.49058099999999993</v>
      </c>
      <c r="Y619" s="1">
        <f t="shared" si="30"/>
        <v>0.49899095999999987</v>
      </c>
      <c r="Z619" s="10"/>
      <c r="AA619" s="10"/>
      <c r="AB619" s="10"/>
      <c r="AC619" s="10"/>
      <c r="AD619" s="10"/>
      <c r="AE619" s="10"/>
      <c r="AF619" s="10"/>
      <c r="AG619" s="38">
        <f t="shared" si="31"/>
        <v>0</v>
      </c>
      <c r="AH619" s="51" t="str">
        <f t="shared" si="32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t="14.4" hidden="1" x14ac:dyDescent="0.35">
      <c r="A620" s="22" t="s">
        <v>858</v>
      </c>
      <c r="B620" s="2"/>
      <c r="C620" s="21">
        <v>8</v>
      </c>
      <c r="D620" s="23"/>
      <c r="E620" s="23"/>
      <c r="F620" s="23"/>
      <c r="G620" s="3" t="s">
        <v>1368</v>
      </c>
      <c r="H620" s="6"/>
      <c r="I620" s="6"/>
      <c r="J620" s="6"/>
      <c r="K620" s="21"/>
      <c r="L620" s="21" t="s">
        <v>1358</v>
      </c>
      <c r="M620" s="6"/>
      <c r="N620" s="6"/>
      <c r="O620" s="6"/>
      <c r="P620" s="6"/>
      <c r="Q620" s="27"/>
      <c r="R620" s="27" t="s">
        <v>187</v>
      </c>
      <c r="S620" s="6"/>
      <c r="T620" s="1">
        <v>0.19199930000000001</v>
      </c>
      <c r="U620" s="1">
        <v>0.43757980000000002</v>
      </c>
      <c r="V620" s="1">
        <v>0.34827780000000003</v>
      </c>
      <c r="W620" s="1">
        <v>0.62957910000000006</v>
      </c>
      <c r="X620" s="1">
        <v>0.80818309999999993</v>
      </c>
      <c r="Y620" s="1">
        <f t="shared" si="30"/>
        <v>0.48312382000000004</v>
      </c>
      <c r="Z620" s="10"/>
      <c r="AA620" s="10"/>
      <c r="AB620" s="10"/>
      <c r="AC620" s="10"/>
      <c r="AD620" s="10"/>
      <c r="AE620" s="10"/>
      <c r="AF620" s="10"/>
      <c r="AG620" s="38">
        <f t="shared" si="31"/>
        <v>0</v>
      </c>
      <c r="AH620" s="51" t="str">
        <f t="shared" si="32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t="14.4" hidden="1" x14ac:dyDescent="0.35">
      <c r="A621" s="22" t="s">
        <v>1388</v>
      </c>
      <c r="B621" s="2"/>
      <c r="C621" s="21">
        <v>2</v>
      </c>
      <c r="D621" s="23"/>
      <c r="E621" s="23"/>
      <c r="F621" s="23"/>
      <c r="G621" s="3" t="s">
        <v>1371</v>
      </c>
      <c r="H621" s="6"/>
      <c r="I621" s="6"/>
      <c r="J621" s="6"/>
      <c r="K621" s="21"/>
      <c r="L621" s="5" t="s">
        <v>1358</v>
      </c>
      <c r="M621" s="6"/>
      <c r="N621" s="6"/>
      <c r="O621" s="6"/>
      <c r="P621" s="6"/>
      <c r="Q621" s="27"/>
      <c r="R621" s="27" t="s">
        <v>187</v>
      </c>
      <c r="S621" s="6"/>
      <c r="T621" s="1">
        <v>0.48362949308755754</v>
      </c>
      <c r="U621" s="1">
        <v>0.37978557814900155</v>
      </c>
      <c r="V621" s="1">
        <v>0.44763351516897076</v>
      </c>
      <c r="W621" s="1">
        <v>0.3990822150537634</v>
      </c>
      <c r="X621" s="1">
        <v>0.55056335618279573</v>
      </c>
      <c r="Y621" s="1">
        <f t="shared" si="30"/>
        <v>0.45213883152841783</v>
      </c>
      <c r="Z621" s="10"/>
      <c r="AA621" s="10"/>
      <c r="AB621" s="10"/>
      <c r="AC621" s="10"/>
      <c r="AD621" s="10"/>
      <c r="AE621" s="10"/>
      <c r="AF621" s="10"/>
      <c r="AG621" s="38">
        <f t="shared" si="31"/>
        <v>0</v>
      </c>
      <c r="AH621" s="51" t="str">
        <f t="shared" si="32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t="14.4" hidden="1" x14ac:dyDescent="0.35">
      <c r="A622" s="22" t="s">
        <v>1389</v>
      </c>
      <c r="B622" s="2"/>
      <c r="C622" s="21">
        <v>3.75</v>
      </c>
      <c r="D622" s="23"/>
      <c r="E622" s="23"/>
      <c r="F622" s="23"/>
      <c r="G622" s="3" t="s">
        <v>1390</v>
      </c>
      <c r="H622" s="4"/>
      <c r="I622" s="6"/>
      <c r="J622" s="4"/>
      <c r="K622" s="5"/>
      <c r="L622" s="5" t="s">
        <v>1391</v>
      </c>
      <c r="M622" s="4"/>
      <c r="N622" s="4"/>
      <c r="O622" s="4"/>
      <c r="P622" s="4"/>
      <c r="Q622" s="24"/>
      <c r="R622" s="27" t="s">
        <v>187</v>
      </c>
      <c r="S622" s="6"/>
      <c r="T622" s="1">
        <v>0.244752</v>
      </c>
      <c r="U622" s="1">
        <v>0.34673200000000004</v>
      </c>
      <c r="V622" s="1">
        <v>0.46910800000000002</v>
      </c>
      <c r="W622" s="1">
        <v>0.39772200000000002</v>
      </c>
      <c r="X622" s="1">
        <v>0.35693000000000003</v>
      </c>
      <c r="Y622" s="1">
        <f t="shared" si="30"/>
        <v>0.3630488</v>
      </c>
      <c r="Z622" s="10"/>
      <c r="AA622" s="10"/>
      <c r="AB622" s="10"/>
      <c r="AC622" s="10"/>
      <c r="AD622" s="10"/>
      <c r="AE622" s="10"/>
      <c r="AF622" s="10"/>
      <c r="AG622" s="38">
        <f t="shared" si="31"/>
        <v>0</v>
      </c>
      <c r="AH622" s="51" t="str">
        <f t="shared" si="32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t="14.4" hidden="1" x14ac:dyDescent="0.35">
      <c r="A623" s="22" t="s">
        <v>406</v>
      </c>
      <c r="B623" s="2"/>
      <c r="C623" s="21">
        <v>0.65</v>
      </c>
      <c r="D623" s="23"/>
      <c r="E623" s="23"/>
      <c r="F623" s="23"/>
      <c r="G623" s="3"/>
      <c r="H623" s="6"/>
      <c r="I623" s="6"/>
      <c r="J623" s="6"/>
      <c r="K623" s="21"/>
      <c r="L623" s="21" t="s">
        <v>1366</v>
      </c>
      <c r="M623" s="4" t="s">
        <v>1378</v>
      </c>
      <c r="N623" s="6"/>
      <c r="O623" s="6"/>
      <c r="P623" s="6"/>
      <c r="Q623" s="27"/>
      <c r="R623" s="27" t="s">
        <v>187</v>
      </c>
      <c r="S623" s="6"/>
      <c r="T623" s="1">
        <v>0</v>
      </c>
      <c r="U623" s="1">
        <v>0.45242166666666667</v>
      </c>
      <c r="V623" s="1">
        <v>0.45242166666666667</v>
      </c>
      <c r="W623" s="1">
        <v>0.45242166666666672</v>
      </c>
      <c r="X623" s="1">
        <v>0.45242166666666667</v>
      </c>
      <c r="Y623" s="1">
        <f t="shared" si="30"/>
        <v>0.36193733333333333</v>
      </c>
      <c r="Z623" s="10"/>
      <c r="AA623" s="10"/>
      <c r="AB623" s="10"/>
      <c r="AC623" s="10"/>
      <c r="AD623" s="10"/>
      <c r="AE623" s="10"/>
      <c r="AF623" s="10"/>
      <c r="AG623" s="38">
        <f t="shared" si="31"/>
        <v>0</v>
      </c>
      <c r="AH623" s="51" t="str">
        <f t="shared" si="32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t="14.4" hidden="1" x14ac:dyDescent="0.35">
      <c r="A624" s="22" t="s">
        <v>1392</v>
      </c>
      <c r="B624" s="2"/>
      <c r="C624" s="21">
        <v>30</v>
      </c>
      <c r="D624" s="23"/>
      <c r="E624" s="23"/>
      <c r="F624" s="23"/>
      <c r="G624" s="3" t="s">
        <v>1350</v>
      </c>
      <c r="H624" s="6"/>
      <c r="I624" s="6"/>
      <c r="J624" s="6"/>
      <c r="K624" s="21"/>
      <c r="L624" s="21" t="s">
        <v>1366</v>
      </c>
      <c r="M624" s="6"/>
      <c r="N624" s="6"/>
      <c r="O624" s="6"/>
      <c r="P624" s="6"/>
      <c r="Q624" s="27"/>
      <c r="R624" s="27" t="s">
        <v>187</v>
      </c>
      <c r="S624" s="6"/>
      <c r="T624" s="1">
        <v>0</v>
      </c>
      <c r="U624" s="1">
        <v>0</v>
      </c>
      <c r="V624" s="1">
        <v>0</v>
      </c>
      <c r="W624" s="1">
        <v>0.820886</v>
      </c>
      <c r="X624" s="1">
        <v>0.820886</v>
      </c>
      <c r="Y624" s="1">
        <f t="shared" si="30"/>
        <v>0.32835439999999999</v>
      </c>
      <c r="Z624" s="10"/>
      <c r="AA624" s="10"/>
      <c r="AB624" s="10"/>
      <c r="AC624" s="10"/>
      <c r="AD624" s="10"/>
      <c r="AE624" s="10"/>
      <c r="AF624" s="10"/>
      <c r="AG624" s="38">
        <f t="shared" si="31"/>
        <v>0</v>
      </c>
      <c r="AH624" s="51" t="str">
        <f t="shared" si="32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t="14.4" hidden="1" x14ac:dyDescent="0.35">
      <c r="A625" s="22" t="s">
        <v>920</v>
      </c>
      <c r="B625" s="2"/>
      <c r="C625" s="21">
        <v>4</v>
      </c>
      <c r="D625" s="23"/>
      <c r="E625" s="23"/>
      <c r="F625" s="23"/>
      <c r="G625" s="3" t="s">
        <v>1393</v>
      </c>
      <c r="H625" s="4"/>
      <c r="I625" s="6"/>
      <c r="J625" s="4"/>
      <c r="K625" s="5"/>
      <c r="L625" s="5" t="s">
        <v>1366</v>
      </c>
      <c r="M625" s="4"/>
      <c r="N625" s="4"/>
      <c r="O625" s="4"/>
      <c r="P625" s="4"/>
      <c r="Q625" s="24"/>
      <c r="R625" s="27" t="s">
        <v>187</v>
      </c>
      <c r="S625" s="6"/>
      <c r="T625" s="1">
        <v>0.291072</v>
      </c>
      <c r="U625" s="1">
        <v>0.58214399999999999</v>
      </c>
      <c r="V625" s="1">
        <v>0.291072</v>
      </c>
      <c r="W625" s="1">
        <v>0.291072</v>
      </c>
      <c r="X625" s="1">
        <v>0</v>
      </c>
      <c r="Y625" s="1">
        <f t="shared" si="30"/>
        <v>0.291072</v>
      </c>
      <c r="Z625" s="10"/>
      <c r="AA625" s="10"/>
      <c r="AB625" s="10"/>
      <c r="AC625" s="10"/>
      <c r="AD625" s="10"/>
      <c r="AE625" s="10"/>
      <c r="AF625" s="10"/>
      <c r="AG625" s="38">
        <f t="shared" si="31"/>
        <v>0</v>
      </c>
      <c r="AH625" s="51" t="str">
        <f t="shared" si="32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t="14.4" hidden="1" x14ac:dyDescent="0.35">
      <c r="A626" s="22" t="s">
        <v>1394</v>
      </c>
      <c r="B626" s="2"/>
      <c r="C626" s="21">
        <v>2</v>
      </c>
      <c r="D626" s="23"/>
      <c r="E626" s="23"/>
      <c r="F626" s="23"/>
      <c r="G626" s="3" t="s">
        <v>1362</v>
      </c>
      <c r="H626" s="6"/>
      <c r="I626" s="6"/>
      <c r="J626" s="6"/>
      <c r="K626" s="21"/>
      <c r="L626" s="21" t="s">
        <v>1366</v>
      </c>
      <c r="M626" s="6"/>
      <c r="N626" s="6"/>
      <c r="O626" s="6"/>
      <c r="P626" s="6"/>
      <c r="Q626" s="27"/>
      <c r="R626" s="27" t="s">
        <v>187</v>
      </c>
      <c r="S626" s="6"/>
      <c r="T626" s="1">
        <v>0.26891560000000003</v>
      </c>
      <c r="U626" s="1">
        <v>0.19870580000000002</v>
      </c>
      <c r="V626" s="1">
        <v>0.26169179999999997</v>
      </c>
      <c r="W626" s="1">
        <v>0.2304736</v>
      </c>
      <c r="X626" s="1">
        <v>0.35991480000000009</v>
      </c>
      <c r="Y626" s="1">
        <f t="shared" si="30"/>
        <v>0.26394032000000001</v>
      </c>
      <c r="Z626" s="10"/>
      <c r="AA626" s="10"/>
      <c r="AB626" s="10"/>
      <c r="AC626" s="10"/>
      <c r="AD626" s="10"/>
      <c r="AE626" s="10"/>
      <c r="AF626" s="10"/>
      <c r="AG626" s="38">
        <f t="shared" si="31"/>
        <v>0</v>
      </c>
      <c r="AH626" s="51" t="str">
        <f t="shared" si="32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t="14.4" hidden="1" x14ac:dyDescent="0.35">
      <c r="A627" s="22" t="s">
        <v>891</v>
      </c>
      <c r="B627" s="2"/>
      <c r="C627" s="21">
        <v>1.5</v>
      </c>
      <c r="D627" s="23"/>
      <c r="E627" s="23"/>
      <c r="F627" s="23"/>
      <c r="G627" s="3" t="s">
        <v>1395</v>
      </c>
      <c r="H627" s="6"/>
      <c r="I627" s="6"/>
      <c r="J627" s="6"/>
      <c r="K627" s="21"/>
      <c r="L627" s="5" t="s">
        <v>1358</v>
      </c>
      <c r="M627" s="6"/>
      <c r="N627" s="6"/>
      <c r="O627" s="6"/>
      <c r="P627" s="6"/>
      <c r="Q627" s="27"/>
      <c r="R627" s="27" t="s">
        <v>187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 t="shared" si="30"/>
        <v>0.26383319999999999</v>
      </c>
      <c r="Z627" s="10"/>
      <c r="AA627" s="10"/>
      <c r="AB627" s="10"/>
      <c r="AC627" s="10"/>
      <c r="AD627" s="10"/>
      <c r="AE627" s="10"/>
      <c r="AF627" s="10"/>
      <c r="AG627" s="38">
        <f t="shared" si="31"/>
        <v>0</v>
      </c>
      <c r="AH627" s="51" t="str">
        <f t="shared" si="32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t="14.4" hidden="1" x14ac:dyDescent="0.35">
      <c r="A628" s="22" t="s">
        <v>1396</v>
      </c>
      <c r="B628" s="2"/>
      <c r="C628" s="21">
        <v>0.65</v>
      </c>
      <c r="D628" s="23"/>
      <c r="E628" s="23"/>
      <c r="F628" s="23"/>
      <c r="G628" s="3"/>
      <c r="H628" s="4"/>
      <c r="I628" s="6"/>
      <c r="J628" s="4"/>
      <c r="K628" s="5"/>
      <c r="L628" s="5" t="s">
        <v>1366</v>
      </c>
      <c r="M628" s="4" t="s">
        <v>1378</v>
      </c>
      <c r="N628" s="4"/>
      <c r="O628" s="4"/>
      <c r="P628" s="4"/>
      <c r="Q628" s="24"/>
      <c r="R628" s="27" t="s">
        <v>187</v>
      </c>
      <c r="S628" s="6"/>
      <c r="T628" s="1">
        <v>0</v>
      </c>
      <c r="U628" s="1">
        <v>0.32530000000000003</v>
      </c>
      <c r="V628" s="1">
        <v>0.32530000000000003</v>
      </c>
      <c r="W628" s="1">
        <v>0.32530000000000003</v>
      </c>
      <c r="X628" s="1">
        <v>0.32530000000000003</v>
      </c>
      <c r="Y628" s="1">
        <f t="shared" si="30"/>
        <v>0.26024000000000003</v>
      </c>
      <c r="Z628" s="10"/>
      <c r="AA628" s="10"/>
      <c r="AB628" s="10"/>
      <c r="AC628" s="10"/>
      <c r="AD628" s="10"/>
      <c r="AE628" s="10"/>
      <c r="AF628" s="10"/>
      <c r="AG628" s="38">
        <f t="shared" si="31"/>
        <v>0</v>
      </c>
      <c r="AH628" s="51" t="str">
        <f t="shared" si="32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t="14.4" hidden="1" x14ac:dyDescent="0.35">
      <c r="A629" s="22" t="s">
        <v>1397</v>
      </c>
      <c r="B629" s="2"/>
      <c r="C629" s="21">
        <v>4</v>
      </c>
      <c r="D629" s="23"/>
      <c r="E629" s="23"/>
      <c r="F629" s="23"/>
      <c r="G629" s="3" t="s">
        <v>1398</v>
      </c>
      <c r="H629" s="6"/>
      <c r="I629" s="6"/>
      <c r="J629" s="6"/>
      <c r="K629" s="21"/>
      <c r="L629" s="21" t="s">
        <v>1366</v>
      </c>
      <c r="M629" s="6"/>
      <c r="N629" s="6"/>
      <c r="O629" s="6"/>
      <c r="P629" s="6"/>
      <c r="Q629" s="27"/>
      <c r="R629" s="27" t="s">
        <v>187</v>
      </c>
      <c r="S629" s="6"/>
      <c r="T629" s="1">
        <v>0.22609000000000001</v>
      </c>
      <c r="U629" s="1">
        <v>0.19168499999999999</v>
      </c>
      <c r="V629" s="1">
        <v>0.21036199999999999</v>
      </c>
      <c r="W629" s="1">
        <v>0.34503300000000003</v>
      </c>
      <c r="X629" s="1">
        <v>0.25459700000000002</v>
      </c>
      <c r="Y629" s="1">
        <f t="shared" si="30"/>
        <v>0.2455534</v>
      </c>
      <c r="Z629" s="10"/>
      <c r="AA629" s="10"/>
      <c r="AB629" s="10"/>
      <c r="AC629" s="10"/>
      <c r="AD629" s="10"/>
      <c r="AE629" s="10"/>
      <c r="AF629" s="10"/>
      <c r="AG629" s="38">
        <f t="shared" si="31"/>
        <v>0</v>
      </c>
      <c r="AH629" s="51" t="str">
        <f t="shared" si="32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t="14.4" hidden="1" x14ac:dyDescent="0.35">
      <c r="A630" s="22" t="s">
        <v>1399</v>
      </c>
      <c r="B630" s="2"/>
      <c r="C630" s="21">
        <v>9.5</v>
      </c>
      <c r="D630" s="23"/>
      <c r="E630" s="23"/>
      <c r="F630" s="23"/>
      <c r="G630" s="3" t="s">
        <v>1362</v>
      </c>
      <c r="H630" s="6"/>
      <c r="I630" s="6"/>
      <c r="J630" s="6"/>
      <c r="K630" s="21"/>
      <c r="L630" s="21" t="s">
        <v>1363</v>
      </c>
      <c r="M630" s="6"/>
      <c r="N630" s="6"/>
      <c r="O630" s="6"/>
      <c r="P630" s="6"/>
      <c r="Q630" s="27"/>
      <c r="R630" s="27" t="s">
        <v>187</v>
      </c>
      <c r="S630" s="6"/>
      <c r="T630" s="1">
        <v>0.15955200000000003</v>
      </c>
      <c r="U630" s="1">
        <v>0.22245522580645161</v>
      </c>
      <c r="V630" s="1">
        <v>0.190987935483871</v>
      </c>
      <c r="W630" s="1">
        <v>0.3154378064516129</v>
      </c>
      <c r="X630" s="1">
        <v>0.24294987096774195</v>
      </c>
      <c r="Y630" s="1">
        <f t="shared" si="30"/>
        <v>0.22627656774193547</v>
      </c>
      <c r="Z630" s="10"/>
      <c r="AA630" s="10"/>
      <c r="AB630" s="10"/>
      <c r="AC630" s="10"/>
      <c r="AD630" s="10"/>
      <c r="AE630" s="10"/>
      <c r="AF630" s="10"/>
      <c r="AG630" s="38">
        <f t="shared" si="31"/>
        <v>0</v>
      </c>
      <c r="AH630" s="51" t="str">
        <f t="shared" si="32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t="14.4" hidden="1" x14ac:dyDescent="0.35">
      <c r="A631" s="22" t="s">
        <v>1400</v>
      </c>
      <c r="B631" s="2"/>
      <c r="C631" s="21">
        <v>45</v>
      </c>
      <c r="D631" s="23"/>
      <c r="E631" s="23"/>
      <c r="F631" s="23"/>
      <c r="G631" s="3" t="s">
        <v>1350</v>
      </c>
      <c r="H631" s="6"/>
      <c r="I631" s="6"/>
      <c r="J631" s="6"/>
      <c r="K631" s="21"/>
      <c r="L631" s="5" t="s">
        <v>1366</v>
      </c>
      <c r="M631" s="6"/>
      <c r="N631" s="6"/>
      <c r="O631" s="6"/>
      <c r="P631" s="6"/>
      <c r="Q631" s="27"/>
      <c r="R631" s="27" t="s">
        <v>187</v>
      </c>
      <c r="S631" s="6"/>
      <c r="T631" s="1">
        <v>0</v>
      </c>
      <c r="U631" s="1">
        <v>0</v>
      </c>
      <c r="V631" s="1">
        <v>0</v>
      </c>
      <c r="W631" s="1">
        <v>0.58875</v>
      </c>
      <c r="X631" s="1">
        <v>0.47099999999999997</v>
      </c>
      <c r="Y631" s="1">
        <f t="shared" si="30"/>
        <v>0.21195</v>
      </c>
      <c r="Z631" s="10"/>
      <c r="AA631" s="10"/>
      <c r="AB631" s="10"/>
      <c r="AC631" s="10"/>
      <c r="AD631" s="10"/>
      <c r="AE631" s="10"/>
      <c r="AF631" s="10"/>
      <c r="AG631" s="38">
        <f t="shared" si="31"/>
        <v>0</v>
      </c>
      <c r="AH631" s="51" t="str">
        <f t="shared" si="32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t="14.4" hidden="1" x14ac:dyDescent="0.35">
      <c r="A632" s="22" t="s">
        <v>1401</v>
      </c>
      <c r="B632" s="2"/>
      <c r="C632" s="21">
        <v>4.75</v>
      </c>
      <c r="D632" s="23"/>
      <c r="E632" s="23"/>
      <c r="F632" s="23"/>
      <c r="G632" s="3" t="s">
        <v>1362</v>
      </c>
      <c r="H632" s="6"/>
      <c r="I632" s="6"/>
      <c r="J632" s="6"/>
      <c r="K632" s="21"/>
      <c r="L632" s="21" t="s">
        <v>1358</v>
      </c>
      <c r="M632" s="6"/>
      <c r="N632" s="6"/>
      <c r="O632" s="6"/>
      <c r="P632" s="6"/>
      <c r="Q632" s="27"/>
      <c r="R632" s="27" t="s">
        <v>187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 t="shared" si="30"/>
        <v>0.19460040000000001</v>
      </c>
      <c r="Z632" s="10"/>
      <c r="AA632" s="10"/>
      <c r="AB632" s="10"/>
      <c r="AC632" s="10"/>
      <c r="AD632" s="10"/>
      <c r="AE632" s="10"/>
      <c r="AF632" s="10"/>
      <c r="AG632" s="38">
        <f t="shared" si="31"/>
        <v>0</v>
      </c>
      <c r="AH632" s="51" t="str">
        <f t="shared" si="32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t="14.4" hidden="1" x14ac:dyDescent="0.35">
      <c r="A633" s="22" t="s">
        <v>1402</v>
      </c>
      <c r="B633" s="2"/>
      <c r="C633" s="21">
        <v>3</v>
      </c>
      <c r="D633" s="23"/>
      <c r="E633" s="23"/>
      <c r="F633" s="23"/>
      <c r="G633" s="3" t="s">
        <v>1357</v>
      </c>
      <c r="H633" s="6"/>
      <c r="I633" s="6"/>
      <c r="J633" s="6"/>
      <c r="K633" s="21"/>
      <c r="L633" s="21" t="s">
        <v>1358</v>
      </c>
      <c r="M633" s="6"/>
      <c r="N633" s="6"/>
      <c r="O633" s="6"/>
      <c r="P633" s="6"/>
      <c r="Q633" s="27"/>
      <c r="R633" s="27" t="s">
        <v>187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 t="shared" si="30"/>
        <v>0.16208255895160467</v>
      </c>
      <c r="Z633" s="10"/>
      <c r="AA633" s="10"/>
      <c r="AB633" s="10"/>
      <c r="AC633" s="10"/>
      <c r="AD633" s="10"/>
      <c r="AE633" s="10"/>
      <c r="AF633" s="10"/>
      <c r="AG633" s="38">
        <f t="shared" si="31"/>
        <v>0</v>
      </c>
      <c r="AH633" s="51" t="str">
        <f t="shared" si="32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t="14.4" hidden="1" x14ac:dyDescent="0.35">
      <c r="A634" s="22" t="s">
        <v>1403</v>
      </c>
      <c r="B634" s="2"/>
      <c r="C634" s="21">
        <v>9.75</v>
      </c>
      <c r="D634" s="23"/>
      <c r="E634" s="23"/>
      <c r="F634" s="23"/>
      <c r="G634" s="3" t="s">
        <v>1404</v>
      </c>
      <c r="H634" s="6"/>
      <c r="I634" s="6"/>
      <c r="J634" s="6"/>
      <c r="K634" s="21"/>
      <c r="L634" s="21" t="s">
        <v>1358</v>
      </c>
      <c r="M634" s="6"/>
      <c r="N634" s="6"/>
      <c r="O634" s="6"/>
      <c r="P634" s="6"/>
      <c r="Q634" s="27"/>
      <c r="R634" s="27" t="s">
        <v>187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 t="shared" si="30"/>
        <v>0.15374564355995413</v>
      </c>
      <c r="Z634" s="10"/>
      <c r="AA634" s="10"/>
      <c r="AB634" s="10"/>
      <c r="AC634" s="10"/>
      <c r="AD634" s="10"/>
      <c r="AE634" s="10"/>
      <c r="AF634" s="10"/>
      <c r="AG634" s="38">
        <f t="shared" si="31"/>
        <v>0</v>
      </c>
      <c r="AH634" s="51" t="str">
        <f t="shared" si="32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t="14.4" hidden="1" x14ac:dyDescent="0.35">
      <c r="A635" s="22" t="s">
        <v>1405</v>
      </c>
      <c r="B635" s="2"/>
      <c r="C635" s="21">
        <v>12.25</v>
      </c>
      <c r="D635" s="23"/>
      <c r="E635" s="23"/>
      <c r="F635" s="23"/>
      <c r="G635" s="3" t="s">
        <v>1381</v>
      </c>
      <c r="H635" s="6"/>
      <c r="I635" s="6"/>
      <c r="J635" s="6"/>
      <c r="K635" s="21"/>
      <c r="L635" s="21" t="s">
        <v>1358</v>
      </c>
      <c r="M635" s="6"/>
      <c r="N635" s="6"/>
      <c r="O635" s="6"/>
      <c r="P635" s="6"/>
      <c r="Q635" s="27"/>
      <c r="R635" s="27" t="s">
        <v>187</v>
      </c>
      <c r="S635" s="6"/>
      <c r="T635" s="1">
        <v>0.10337468750000001</v>
      </c>
      <c r="U635" s="1">
        <v>4.8081250000000006E-2</v>
      </c>
      <c r="V635" s="1">
        <v>4.8081250000000006E-2</v>
      </c>
      <c r="W635" s="1">
        <v>0.19232500000000002</v>
      </c>
      <c r="X635" s="1">
        <v>0.14424375</v>
      </c>
      <c r="Y635" s="1">
        <f t="shared" si="30"/>
        <v>0.10722118750000002</v>
      </c>
      <c r="Z635" s="10"/>
      <c r="AA635" s="10"/>
      <c r="AB635" s="10"/>
      <c r="AC635" s="10"/>
      <c r="AD635" s="10"/>
      <c r="AE635" s="10"/>
      <c r="AF635" s="10"/>
      <c r="AG635" s="38">
        <f t="shared" si="31"/>
        <v>0</v>
      </c>
      <c r="AH635" s="51" t="str">
        <f t="shared" si="32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t="14.4" hidden="1" x14ac:dyDescent="0.35">
      <c r="A636" s="22" t="s">
        <v>1406</v>
      </c>
      <c r="B636" s="2"/>
      <c r="C636" s="21">
        <v>1.9</v>
      </c>
      <c r="D636" s="23"/>
      <c r="E636" s="23"/>
      <c r="F636" s="23"/>
      <c r="G636" s="3" t="s">
        <v>1371</v>
      </c>
      <c r="H636" s="4"/>
      <c r="I636" s="6"/>
      <c r="J636" s="4"/>
      <c r="K636" s="5"/>
      <c r="L636" s="5" t="s">
        <v>1366</v>
      </c>
      <c r="M636" s="4"/>
      <c r="N636" s="4"/>
      <c r="O636" s="4"/>
      <c r="P636" s="4"/>
      <c r="Q636" s="24"/>
      <c r="R636" s="27" t="s">
        <v>187</v>
      </c>
      <c r="S636" s="6"/>
      <c r="T636" s="1">
        <v>0.13895000000000002</v>
      </c>
      <c r="U636" s="1">
        <v>0.13895000000000002</v>
      </c>
      <c r="V636" s="1">
        <v>0.11910000000000001</v>
      </c>
      <c r="W636" s="1">
        <v>0.11910000000000001</v>
      </c>
      <c r="X636" s="1">
        <v>0</v>
      </c>
      <c r="Y636" s="1">
        <f t="shared" si="30"/>
        <v>0.10322000000000001</v>
      </c>
      <c r="Z636" s="10"/>
      <c r="AA636" s="10"/>
      <c r="AB636" s="10"/>
      <c r="AC636" s="10"/>
      <c r="AD636" s="10"/>
      <c r="AE636" s="10"/>
      <c r="AF636" s="10"/>
      <c r="AG636" s="38">
        <f t="shared" si="31"/>
        <v>0</v>
      </c>
      <c r="AH636" s="51" t="str">
        <f t="shared" si="32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t="14.4" hidden="1" x14ac:dyDescent="0.35">
      <c r="A637" s="22" t="s">
        <v>1407</v>
      </c>
      <c r="B637" s="2"/>
      <c r="C637" s="21">
        <v>2</v>
      </c>
      <c r="D637" s="23"/>
      <c r="E637" s="23"/>
      <c r="F637" s="23"/>
      <c r="G637" s="3" t="s">
        <v>1362</v>
      </c>
      <c r="H637" s="6"/>
      <c r="I637" s="6"/>
      <c r="J637" s="6"/>
      <c r="K637" s="21"/>
      <c r="L637" s="21" t="s">
        <v>1366</v>
      </c>
      <c r="M637" s="6"/>
      <c r="N637" s="6"/>
      <c r="O637" s="6"/>
      <c r="P637" s="6"/>
      <c r="Q637" s="27"/>
      <c r="R637" s="27" t="s">
        <v>187</v>
      </c>
      <c r="S637" s="6"/>
      <c r="T637" s="1">
        <v>0</v>
      </c>
      <c r="U637" s="1">
        <v>0.4801583333333333</v>
      </c>
      <c r="V637" s="1">
        <v>0</v>
      </c>
      <c r="W637" s="1">
        <v>0</v>
      </c>
      <c r="X637" s="1">
        <v>0</v>
      </c>
      <c r="Y637" s="1">
        <f t="shared" si="30"/>
        <v>9.6031666666666654E-2</v>
      </c>
      <c r="Z637" s="10"/>
      <c r="AA637" s="10"/>
      <c r="AB637" s="10"/>
      <c r="AC637" s="10"/>
      <c r="AD637" s="10"/>
      <c r="AE637" s="10"/>
      <c r="AF637" s="10"/>
      <c r="AG637" s="38">
        <f t="shared" si="31"/>
        <v>0</v>
      </c>
      <c r="AH637" s="51" t="str">
        <f t="shared" si="32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t="14.4" hidden="1" x14ac:dyDescent="0.35">
      <c r="A638" s="22" t="s">
        <v>897</v>
      </c>
      <c r="B638" s="2"/>
      <c r="C638" s="21">
        <v>6</v>
      </c>
      <c r="D638" s="23"/>
      <c r="E638" s="23"/>
      <c r="F638" s="23"/>
      <c r="G638" s="3" t="s">
        <v>1393</v>
      </c>
      <c r="H638" s="4"/>
      <c r="I638" s="6"/>
      <c r="J638" s="4"/>
      <c r="K638" s="5"/>
      <c r="L638" s="5" t="s">
        <v>1366</v>
      </c>
      <c r="M638" s="4"/>
      <c r="N638" s="4"/>
      <c r="O638" s="4"/>
      <c r="P638" s="4"/>
      <c r="Q638" s="24"/>
      <c r="R638" s="27" t="s">
        <v>187</v>
      </c>
      <c r="S638" s="6"/>
      <c r="T638" s="1">
        <v>0.14011199999999999</v>
      </c>
      <c r="U638" s="1">
        <v>7.0055999999999993E-2</v>
      </c>
      <c r="V638" s="1">
        <v>9.3408000000000005E-2</v>
      </c>
      <c r="W638" s="1">
        <v>9.3408000000000005E-2</v>
      </c>
      <c r="X638" s="1">
        <v>0</v>
      </c>
      <c r="Y638" s="1">
        <f t="shared" si="30"/>
        <v>7.939679999999999E-2</v>
      </c>
      <c r="Z638" s="10"/>
      <c r="AA638" s="10"/>
      <c r="AB638" s="10"/>
      <c r="AC638" s="10"/>
      <c r="AD638" s="10"/>
      <c r="AE638" s="10"/>
      <c r="AF638" s="10"/>
      <c r="AG638" s="38">
        <f t="shared" si="31"/>
        <v>0</v>
      </c>
      <c r="AH638" s="51" t="str">
        <f t="shared" si="32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t="14.4" hidden="1" x14ac:dyDescent="0.35">
      <c r="A639" s="22" t="s">
        <v>966</v>
      </c>
      <c r="B639" s="2"/>
      <c r="C639" s="21">
        <v>3</v>
      </c>
      <c r="D639" s="23"/>
      <c r="E639" s="23"/>
      <c r="F639" s="23"/>
      <c r="G639" s="3" t="s">
        <v>1362</v>
      </c>
      <c r="H639" s="6"/>
      <c r="I639" s="6"/>
      <c r="J639" s="6"/>
      <c r="K639" s="21"/>
      <c r="L639" s="21" t="s">
        <v>1366</v>
      </c>
      <c r="M639" s="6"/>
      <c r="N639" s="6"/>
      <c r="O639" s="6"/>
      <c r="P639" s="6"/>
      <c r="Q639" s="27"/>
      <c r="R639" s="27" t="s">
        <v>187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 t="shared" si="30"/>
        <v>7.9110800000000009E-2</v>
      </c>
      <c r="Z639" s="10"/>
      <c r="AA639" s="10"/>
      <c r="AB639" s="10"/>
      <c r="AC639" s="10"/>
      <c r="AD639" s="10"/>
      <c r="AE639" s="10"/>
      <c r="AF639" s="10"/>
      <c r="AG639" s="38">
        <f t="shared" si="31"/>
        <v>0</v>
      </c>
      <c r="AH639" s="51" t="str">
        <f t="shared" si="32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t="14.4" hidden="1" x14ac:dyDescent="0.35">
      <c r="A640" s="22" t="s">
        <v>1408</v>
      </c>
      <c r="B640" s="2"/>
      <c r="C640" s="21">
        <v>5</v>
      </c>
      <c r="D640" s="23"/>
      <c r="E640" s="23"/>
      <c r="F640" s="23"/>
      <c r="G640" s="3" t="s">
        <v>1409</v>
      </c>
      <c r="H640" s="4"/>
      <c r="I640" s="6"/>
      <c r="J640" s="4"/>
      <c r="K640" s="5"/>
      <c r="L640" s="5" t="s">
        <v>1366</v>
      </c>
      <c r="M640" s="4"/>
      <c r="N640" s="4"/>
      <c r="O640" s="4"/>
      <c r="P640" s="4"/>
      <c r="Q640" s="24"/>
      <c r="R640" s="27" t="s">
        <v>187</v>
      </c>
      <c r="S640" s="6"/>
      <c r="T640" s="1">
        <v>0</v>
      </c>
      <c r="U640" s="1">
        <v>0.185364</v>
      </c>
      <c r="V640" s="1">
        <v>0</v>
      </c>
      <c r="W640" s="1">
        <v>0</v>
      </c>
      <c r="X640" s="1">
        <v>0.185364</v>
      </c>
      <c r="Y640" s="1">
        <f t="shared" si="30"/>
        <v>7.4145600000000006E-2</v>
      </c>
      <c r="Z640" s="10"/>
      <c r="AA640" s="10"/>
      <c r="AB640" s="10"/>
      <c r="AC640" s="10"/>
      <c r="AD640" s="10"/>
      <c r="AE640" s="10"/>
      <c r="AF640" s="10"/>
      <c r="AG640" s="38">
        <f t="shared" si="31"/>
        <v>0</v>
      </c>
      <c r="AH640" s="51" t="str">
        <f t="shared" si="32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t="14.4" hidden="1" x14ac:dyDescent="0.35">
      <c r="A641" s="22" t="s">
        <v>1410</v>
      </c>
      <c r="B641" s="2"/>
      <c r="C641" s="21">
        <v>12.5</v>
      </c>
      <c r="D641" s="23"/>
      <c r="E641" s="23"/>
      <c r="F641" s="23"/>
      <c r="G641" s="3" t="s">
        <v>1362</v>
      </c>
      <c r="H641" s="6"/>
      <c r="I641" s="6"/>
      <c r="J641" s="6"/>
      <c r="K641" s="21"/>
      <c r="L641" s="21" t="s">
        <v>1363</v>
      </c>
      <c r="M641" s="6"/>
      <c r="N641" s="6"/>
      <c r="O641" s="6"/>
      <c r="P641" s="6"/>
      <c r="Q641" s="27"/>
      <c r="R641" s="27" t="s">
        <v>187</v>
      </c>
      <c r="S641" s="6"/>
      <c r="T641" s="1">
        <v>0</v>
      </c>
      <c r="U641" s="1">
        <v>0</v>
      </c>
      <c r="V641" s="1">
        <v>0.12874080000000002</v>
      </c>
      <c r="W641" s="1">
        <v>0.12874080000000002</v>
      </c>
      <c r="X641" s="1">
        <v>6.4370400000000008E-2</v>
      </c>
      <c r="Y641" s="1">
        <f t="shared" si="30"/>
        <v>6.4370400000000008E-2</v>
      </c>
      <c r="Z641" s="10"/>
      <c r="AA641" s="10"/>
      <c r="AB641" s="10"/>
      <c r="AC641" s="10"/>
      <c r="AD641" s="10"/>
      <c r="AE641" s="10"/>
      <c r="AF641" s="10"/>
      <c r="AG641" s="38">
        <f t="shared" si="31"/>
        <v>0</v>
      </c>
      <c r="AH641" s="51" t="str">
        <f t="shared" si="32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t="14.4" hidden="1" x14ac:dyDescent="0.35">
      <c r="A642" s="22" t="s">
        <v>873</v>
      </c>
      <c r="B642" s="2"/>
      <c r="C642" s="21">
        <v>4</v>
      </c>
      <c r="D642" s="23"/>
      <c r="E642" s="23"/>
      <c r="F642" s="23"/>
      <c r="G642" s="3" t="s">
        <v>1357</v>
      </c>
      <c r="H642" s="4"/>
      <c r="I642" s="4"/>
      <c r="J642" s="4"/>
      <c r="K642" s="5"/>
      <c r="L642" s="5" t="s">
        <v>1366</v>
      </c>
      <c r="M642" s="4"/>
      <c r="N642" s="4"/>
      <c r="O642" s="4"/>
      <c r="P642" s="4"/>
      <c r="Q642" s="24"/>
      <c r="R642" s="27" t="s">
        <v>187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 t="shared" si="30"/>
        <v>5.7455759999999988E-2</v>
      </c>
      <c r="Z642" s="10"/>
      <c r="AA642" s="10"/>
      <c r="AB642" s="10"/>
      <c r="AC642" s="10"/>
      <c r="AD642" s="10"/>
      <c r="AE642" s="10"/>
      <c r="AF642" s="10"/>
      <c r="AG642" s="38">
        <f t="shared" si="31"/>
        <v>0</v>
      </c>
      <c r="AH642" s="51" t="str">
        <f t="shared" si="32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t="14.4" hidden="1" x14ac:dyDescent="0.35">
      <c r="A643" s="22" t="s">
        <v>1411</v>
      </c>
      <c r="B643" s="2"/>
      <c r="C643" s="21">
        <v>4</v>
      </c>
      <c r="D643" s="23"/>
      <c r="E643" s="23"/>
      <c r="F643" s="23"/>
      <c r="G643" s="3" t="s">
        <v>1362</v>
      </c>
      <c r="H643" s="6"/>
      <c r="I643" s="6"/>
      <c r="J643" s="6"/>
      <c r="K643" s="21"/>
      <c r="L643" s="21" t="s">
        <v>1358</v>
      </c>
      <c r="M643" s="6"/>
      <c r="N643" s="6"/>
      <c r="O643" s="6"/>
      <c r="P643" s="6"/>
      <c r="Q643" s="27"/>
      <c r="R643" s="27" t="s">
        <v>187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 t="shared" ref="Y643:Y706" si="33">AVERAGE(T643:X643)</f>
        <v>4.7928960000000007E-2</v>
      </c>
      <c r="Z643" s="10"/>
      <c r="AA643" s="10"/>
      <c r="AB643" s="10"/>
      <c r="AC643" s="10"/>
      <c r="AD643" s="10"/>
      <c r="AE643" s="10"/>
      <c r="AF643" s="10"/>
      <c r="AG643" s="38">
        <f t="shared" ref="AG643:AG706" si="34">COUNTIF(Z643:AF643,"X")/7</f>
        <v>0</v>
      </c>
      <c r="AH643" s="51" t="str">
        <f t="shared" ref="AH643:AH706" si="35">IF(AG643=100%,Y643," ")</f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t="14.4" hidden="1" x14ac:dyDescent="0.35">
      <c r="A644" s="22" t="s">
        <v>945</v>
      </c>
      <c r="B644" s="2"/>
      <c r="C644" s="21">
        <v>4.75</v>
      </c>
      <c r="D644" s="23"/>
      <c r="E644" s="23"/>
      <c r="F644" s="23"/>
      <c r="G644" s="3" t="s">
        <v>1393</v>
      </c>
      <c r="H644" s="4"/>
      <c r="I644" s="6"/>
      <c r="J644" s="4"/>
      <c r="K644" s="5"/>
      <c r="L644" s="5" t="s">
        <v>1366</v>
      </c>
      <c r="M644" s="4"/>
      <c r="N644" s="4"/>
      <c r="O644" s="4"/>
      <c r="P644" s="4"/>
      <c r="Q644" s="24"/>
      <c r="R644" s="27" t="s">
        <v>187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 t="shared" si="33"/>
        <v>3.9432000000000002E-2</v>
      </c>
      <c r="Z644" s="10"/>
      <c r="AA644" s="10"/>
      <c r="AB644" s="10"/>
      <c r="AC644" s="10"/>
      <c r="AD644" s="10"/>
      <c r="AE644" s="10"/>
      <c r="AF644" s="10"/>
      <c r="AG644" s="38">
        <f t="shared" si="34"/>
        <v>0</v>
      </c>
      <c r="AH644" s="51" t="str">
        <f t="shared" si="35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t="14.4" hidden="1" x14ac:dyDescent="0.35">
      <c r="A645" s="22" t="s">
        <v>1412</v>
      </c>
      <c r="B645" s="2"/>
      <c r="C645" s="21">
        <v>3</v>
      </c>
      <c r="D645" s="23"/>
      <c r="E645" s="23"/>
      <c r="F645" s="23"/>
      <c r="G645" s="3" t="s">
        <v>1398</v>
      </c>
      <c r="H645" s="6"/>
      <c r="I645" s="6"/>
      <c r="J645" s="6"/>
      <c r="K645" s="21"/>
      <c r="L645" s="5" t="s">
        <v>1413</v>
      </c>
      <c r="M645" s="4"/>
      <c r="N645" s="6"/>
      <c r="O645" s="6"/>
      <c r="P645" s="6"/>
      <c r="Q645" s="27"/>
      <c r="R645" s="27" t="s">
        <v>187</v>
      </c>
      <c r="S645" s="6"/>
      <c r="T645" s="1">
        <v>3.5699999999999996E-2</v>
      </c>
      <c r="U645" s="1">
        <v>3.5699999999999996E-2</v>
      </c>
      <c r="V645" s="1">
        <v>3.5699999999999996E-2</v>
      </c>
      <c r="W645" s="1">
        <v>3.5699999999999996E-2</v>
      </c>
      <c r="X645" s="1">
        <v>3.5699999999999996E-2</v>
      </c>
      <c r="Y645" s="1">
        <f t="shared" si="33"/>
        <v>3.5699999999999996E-2</v>
      </c>
      <c r="Z645" s="10"/>
      <c r="AA645" s="10"/>
      <c r="AB645" s="10"/>
      <c r="AC645" s="10"/>
      <c r="AD645" s="10"/>
      <c r="AE645" s="10"/>
      <c r="AF645" s="10"/>
      <c r="AG645" s="38">
        <f t="shared" si="34"/>
        <v>0</v>
      </c>
      <c r="AH645" s="51" t="str">
        <f t="shared" si="35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t="14.4" hidden="1" x14ac:dyDescent="0.35">
      <c r="A646" s="22" t="s">
        <v>97</v>
      </c>
      <c r="B646" s="2"/>
      <c r="C646" s="21">
        <v>1</v>
      </c>
      <c r="D646" s="23"/>
      <c r="E646" s="23"/>
      <c r="F646" s="23" t="s">
        <v>98</v>
      </c>
      <c r="G646" s="3" t="s">
        <v>1414</v>
      </c>
      <c r="H646" s="4"/>
      <c r="I646" s="4"/>
      <c r="J646" s="4"/>
      <c r="K646" s="5"/>
      <c r="L646" s="5" t="s">
        <v>1413</v>
      </c>
      <c r="M646" s="4"/>
      <c r="N646" s="6"/>
      <c r="O646" s="4"/>
      <c r="P646" s="4"/>
      <c r="Q646" s="24"/>
      <c r="R646" s="27" t="s">
        <v>187</v>
      </c>
      <c r="S646" s="4"/>
      <c r="T646" s="1">
        <v>3.5197437499999998E-2</v>
      </c>
      <c r="U646" s="1">
        <v>1.7598718749999999E-2</v>
      </c>
      <c r="V646" s="1">
        <v>5.2796156250000004E-2</v>
      </c>
      <c r="W646" s="1">
        <v>3.5197437499999998E-2</v>
      </c>
      <c r="X646" s="1">
        <v>3.5197437499999998E-2</v>
      </c>
      <c r="Y646" s="1">
        <f t="shared" si="33"/>
        <v>3.5197437499999998E-2</v>
      </c>
      <c r="Z646" s="10"/>
      <c r="AA646" s="10"/>
      <c r="AB646" s="10"/>
      <c r="AC646" s="10"/>
      <c r="AD646" s="10"/>
      <c r="AE646" s="10"/>
      <c r="AF646" s="10"/>
      <c r="AG646" s="38">
        <f t="shared" si="34"/>
        <v>0</v>
      </c>
      <c r="AH646" s="51" t="str">
        <f t="shared" si="35"/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t="14.4" hidden="1" x14ac:dyDescent="0.35">
      <c r="A647" s="22" t="s">
        <v>1415</v>
      </c>
      <c r="B647" s="2"/>
      <c r="C647" s="21">
        <v>2</v>
      </c>
      <c r="D647" s="23"/>
      <c r="E647" s="23"/>
      <c r="F647" s="23"/>
      <c r="G647" s="3" t="s">
        <v>1409</v>
      </c>
      <c r="H647" s="4"/>
      <c r="I647" s="6"/>
      <c r="J647" s="4"/>
      <c r="K647" s="5"/>
      <c r="L647" s="5" t="s">
        <v>1366</v>
      </c>
      <c r="M647" s="4"/>
      <c r="N647" s="4"/>
      <c r="O647" s="4"/>
      <c r="P647" s="4"/>
      <c r="Q647" s="24"/>
      <c r="R647" s="27" t="s">
        <v>187</v>
      </c>
      <c r="S647" s="6"/>
      <c r="T647" s="1">
        <v>0</v>
      </c>
      <c r="U647" s="1">
        <v>7.4195999999999998E-2</v>
      </c>
      <c r="V647" s="1">
        <v>0</v>
      </c>
      <c r="W647" s="1">
        <v>0</v>
      </c>
      <c r="X647" s="1">
        <v>7.4195999999999998E-2</v>
      </c>
      <c r="Y647" s="1">
        <f t="shared" si="33"/>
        <v>2.9678400000000001E-2</v>
      </c>
      <c r="Z647" s="10"/>
      <c r="AA647" s="10"/>
      <c r="AB647" s="10"/>
      <c r="AC647" s="10"/>
      <c r="AD647" s="10"/>
      <c r="AE647" s="10"/>
      <c r="AF647" s="10"/>
      <c r="AG647" s="38">
        <f t="shared" si="34"/>
        <v>0</v>
      </c>
      <c r="AH647" s="51" t="str">
        <f t="shared" si="35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t="14.4" hidden="1" x14ac:dyDescent="0.35">
      <c r="A648" s="22" t="s">
        <v>1416</v>
      </c>
      <c r="B648" s="2"/>
      <c r="C648" s="21">
        <v>4</v>
      </c>
      <c r="D648" s="23"/>
      <c r="E648" s="23"/>
      <c r="F648" s="23"/>
      <c r="G648" s="3" t="s">
        <v>1357</v>
      </c>
      <c r="H648" s="4"/>
      <c r="I648" s="6"/>
      <c r="J648" s="4"/>
      <c r="K648" s="5"/>
      <c r="L648" s="5" t="s">
        <v>1366</v>
      </c>
      <c r="M648" s="4"/>
      <c r="N648" s="4"/>
      <c r="O648" s="4"/>
      <c r="P648" s="4"/>
      <c r="Q648" s="24"/>
      <c r="R648" s="27" t="s">
        <v>187</v>
      </c>
      <c r="S648" s="6"/>
      <c r="T648" s="1">
        <v>3.755E-2</v>
      </c>
      <c r="U648" s="1"/>
      <c r="V648" s="1">
        <v>3.755E-2</v>
      </c>
      <c r="W648" s="1">
        <v>3.755E-2</v>
      </c>
      <c r="X648" s="1">
        <v>0</v>
      </c>
      <c r="Y648" s="1">
        <f t="shared" si="33"/>
        <v>2.81625E-2</v>
      </c>
      <c r="Z648" s="10"/>
      <c r="AA648" s="10"/>
      <c r="AB648" s="10"/>
      <c r="AC648" s="10"/>
      <c r="AD648" s="10"/>
      <c r="AE648" s="10"/>
      <c r="AF648" s="10"/>
      <c r="AG648" s="38">
        <f t="shared" si="34"/>
        <v>0</v>
      </c>
      <c r="AH648" s="51" t="str">
        <f t="shared" si="35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t="14.4" hidden="1" x14ac:dyDescent="0.35">
      <c r="A649" s="22" t="s">
        <v>650</v>
      </c>
      <c r="B649" s="2"/>
      <c r="C649" s="21">
        <v>2.5</v>
      </c>
      <c r="D649" s="23"/>
      <c r="E649" s="23"/>
      <c r="F649" s="23"/>
      <c r="G649" s="3" t="s">
        <v>1357</v>
      </c>
      <c r="H649" s="4"/>
      <c r="I649" s="6"/>
      <c r="J649" s="4"/>
      <c r="K649" s="5"/>
      <c r="L649" s="5" t="s">
        <v>1358</v>
      </c>
      <c r="M649" s="4"/>
      <c r="N649" s="4"/>
      <c r="O649" s="4"/>
      <c r="P649" s="4"/>
      <c r="Q649" s="24"/>
      <c r="R649" s="27" t="s">
        <v>187</v>
      </c>
      <c r="S649" s="6"/>
      <c r="T649" s="1">
        <v>1.2114920570264765E-2</v>
      </c>
      <c r="U649" s="1">
        <v>2.7949800407331974E-2</v>
      </c>
      <c r="V649" s="1">
        <v>1.8839800407331974E-2</v>
      </c>
      <c r="W649" s="1">
        <v>1.7928700610997963E-2</v>
      </c>
      <c r="X649" s="1">
        <v>3.6255600814663953E-2</v>
      </c>
      <c r="Y649" s="1">
        <f t="shared" si="33"/>
        <v>2.2617764562118125E-2</v>
      </c>
      <c r="Z649" s="10"/>
      <c r="AA649" s="10"/>
      <c r="AB649" s="10"/>
      <c r="AC649" s="10"/>
      <c r="AD649" s="10"/>
      <c r="AE649" s="10"/>
      <c r="AF649" s="10"/>
      <c r="AG649" s="38">
        <f t="shared" si="34"/>
        <v>0</v>
      </c>
      <c r="AH649" s="51" t="str">
        <f t="shared" si="35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t="14.4" hidden="1" x14ac:dyDescent="0.35">
      <c r="A650" s="22" t="s">
        <v>1417</v>
      </c>
      <c r="B650" s="2"/>
      <c r="C650" s="21">
        <v>1.2</v>
      </c>
      <c r="D650" s="23"/>
      <c r="E650" s="23"/>
      <c r="F650" s="23"/>
      <c r="G650" s="3" t="s">
        <v>1418</v>
      </c>
      <c r="H650" s="4"/>
      <c r="I650" s="6"/>
      <c r="J650" s="4"/>
      <c r="K650" s="5"/>
      <c r="L650" s="5" t="s">
        <v>1413</v>
      </c>
      <c r="M650" s="4"/>
      <c r="N650" s="4"/>
      <c r="O650" s="4"/>
      <c r="P650" s="4"/>
      <c r="Q650" s="24"/>
      <c r="R650" s="27" t="s">
        <v>187</v>
      </c>
      <c r="S650" s="6"/>
      <c r="T650" s="1">
        <v>2.1245E-2</v>
      </c>
      <c r="U650" s="1">
        <v>2.4279999999999999E-2</v>
      </c>
      <c r="V650" s="1">
        <v>2.1245E-2</v>
      </c>
      <c r="W650" s="1">
        <v>2.1245E-2</v>
      </c>
      <c r="X650" s="1">
        <v>1.821E-2</v>
      </c>
      <c r="Y650" s="1">
        <f t="shared" si="33"/>
        <v>2.1245E-2</v>
      </c>
      <c r="Z650" s="10"/>
      <c r="AA650" s="10"/>
      <c r="AB650" s="10"/>
      <c r="AC650" s="10"/>
      <c r="AD650" s="10"/>
      <c r="AE650" s="10"/>
      <c r="AF650" s="10"/>
      <c r="AG650" s="38">
        <f t="shared" si="34"/>
        <v>0</v>
      </c>
      <c r="AH650" s="51" t="str">
        <f t="shared" si="35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t="14.4" hidden="1" x14ac:dyDescent="0.35">
      <c r="A651" s="22" t="s">
        <v>1419</v>
      </c>
      <c r="B651" s="2"/>
      <c r="C651" s="21">
        <v>6</v>
      </c>
      <c r="D651" s="23"/>
      <c r="E651" s="23"/>
      <c r="F651" s="23"/>
      <c r="G651" s="3" t="s">
        <v>1383</v>
      </c>
      <c r="H651" s="6"/>
      <c r="I651" s="6"/>
      <c r="J651" s="6"/>
      <c r="K651" s="21"/>
      <c r="L651" s="21" t="s">
        <v>1358</v>
      </c>
      <c r="M651" s="6"/>
      <c r="N651" s="6"/>
      <c r="O651" s="6"/>
      <c r="P651" s="6"/>
      <c r="Q651" s="27"/>
      <c r="R651" s="27" t="s">
        <v>187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 t="shared" si="33"/>
        <v>2.0650000000000002E-2</v>
      </c>
      <c r="Z651" s="10"/>
      <c r="AA651" s="10"/>
      <c r="AB651" s="10"/>
      <c r="AC651" s="10"/>
      <c r="AD651" s="10"/>
      <c r="AE651" s="10"/>
      <c r="AF651" s="10"/>
      <c r="AG651" s="38">
        <f t="shared" si="34"/>
        <v>0</v>
      </c>
      <c r="AH651" s="51" t="str">
        <f t="shared" si="35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t="14.4" hidden="1" x14ac:dyDescent="0.35">
      <c r="A652" s="22" t="s">
        <v>1420</v>
      </c>
      <c r="B652" s="2"/>
      <c r="C652" s="21">
        <v>3.75</v>
      </c>
      <c r="D652" s="23"/>
      <c r="E652" s="23"/>
      <c r="F652" s="23"/>
      <c r="G652" s="3" t="s">
        <v>1421</v>
      </c>
      <c r="H652" s="4"/>
      <c r="I652" s="6"/>
      <c r="J652" s="4"/>
      <c r="K652" s="5"/>
      <c r="L652" s="5" t="s">
        <v>1366</v>
      </c>
      <c r="M652" s="4"/>
      <c r="N652" s="4"/>
      <c r="O652" s="4"/>
      <c r="P652" s="4"/>
      <c r="Q652" s="24"/>
      <c r="R652" s="27" t="s">
        <v>187</v>
      </c>
      <c r="S652" s="4"/>
      <c r="T652" s="1">
        <v>2.2354101562499999E-2</v>
      </c>
      <c r="U652" s="1">
        <v>1.6765576171875001E-2</v>
      </c>
      <c r="V652" s="1">
        <v>2.7942626953125001E-2</v>
      </c>
      <c r="W652" s="1">
        <v>1.2294755859374999E-2</v>
      </c>
      <c r="X652" s="1">
        <v>1.7883281250000001E-2</v>
      </c>
      <c r="Y652" s="1">
        <f t="shared" si="33"/>
        <v>1.9448068359374997E-2</v>
      </c>
      <c r="Z652" s="10"/>
      <c r="AA652" s="10"/>
      <c r="AB652" s="10"/>
      <c r="AC652" s="10"/>
      <c r="AD652" s="10"/>
      <c r="AE652" s="10"/>
      <c r="AF652" s="10"/>
      <c r="AG652" s="38">
        <f t="shared" si="34"/>
        <v>0</v>
      </c>
      <c r="AH652" s="51" t="str">
        <f t="shared" si="35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t="14.4" hidden="1" x14ac:dyDescent="0.35">
      <c r="A653" s="22" t="s">
        <v>1422</v>
      </c>
      <c r="B653" s="2"/>
      <c r="C653" s="21">
        <v>4</v>
      </c>
      <c r="D653" s="23"/>
      <c r="E653" s="23"/>
      <c r="F653" s="23"/>
      <c r="G653" s="3" t="s">
        <v>1362</v>
      </c>
      <c r="H653" s="6"/>
      <c r="I653" s="6"/>
      <c r="J653" s="6"/>
      <c r="K653" s="21"/>
      <c r="L653" s="21" t="s">
        <v>1358</v>
      </c>
      <c r="M653" s="6"/>
      <c r="N653" s="6"/>
      <c r="O653" s="6"/>
      <c r="P653" s="6"/>
      <c r="Q653" s="27"/>
      <c r="R653" s="27" t="s">
        <v>187</v>
      </c>
      <c r="S653" s="6"/>
      <c r="T653" s="1">
        <v>0</v>
      </c>
      <c r="U653" s="1">
        <v>9.6570000000000003E-2</v>
      </c>
      <c r="V653" s="1">
        <v>0</v>
      </c>
      <c r="W653" s="1">
        <v>0</v>
      </c>
      <c r="X653" s="1">
        <v>0</v>
      </c>
      <c r="Y653" s="1">
        <f t="shared" si="33"/>
        <v>1.9314000000000001E-2</v>
      </c>
      <c r="Z653" s="10"/>
      <c r="AA653" s="10"/>
      <c r="AB653" s="10"/>
      <c r="AC653" s="10"/>
      <c r="AD653" s="10"/>
      <c r="AE653" s="10"/>
      <c r="AF653" s="10"/>
      <c r="AG653" s="38">
        <f t="shared" si="34"/>
        <v>0</v>
      </c>
      <c r="AH653" s="51" t="str">
        <f t="shared" si="35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t="14.4" hidden="1" x14ac:dyDescent="0.35">
      <c r="A654" s="22" t="s">
        <v>1423</v>
      </c>
      <c r="B654" s="2"/>
      <c r="C654" s="21">
        <v>4</v>
      </c>
      <c r="D654" s="23"/>
      <c r="E654" s="23"/>
      <c r="F654" s="23"/>
      <c r="G654" s="3" t="s">
        <v>1362</v>
      </c>
      <c r="H654" s="6"/>
      <c r="I654" s="6"/>
      <c r="J654" s="6"/>
      <c r="K654" s="21"/>
      <c r="L654" s="21" t="s">
        <v>1358</v>
      </c>
      <c r="M654" s="4"/>
      <c r="N654" s="6"/>
      <c r="O654" s="6"/>
      <c r="P654" s="6"/>
      <c r="Q654" s="27"/>
      <c r="R654" s="27" t="s">
        <v>187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 t="shared" si="33"/>
        <v>1.1739232215358839E-2</v>
      </c>
      <c r="Z654" s="10"/>
      <c r="AA654" s="10"/>
      <c r="AB654" s="10"/>
      <c r="AC654" s="10"/>
      <c r="AD654" s="10"/>
      <c r="AE654" s="10"/>
      <c r="AF654" s="10"/>
      <c r="AG654" s="38">
        <f t="shared" si="34"/>
        <v>0</v>
      </c>
      <c r="AH654" s="51" t="str">
        <f t="shared" si="35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t="14.4" hidden="1" x14ac:dyDescent="0.35">
      <c r="A655" s="22" t="s">
        <v>1424</v>
      </c>
      <c r="B655" s="2"/>
      <c r="C655" s="21">
        <v>8</v>
      </c>
      <c r="D655" s="23"/>
      <c r="E655" s="23"/>
      <c r="F655" s="23"/>
      <c r="G655" s="3" t="s">
        <v>1383</v>
      </c>
      <c r="H655" s="4"/>
      <c r="I655" s="4"/>
      <c r="J655" s="4"/>
      <c r="K655" s="5"/>
      <c r="L655" s="5" t="s">
        <v>1358</v>
      </c>
      <c r="M655" s="4"/>
      <c r="N655" s="4"/>
      <c r="O655" s="4"/>
      <c r="P655" s="4"/>
      <c r="Q655" s="24"/>
      <c r="R655" s="27" t="s">
        <v>187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 t="shared" si="33"/>
        <v>1.0950000000000001E-2</v>
      </c>
      <c r="Z655" s="10"/>
      <c r="AA655" s="10"/>
      <c r="AB655" s="10"/>
      <c r="AC655" s="10"/>
      <c r="AD655" s="10"/>
      <c r="AE655" s="10"/>
      <c r="AF655" s="10"/>
      <c r="AG655" s="38">
        <f t="shared" si="34"/>
        <v>0</v>
      </c>
      <c r="AH655" s="51" t="str">
        <f t="shared" si="35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t="14.4" hidden="1" x14ac:dyDescent="0.35">
      <c r="A656" s="22" t="s">
        <v>1425</v>
      </c>
      <c r="B656" s="2"/>
      <c r="C656" s="21">
        <v>2</v>
      </c>
      <c r="D656" s="23"/>
      <c r="E656" s="23"/>
      <c r="F656" s="77"/>
      <c r="G656" s="3" t="s">
        <v>1362</v>
      </c>
      <c r="H656" s="4"/>
      <c r="I656" s="4"/>
      <c r="J656" s="4"/>
      <c r="K656" s="5"/>
      <c r="L656" s="5" t="s">
        <v>1358</v>
      </c>
      <c r="M656" s="4"/>
      <c r="N656" s="4"/>
      <c r="O656" s="4"/>
      <c r="P656" s="4"/>
      <c r="Q656" s="24"/>
      <c r="R656" s="27" t="s">
        <v>187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 t="shared" si="33"/>
        <v>7.8094399999999991E-3</v>
      </c>
      <c r="Z656" s="10"/>
      <c r="AA656" s="10"/>
      <c r="AB656" s="10"/>
      <c r="AC656" s="10"/>
      <c r="AD656" s="10"/>
      <c r="AE656" s="10"/>
      <c r="AF656" s="10"/>
      <c r="AG656" s="38">
        <f t="shared" si="34"/>
        <v>0</v>
      </c>
      <c r="AH656" s="51" t="str">
        <f t="shared" si="35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t="14.4" hidden="1" x14ac:dyDescent="0.35">
      <c r="A657" s="22" t="s">
        <v>1426</v>
      </c>
      <c r="B657" s="2"/>
      <c r="C657" s="21">
        <v>0.7</v>
      </c>
      <c r="D657" s="23"/>
      <c r="E657" s="23"/>
      <c r="F657" s="77"/>
      <c r="G657" s="3" t="s">
        <v>1383</v>
      </c>
      <c r="H657" s="4"/>
      <c r="I657" s="4"/>
      <c r="J657" s="4"/>
      <c r="K657" s="5"/>
      <c r="L657" s="5" t="s">
        <v>1358</v>
      </c>
      <c r="M657" s="4"/>
      <c r="N657" s="4"/>
      <c r="O657" s="4"/>
      <c r="P657" s="4"/>
      <c r="Q657" s="24"/>
      <c r="R657" s="27" t="s">
        <v>187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 t="shared" si="33"/>
        <v>6.2485006451612913E-3</v>
      </c>
      <c r="Z657" s="10"/>
      <c r="AA657" s="10"/>
      <c r="AB657" s="10"/>
      <c r="AC657" s="10"/>
      <c r="AD657" s="10"/>
      <c r="AE657" s="10"/>
      <c r="AF657" s="10"/>
      <c r="AG657" s="38">
        <f t="shared" si="34"/>
        <v>0</v>
      </c>
      <c r="AH657" s="51" t="str">
        <f t="shared" si="35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t="14.4" hidden="1" x14ac:dyDescent="0.35">
      <c r="A658" s="22" t="s">
        <v>1427</v>
      </c>
      <c r="B658" s="2"/>
      <c r="C658" s="21">
        <v>1</v>
      </c>
      <c r="D658" s="23"/>
      <c r="E658" s="23"/>
      <c r="F658" s="77"/>
      <c r="G658" s="3" t="s">
        <v>1395</v>
      </c>
      <c r="H658" s="6"/>
      <c r="I658" s="6"/>
      <c r="J658" s="6"/>
      <c r="K658" s="21"/>
      <c r="L658" s="21" t="s">
        <v>1413</v>
      </c>
      <c r="M658" s="6"/>
      <c r="N658" s="6"/>
      <c r="O658" s="6"/>
      <c r="P658" s="6"/>
      <c r="Q658" s="27"/>
      <c r="R658" s="27" t="s">
        <v>187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 t="shared" si="33"/>
        <v>4.7993400000000009E-3</v>
      </c>
      <c r="Z658" s="10"/>
      <c r="AA658" s="10"/>
      <c r="AB658" s="10"/>
      <c r="AC658" s="10"/>
      <c r="AD658" s="10"/>
      <c r="AE658" s="10"/>
      <c r="AF658" s="10"/>
      <c r="AG658" s="38">
        <f t="shared" si="34"/>
        <v>0</v>
      </c>
      <c r="AH658" s="51" t="str">
        <f t="shared" si="35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t="14.4" hidden="1" x14ac:dyDescent="0.35">
      <c r="A659" s="22" t="s">
        <v>1428</v>
      </c>
      <c r="B659" s="2"/>
      <c r="C659" s="21">
        <v>1</v>
      </c>
      <c r="D659" s="23"/>
      <c r="E659" s="23"/>
      <c r="F659" s="77"/>
      <c r="G659" s="3" t="s">
        <v>1362</v>
      </c>
      <c r="H659" s="6"/>
      <c r="I659" s="6"/>
      <c r="J659" s="6"/>
      <c r="K659" s="21"/>
      <c r="L659" s="21" t="s">
        <v>1358</v>
      </c>
      <c r="M659" s="6"/>
      <c r="N659" s="6"/>
      <c r="O659" s="6"/>
      <c r="P659" s="6"/>
      <c r="Q659" s="27"/>
      <c r="R659" s="27" t="s">
        <v>187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 t="shared" si="33"/>
        <v>2.0352E-3</v>
      </c>
      <c r="Z659" s="10"/>
      <c r="AA659" s="10"/>
      <c r="AB659" s="10"/>
      <c r="AC659" s="10"/>
      <c r="AD659" s="10"/>
      <c r="AE659" s="10"/>
      <c r="AF659" s="10"/>
      <c r="AG659" s="38">
        <f t="shared" si="34"/>
        <v>0</v>
      </c>
      <c r="AH659" s="51" t="str">
        <f t="shared" si="35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t="14.4" hidden="1" x14ac:dyDescent="0.35">
      <c r="A660" s="22" t="s">
        <v>965</v>
      </c>
      <c r="B660" s="2"/>
      <c r="C660" s="21">
        <v>0.8</v>
      </c>
      <c r="D660" s="23"/>
      <c r="E660" s="23"/>
      <c r="F660" s="77"/>
      <c r="G660" s="3" t="s">
        <v>1362</v>
      </c>
      <c r="H660" s="4"/>
      <c r="I660" s="4"/>
      <c r="J660" s="4"/>
      <c r="K660" s="5"/>
      <c r="L660" s="5" t="s">
        <v>1366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 t="shared" si="33"/>
        <v>1.4208000000000001E-3</v>
      </c>
      <c r="Z660" s="10"/>
      <c r="AA660" s="10"/>
      <c r="AB660" s="10"/>
      <c r="AC660" s="10"/>
      <c r="AD660" s="10"/>
      <c r="AE660" s="10"/>
      <c r="AF660" s="10"/>
      <c r="AG660" s="38">
        <f t="shared" si="34"/>
        <v>0</v>
      </c>
      <c r="AH660" s="51" t="str">
        <f t="shared" si="35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t="14.4" hidden="1" x14ac:dyDescent="0.35">
      <c r="A661" s="22" t="s">
        <v>578</v>
      </c>
      <c r="B661" s="2" t="s">
        <v>1429</v>
      </c>
      <c r="C661" s="21">
        <v>0.65</v>
      </c>
      <c r="D661" s="23">
        <v>1000</v>
      </c>
      <c r="E661" s="23" t="s">
        <v>42</v>
      </c>
      <c r="F661" s="23"/>
      <c r="G661" s="3" t="s">
        <v>576</v>
      </c>
      <c r="H661" s="4"/>
      <c r="I661" s="6"/>
      <c r="J661" s="4"/>
      <c r="K661" s="5"/>
      <c r="L661" s="5" t="s">
        <v>764</v>
      </c>
      <c r="M661" s="4" t="s">
        <v>1378</v>
      </c>
      <c r="N661" s="4"/>
      <c r="O661" s="4"/>
      <c r="P661" s="4"/>
      <c r="Q661" s="24"/>
      <c r="R661" s="24" t="s">
        <v>187</v>
      </c>
      <c r="S661" s="6" t="s">
        <v>1430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 t="shared" si="33"/>
        <v>0</v>
      </c>
      <c r="Z661" s="10"/>
      <c r="AA661" s="10"/>
      <c r="AB661" s="10"/>
      <c r="AC661" s="10"/>
      <c r="AD661" s="10"/>
      <c r="AE661" s="10"/>
      <c r="AF661" s="10"/>
      <c r="AG661" s="38">
        <f t="shared" si="34"/>
        <v>0</v>
      </c>
      <c r="AH661" s="51" t="str">
        <f t="shared" si="35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t="14.4" hidden="1" x14ac:dyDescent="0.35">
      <c r="A662" s="22" t="s">
        <v>1431</v>
      </c>
      <c r="B662" s="2"/>
      <c r="C662" s="21">
        <v>18</v>
      </c>
      <c r="D662" s="23"/>
      <c r="E662" s="23"/>
      <c r="F662" s="23"/>
      <c r="G662" s="3" t="s">
        <v>1432</v>
      </c>
      <c r="H662" s="4"/>
      <c r="I662" s="6"/>
      <c r="J662" s="4"/>
      <c r="K662" s="5"/>
      <c r="L662" s="5" t="s">
        <v>1358</v>
      </c>
      <c r="M662" s="4"/>
      <c r="N662" s="4"/>
      <c r="O662" s="4"/>
      <c r="P662" s="4"/>
      <c r="Q662" s="24"/>
      <c r="R662" s="27" t="s">
        <v>187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33"/>
        <v>0</v>
      </c>
      <c r="Z662" s="10"/>
      <c r="AA662" s="10"/>
      <c r="AB662" s="10"/>
      <c r="AC662" s="10"/>
      <c r="AD662" s="10"/>
      <c r="AE662" s="10"/>
      <c r="AF662" s="10"/>
      <c r="AG662" s="38">
        <f t="shared" si="34"/>
        <v>0</v>
      </c>
      <c r="AH662" s="51" t="str">
        <f t="shared" si="35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t="14.4" hidden="1" x14ac:dyDescent="0.35">
      <c r="A663" s="22" t="s">
        <v>1433</v>
      </c>
      <c r="B663" s="2"/>
      <c r="C663" s="21">
        <v>1</v>
      </c>
      <c r="D663" s="23"/>
      <c r="E663" s="23"/>
      <c r="F663" s="23"/>
      <c r="G663" s="3" t="s">
        <v>1434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187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33"/>
        <v>0</v>
      </c>
      <c r="Z663" s="10"/>
      <c r="AA663" s="10"/>
      <c r="AB663" s="10"/>
      <c r="AC663" s="10"/>
      <c r="AD663" s="10"/>
      <c r="AE663" s="10"/>
      <c r="AF663" s="10"/>
      <c r="AG663" s="38">
        <f t="shared" si="34"/>
        <v>0</v>
      </c>
      <c r="AH663" s="51" t="str">
        <f t="shared" si="35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t="14.4" hidden="1" x14ac:dyDescent="0.35">
      <c r="A664" s="22" t="s">
        <v>1435</v>
      </c>
      <c r="B664" s="2"/>
      <c r="C664" s="21">
        <v>7.75</v>
      </c>
      <c r="D664" s="23"/>
      <c r="E664" s="23"/>
      <c r="F664" s="23"/>
      <c r="G664" s="3" t="s">
        <v>1436</v>
      </c>
      <c r="H664" s="4"/>
      <c r="I664" s="6"/>
      <c r="J664" s="4"/>
      <c r="K664" s="5"/>
      <c r="L664" s="5" t="s">
        <v>1358</v>
      </c>
      <c r="M664" s="4"/>
      <c r="N664" s="4"/>
      <c r="O664" s="4"/>
      <c r="P664" s="4"/>
      <c r="Q664" s="24"/>
      <c r="R664" s="27" t="s">
        <v>187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3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4"/>
        <v>0</v>
      </c>
      <c r="AH664" s="51" t="str">
        <f t="shared" si="35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t="14.4" hidden="1" x14ac:dyDescent="0.35">
      <c r="A665" s="22" t="s">
        <v>1437</v>
      </c>
      <c r="B665" s="2"/>
      <c r="C665" s="21">
        <v>2</v>
      </c>
      <c r="D665" s="23"/>
      <c r="E665" s="23"/>
      <c r="F665" s="23"/>
      <c r="G665" s="3" t="s">
        <v>1409</v>
      </c>
      <c r="H665" s="6"/>
      <c r="I665" s="6"/>
      <c r="J665" s="6"/>
      <c r="K665" s="21"/>
      <c r="L665" s="21" t="s">
        <v>1366</v>
      </c>
      <c r="M665" s="6"/>
      <c r="N665" s="6"/>
      <c r="O665" s="6"/>
      <c r="P665" s="6"/>
      <c r="Q665" s="27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3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4"/>
        <v>0</v>
      </c>
      <c r="AH665" s="51" t="str">
        <f t="shared" si="35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t="14.4" hidden="1" x14ac:dyDescent="0.35">
      <c r="A666" s="22" t="s">
        <v>1438</v>
      </c>
      <c r="B666" s="2"/>
      <c r="C666" s="21">
        <v>5</v>
      </c>
      <c r="D666" s="23"/>
      <c r="E666" s="23"/>
      <c r="F666" s="23"/>
      <c r="G666" s="3" t="s">
        <v>1409</v>
      </c>
      <c r="H666" s="6"/>
      <c r="I666" s="6"/>
      <c r="J666" s="6"/>
      <c r="K666" s="21"/>
      <c r="L666" s="21" t="s">
        <v>1366</v>
      </c>
      <c r="M666" s="6"/>
      <c r="N666" s="6"/>
      <c r="O666" s="6"/>
      <c r="P666" s="6"/>
      <c r="Q666" s="27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3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4"/>
        <v>0</v>
      </c>
      <c r="AH666" s="51" t="str">
        <f t="shared" si="35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t="14.4" hidden="1" x14ac:dyDescent="0.35">
      <c r="A667" s="22" t="s">
        <v>1439</v>
      </c>
      <c r="B667" s="2"/>
      <c r="C667" s="21">
        <v>1.9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3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4"/>
        <v>0</v>
      </c>
      <c r="AH667" s="51" t="str">
        <f t="shared" si="35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t="14.4" hidden="1" x14ac:dyDescent="0.35">
      <c r="A668" s="22" t="s">
        <v>1441</v>
      </c>
      <c r="B668" s="2"/>
      <c r="C668" s="21">
        <v>3</v>
      </c>
      <c r="D668" s="23"/>
      <c r="E668" s="23"/>
      <c r="F668" s="23"/>
      <c r="G668" s="3" t="s">
        <v>1442</v>
      </c>
      <c r="H668" s="6"/>
      <c r="I668" s="6"/>
      <c r="J668" s="6"/>
      <c r="K668" s="21"/>
      <c r="L668" s="5" t="s">
        <v>1366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3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4"/>
        <v>0</v>
      </c>
      <c r="AH668" s="51" t="str">
        <f t="shared" si="35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t="14.4" hidden="1" x14ac:dyDescent="0.35">
      <c r="A669" s="22" t="s">
        <v>1443</v>
      </c>
      <c r="B669" s="2"/>
      <c r="C669" s="21">
        <v>5</v>
      </c>
      <c r="D669" s="23"/>
      <c r="E669" s="23"/>
      <c r="F669" s="23"/>
      <c r="G669" s="3" t="s">
        <v>1442</v>
      </c>
      <c r="H669" s="4"/>
      <c r="I669" s="6"/>
      <c r="J669" s="4"/>
      <c r="K669" s="5"/>
      <c r="L669" s="5" t="s">
        <v>1366</v>
      </c>
      <c r="M669" s="4"/>
      <c r="N669" s="4"/>
      <c r="O669" s="4"/>
      <c r="P669" s="4"/>
      <c r="Q669" s="24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3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4"/>
        <v>0</v>
      </c>
      <c r="AH669" s="51" t="str">
        <f t="shared" si="35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t="14.4" hidden="1" x14ac:dyDescent="0.35">
      <c r="A670" s="22" t="s">
        <v>1444</v>
      </c>
      <c r="B670" s="2"/>
      <c r="C670" s="21">
        <v>15.88</v>
      </c>
      <c r="D670" s="23"/>
      <c r="E670" s="23"/>
      <c r="F670" s="23"/>
      <c r="G670" s="3" t="s">
        <v>1432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3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4"/>
        <v>0</v>
      </c>
      <c r="AH670" s="51" t="str">
        <f t="shared" si="35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t="14.4" hidden="1" x14ac:dyDescent="0.35">
      <c r="A671" s="22" t="s">
        <v>1445</v>
      </c>
      <c r="B671" s="2"/>
      <c r="C671" s="21">
        <v>16</v>
      </c>
      <c r="D671" s="23"/>
      <c r="E671" s="23"/>
      <c r="F671" s="23"/>
      <c r="G671" s="3" t="s">
        <v>1432</v>
      </c>
      <c r="H671" s="4"/>
      <c r="I671" s="6"/>
      <c r="J671" s="4"/>
      <c r="K671" s="5"/>
      <c r="L671" s="5" t="s">
        <v>1366</v>
      </c>
      <c r="M671" s="4"/>
      <c r="N671" s="4"/>
      <c r="O671" s="4"/>
      <c r="P671" s="4"/>
      <c r="Q671" s="24"/>
      <c r="R671" s="27" t="s">
        <v>187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 t="shared" si="33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4"/>
        <v>0</v>
      </c>
      <c r="AH671" s="51" t="str">
        <f t="shared" si="35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t="14.4" hidden="1" x14ac:dyDescent="0.35">
      <c r="A672" s="22" t="s">
        <v>1446</v>
      </c>
      <c r="B672" s="2"/>
      <c r="C672" s="21">
        <v>10</v>
      </c>
      <c r="D672" s="23"/>
      <c r="E672" s="23"/>
      <c r="F672" s="23"/>
      <c r="G672" s="3" t="s">
        <v>1362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187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3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4"/>
        <v>0</v>
      </c>
      <c r="AH672" s="51" t="str">
        <f t="shared" si="35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t="14.4" hidden="1" x14ac:dyDescent="0.35">
      <c r="A673" s="22" t="s">
        <v>1447</v>
      </c>
      <c r="B673" s="2"/>
      <c r="C673" s="21">
        <v>1.5</v>
      </c>
      <c r="D673" s="23"/>
      <c r="E673" s="23"/>
      <c r="F673" s="23"/>
      <c r="G673" s="3" t="s">
        <v>1362</v>
      </c>
      <c r="H673" s="6"/>
      <c r="I673" s="6"/>
      <c r="J673" s="6"/>
      <c r="K673" s="21"/>
      <c r="L673" s="5" t="s">
        <v>1366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3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4"/>
        <v>0</v>
      </c>
      <c r="AH673" s="51" t="str">
        <f t="shared" si="35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t="14.4" hidden="1" x14ac:dyDescent="0.35">
      <c r="A674" s="22" t="s">
        <v>1448</v>
      </c>
      <c r="B674" s="2"/>
      <c r="C674" s="21">
        <v>2</v>
      </c>
      <c r="D674" s="23"/>
      <c r="E674" s="23"/>
      <c r="F674" s="23"/>
      <c r="G674" s="3" t="s">
        <v>1362</v>
      </c>
      <c r="H674" s="6"/>
      <c r="I674" s="6"/>
      <c r="J674" s="6"/>
      <c r="K674" s="21"/>
      <c r="L674" s="21" t="s">
        <v>1366</v>
      </c>
      <c r="M674" s="6"/>
      <c r="N674" s="6"/>
      <c r="O674" s="6"/>
      <c r="P674" s="6"/>
      <c r="Q674" s="27"/>
      <c r="R674" s="27" t="s">
        <v>187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33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4"/>
        <v>0</v>
      </c>
      <c r="AH674" s="51" t="str">
        <f t="shared" si="35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t="14.4" hidden="1" x14ac:dyDescent="0.35">
      <c r="A675" s="22" t="s">
        <v>1449</v>
      </c>
      <c r="B675" s="2"/>
      <c r="C675" s="21">
        <v>2</v>
      </c>
      <c r="D675" s="23"/>
      <c r="E675" s="23"/>
      <c r="F675" s="23"/>
      <c r="G675" s="3" t="s">
        <v>1362</v>
      </c>
      <c r="H675" s="4"/>
      <c r="I675" s="6"/>
      <c r="J675" s="4"/>
      <c r="K675" s="5"/>
      <c r="L675" s="5" t="s">
        <v>1366</v>
      </c>
      <c r="M675" s="4"/>
      <c r="N675" s="4"/>
      <c r="O675" s="4"/>
      <c r="P675" s="4"/>
      <c r="Q675" s="24"/>
      <c r="R675" s="27" t="s">
        <v>187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3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4"/>
        <v>0</v>
      </c>
      <c r="AH675" s="51" t="str">
        <f t="shared" si="35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t="14.4" hidden="1" x14ac:dyDescent="0.35">
      <c r="A676" s="22" t="s">
        <v>1450</v>
      </c>
      <c r="B676" s="2"/>
      <c r="C676" s="21">
        <v>2.5</v>
      </c>
      <c r="D676" s="23"/>
      <c r="E676" s="23"/>
      <c r="F676" s="23"/>
      <c r="G676" s="3" t="s">
        <v>1357</v>
      </c>
      <c r="H676" s="4"/>
      <c r="I676" s="4"/>
      <c r="J676" s="4"/>
      <c r="K676" s="5"/>
      <c r="L676" s="5" t="s">
        <v>1358</v>
      </c>
      <c r="M676" s="4"/>
      <c r="N676" s="4"/>
      <c r="O676" s="4"/>
      <c r="P676" s="4"/>
      <c r="Q676" s="24"/>
      <c r="R676" s="27" t="s">
        <v>187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3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4"/>
        <v>0</v>
      </c>
      <c r="AH676" s="51" t="str">
        <f t="shared" si="35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t="14.4" hidden="1" x14ac:dyDescent="0.35">
      <c r="A677" s="22" t="s">
        <v>1451</v>
      </c>
      <c r="B677" s="2"/>
      <c r="C677" s="21">
        <v>3</v>
      </c>
      <c r="D677" s="23"/>
      <c r="E677" s="23"/>
      <c r="F677" s="23"/>
      <c r="G677" s="3" t="s">
        <v>1398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3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4"/>
        <v>0</v>
      </c>
      <c r="AH677" s="51" t="str">
        <f t="shared" si="35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t="14.4" hidden="1" x14ac:dyDescent="0.35">
      <c r="A678" s="22" t="s">
        <v>869</v>
      </c>
      <c r="B678" s="2"/>
      <c r="C678" s="21">
        <v>3</v>
      </c>
      <c r="D678" s="23"/>
      <c r="E678" s="23"/>
      <c r="F678" s="23"/>
      <c r="G678" s="3" t="s">
        <v>1398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3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4"/>
        <v>0</v>
      </c>
      <c r="AH678" s="51" t="str">
        <f t="shared" si="35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t="14.4" hidden="1" x14ac:dyDescent="0.35">
      <c r="A679" s="22" t="s">
        <v>1452</v>
      </c>
      <c r="B679" s="2"/>
      <c r="C679" s="21">
        <v>3</v>
      </c>
      <c r="D679" s="23"/>
      <c r="E679" s="23"/>
      <c r="F679" s="23"/>
      <c r="G679" s="3" t="s">
        <v>1362</v>
      </c>
      <c r="H679" s="6"/>
      <c r="I679" s="6"/>
      <c r="J679" s="6"/>
      <c r="K679" s="21"/>
      <c r="L679" s="21" t="s">
        <v>1366</v>
      </c>
      <c r="M679" s="6"/>
      <c r="N679" s="6"/>
      <c r="O679" s="6"/>
      <c r="P679" s="6"/>
      <c r="Q679" s="27"/>
      <c r="R679" s="27" t="s">
        <v>187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3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4"/>
        <v>0</v>
      </c>
      <c r="AH679" s="51" t="str">
        <f t="shared" si="35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t="14.4" hidden="1" x14ac:dyDescent="0.35">
      <c r="A680" s="22" t="s">
        <v>1453</v>
      </c>
      <c r="B680" s="2"/>
      <c r="C680" s="21">
        <v>3</v>
      </c>
      <c r="D680" s="23"/>
      <c r="E680" s="23"/>
      <c r="F680" s="23"/>
      <c r="G680" s="3" t="s">
        <v>1357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3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4"/>
        <v>0</v>
      </c>
      <c r="AH680" s="51" t="str">
        <f t="shared" si="35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t="14.4" hidden="1" x14ac:dyDescent="0.35">
      <c r="A681" s="22" t="s">
        <v>1454</v>
      </c>
      <c r="B681" s="2"/>
      <c r="C681" s="21">
        <v>3</v>
      </c>
      <c r="D681" s="23"/>
      <c r="E681" s="23"/>
      <c r="F681" s="23"/>
      <c r="G681" s="3" t="s">
        <v>1357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3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4"/>
        <v>0</v>
      </c>
      <c r="AH681" s="51" t="str">
        <f t="shared" si="35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t="14.4" hidden="1" x14ac:dyDescent="0.35">
      <c r="A682" s="22" t="s">
        <v>1455</v>
      </c>
      <c r="B682" s="2"/>
      <c r="C682" s="21">
        <v>4</v>
      </c>
      <c r="D682" s="23"/>
      <c r="E682" s="23"/>
      <c r="F682" s="23"/>
      <c r="G682" s="3" t="s">
        <v>1372</v>
      </c>
      <c r="H682" s="6"/>
      <c r="I682" s="6"/>
      <c r="J682" s="6"/>
      <c r="K682" s="21"/>
      <c r="L682" s="21" t="s">
        <v>1413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3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4"/>
        <v>0</v>
      </c>
      <c r="AH682" s="51" t="str">
        <f t="shared" si="35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t="14.4" hidden="1" x14ac:dyDescent="0.35">
      <c r="A683" s="22" t="s">
        <v>1456</v>
      </c>
      <c r="B683" s="2"/>
      <c r="C683" s="21">
        <v>4</v>
      </c>
      <c r="D683" s="23"/>
      <c r="E683" s="23"/>
      <c r="F683" s="23"/>
      <c r="G683" s="3" t="s">
        <v>1362</v>
      </c>
      <c r="H683" s="6"/>
      <c r="I683" s="6"/>
      <c r="J683" s="6"/>
      <c r="K683" s="21"/>
      <c r="L683" s="21" t="s">
        <v>1358</v>
      </c>
      <c r="M683" s="6"/>
      <c r="N683" s="6"/>
      <c r="O683" s="6"/>
      <c r="P683" s="6"/>
      <c r="Q683" s="27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3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4"/>
        <v>0</v>
      </c>
      <c r="AH683" s="51" t="str">
        <f t="shared" si="35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t="14.4" hidden="1" x14ac:dyDescent="0.35">
      <c r="A684" s="22" t="s">
        <v>1457</v>
      </c>
      <c r="B684" s="2"/>
      <c r="C684" s="21">
        <v>4</v>
      </c>
      <c r="D684" s="23"/>
      <c r="E684" s="23"/>
      <c r="F684" s="23"/>
      <c r="G684" s="3" t="s">
        <v>1362</v>
      </c>
      <c r="H684" s="4"/>
      <c r="I684" s="4"/>
      <c r="J684" s="4"/>
      <c r="K684" s="5"/>
      <c r="L684" s="5" t="s">
        <v>1358</v>
      </c>
      <c r="M684" s="4"/>
      <c r="N684" s="4"/>
      <c r="O684" s="4"/>
      <c r="P684" s="4"/>
      <c r="Q684" s="24"/>
      <c r="R684" s="27" t="s">
        <v>187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3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4"/>
        <v>0</v>
      </c>
      <c r="AH684" s="51" t="str">
        <f t="shared" si="35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t="14.4" hidden="1" x14ac:dyDescent="0.35">
      <c r="A685" s="22" t="s">
        <v>1458</v>
      </c>
      <c r="B685" s="2"/>
      <c r="C685" s="21">
        <v>4</v>
      </c>
      <c r="D685" s="23"/>
      <c r="E685" s="23"/>
      <c r="F685" s="23"/>
      <c r="G685" s="3" t="s">
        <v>1362</v>
      </c>
      <c r="H685" s="4"/>
      <c r="I685" s="4"/>
      <c r="J685" s="4"/>
      <c r="K685" s="5"/>
      <c r="L685" s="5" t="s">
        <v>1358</v>
      </c>
      <c r="M685" s="4"/>
      <c r="N685" s="4"/>
      <c r="O685" s="4"/>
      <c r="P685" s="4"/>
      <c r="Q685" s="24"/>
      <c r="R685" s="27" t="s">
        <v>187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3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4"/>
        <v>0</v>
      </c>
      <c r="AH685" s="51" t="str">
        <f t="shared" si="35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t="14.4" hidden="1" x14ac:dyDescent="0.35">
      <c r="A686" s="22" t="s">
        <v>1459</v>
      </c>
      <c r="B686" s="2"/>
      <c r="C686" s="21">
        <v>4</v>
      </c>
      <c r="D686" s="23"/>
      <c r="E686" s="23"/>
      <c r="F686" s="23"/>
      <c r="G686" s="3" t="s">
        <v>1362</v>
      </c>
      <c r="H686" s="6"/>
      <c r="I686" s="6"/>
      <c r="J686" s="6"/>
      <c r="K686" s="21"/>
      <c r="L686" s="21" t="s">
        <v>1358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3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4"/>
        <v>0</v>
      </c>
      <c r="AH686" s="51" t="str">
        <f t="shared" si="35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t="14.4" hidden="1" x14ac:dyDescent="0.35">
      <c r="A687" s="22" t="s">
        <v>1460</v>
      </c>
      <c r="B687" s="2"/>
      <c r="C687" s="21">
        <v>4.75</v>
      </c>
      <c r="D687" s="23"/>
      <c r="E687" s="23"/>
      <c r="F687" s="23"/>
      <c r="G687" s="3" t="s">
        <v>1362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187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3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4"/>
        <v>0</v>
      </c>
      <c r="AH687" s="51" t="str">
        <f t="shared" si="35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t="14.4" hidden="1" x14ac:dyDescent="0.35">
      <c r="A688" s="22" t="s">
        <v>1461</v>
      </c>
      <c r="B688" s="2"/>
      <c r="C688" s="21">
        <v>4.75</v>
      </c>
      <c r="D688" s="23"/>
      <c r="E688" s="23"/>
      <c r="F688" s="23"/>
      <c r="G688" s="3" t="s">
        <v>1362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3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4"/>
        <v>0</v>
      </c>
      <c r="AH688" s="51" t="str">
        <f t="shared" si="35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t="14.4" hidden="1" x14ac:dyDescent="0.35">
      <c r="A689" s="22" t="s">
        <v>1462</v>
      </c>
      <c r="B689" s="2"/>
      <c r="C689" s="21">
        <v>4.75</v>
      </c>
      <c r="D689" s="23"/>
      <c r="E689" s="23"/>
      <c r="F689" s="23"/>
      <c r="G689" s="3" t="s">
        <v>1362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3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4"/>
        <v>0</v>
      </c>
      <c r="AH689" s="51" t="str">
        <f t="shared" si="35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t="14.4" hidden="1" x14ac:dyDescent="0.35">
      <c r="A690" s="22" t="s">
        <v>1463</v>
      </c>
      <c r="B690" s="2"/>
      <c r="C690" s="21">
        <v>4.75</v>
      </c>
      <c r="D690" s="23"/>
      <c r="E690" s="23"/>
      <c r="F690" s="23"/>
      <c r="G690" s="3" t="s">
        <v>1383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3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4"/>
        <v>0</v>
      </c>
      <c r="AH690" s="51" t="str">
        <f t="shared" si="35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t="14.4" hidden="1" x14ac:dyDescent="0.35">
      <c r="A691" s="22" t="s">
        <v>1464</v>
      </c>
      <c r="B691" s="2"/>
      <c r="C691" s="21">
        <v>4.75</v>
      </c>
      <c r="D691" s="23"/>
      <c r="E691" s="23"/>
      <c r="F691" s="23"/>
      <c r="G691" s="3" t="s">
        <v>1357</v>
      </c>
      <c r="H691" s="6"/>
      <c r="I691" s="6"/>
      <c r="J691" s="6"/>
      <c r="K691" s="21"/>
      <c r="L691" s="21" t="s">
        <v>1358</v>
      </c>
      <c r="M691" s="6"/>
      <c r="N691" s="6"/>
      <c r="O691" s="6"/>
      <c r="P691" s="6"/>
      <c r="Q691" s="27"/>
      <c r="R691" s="27" t="s">
        <v>187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3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4"/>
        <v>0</v>
      </c>
      <c r="AH691" s="51" t="str">
        <f t="shared" si="35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t="14.4" hidden="1" x14ac:dyDescent="0.35">
      <c r="A692" s="22" t="s">
        <v>1465</v>
      </c>
      <c r="B692" s="2"/>
      <c r="C692" s="21">
        <v>4.75</v>
      </c>
      <c r="D692" s="23"/>
      <c r="E692" s="23"/>
      <c r="F692" s="23"/>
      <c r="G692" s="3" t="s">
        <v>1357</v>
      </c>
      <c r="H692" s="6"/>
      <c r="I692" s="6"/>
      <c r="J692" s="6"/>
      <c r="K692" s="21"/>
      <c r="L692" s="21" t="s">
        <v>1358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3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4"/>
        <v>0</v>
      </c>
      <c r="AH692" s="51" t="str">
        <f t="shared" si="35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t="14.4" hidden="1" x14ac:dyDescent="0.35">
      <c r="A693" s="22" t="s">
        <v>1466</v>
      </c>
      <c r="B693" s="2"/>
      <c r="C693" s="21">
        <v>4.75</v>
      </c>
      <c r="D693" s="23"/>
      <c r="E693" s="23"/>
      <c r="F693" s="23"/>
      <c r="G693" s="3" t="s">
        <v>1357</v>
      </c>
      <c r="H693" s="6"/>
      <c r="I693" s="6"/>
      <c r="J693" s="6"/>
      <c r="K693" s="21"/>
      <c r="L693" s="21" t="s">
        <v>1358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3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4"/>
        <v>0</v>
      </c>
      <c r="AH693" s="51" t="str">
        <f t="shared" si="35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t="14.4" hidden="1" x14ac:dyDescent="0.35">
      <c r="A694" s="22" t="s">
        <v>1080</v>
      </c>
      <c r="B694" s="2"/>
      <c r="C694" s="21">
        <v>5</v>
      </c>
      <c r="D694" s="23"/>
      <c r="E694" s="23"/>
      <c r="F694" s="23"/>
      <c r="G694" s="3" t="s">
        <v>1467</v>
      </c>
      <c r="H694" s="6"/>
      <c r="I694" s="6"/>
      <c r="J694" s="6"/>
      <c r="K694" s="21"/>
      <c r="L694" s="21" t="s">
        <v>1358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3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4"/>
        <v>0</v>
      </c>
      <c r="AH694" s="51" t="str">
        <f t="shared" si="35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t="14.4" hidden="1" x14ac:dyDescent="0.35">
      <c r="A695" s="22" t="s">
        <v>1468</v>
      </c>
      <c r="B695" s="2"/>
      <c r="C695" s="21">
        <v>5.75</v>
      </c>
      <c r="D695" s="23"/>
      <c r="E695" s="23"/>
      <c r="F695" s="23"/>
      <c r="G695" s="3" t="s">
        <v>1390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187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3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4"/>
        <v>0</v>
      </c>
      <c r="AH695" s="51" t="str">
        <f t="shared" si="35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t="14.4" hidden="1" x14ac:dyDescent="0.35">
      <c r="A696" s="22" t="s">
        <v>1469</v>
      </c>
      <c r="B696" s="2"/>
      <c r="C696" s="21">
        <v>6</v>
      </c>
      <c r="D696" s="23"/>
      <c r="E696" s="23"/>
      <c r="F696" s="23"/>
      <c r="G696" s="3" t="s">
        <v>1467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3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4"/>
        <v>0</v>
      </c>
      <c r="AH696" s="51" t="str">
        <f t="shared" si="35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t="14.4" hidden="1" x14ac:dyDescent="0.35">
      <c r="A697" s="22" t="s">
        <v>1470</v>
      </c>
      <c r="B697" s="2"/>
      <c r="C697" s="21">
        <v>6</v>
      </c>
      <c r="D697" s="23"/>
      <c r="E697" s="23"/>
      <c r="F697" s="23"/>
      <c r="G697" s="3" t="s">
        <v>1362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3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4"/>
        <v>0</v>
      </c>
      <c r="AH697" s="51" t="str">
        <f t="shared" si="35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t="14.4" hidden="1" x14ac:dyDescent="0.35">
      <c r="A698" s="22" t="s">
        <v>1471</v>
      </c>
      <c r="B698" s="2"/>
      <c r="C698" s="21">
        <v>6</v>
      </c>
      <c r="D698" s="23"/>
      <c r="E698" s="23"/>
      <c r="F698" s="23"/>
      <c r="G698" s="3" t="s">
        <v>1362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187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3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4"/>
        <v>0</v>
      </c>
      <c r="AH698" s="51" t="str">
        <f t="shared" si="35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t="14.4" hidden="1" x14ac:dyDescent="0.35">
      <c r="A699" s="22" t="s">
        <v>1472</v>
      </c>
      <c r="B699" s="2"/>
      <c r="C699" s="21">
        <v>6.3</v>
      </c>
      <c r="D699" s="23"/>
      <c r="E699" s="23"/>
      <c r="F699" s="23"/>
      <c r="G699" s="3" t="s">
        <v>1362</v>
      </c>
      <c r="H699" s="4"/>
      <c r="I699" s="4"/>
      <c r="J699" s="4"/>
      <c r="K699" s="5"/>
      <c r="L699" s="5" t="s">
        <v>1358</v>
      </c>
      <c r="M699" s="4"/>
      <c r="N699" s="4"/>
      <c r="O699" s="4"/>
      <c r="P699" s="4"/>
      <c r="Q699" s="24"/>
      <c r="R699" s="27" t="s">
        <v>187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3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4"/>
        <v>0</v>
      </c>
      <c r="AH699" s="51" t="str">
        <f t="shared" si="35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t="14.4" hidden="1" x14ac:dyDescent="0.35">
      <c r="A700" s="22" t="s">
        <v>1473</v>
      </c>
      <c r="B700" s="2"/>
      <c r="C700" s="21">
        <v>8</v>
      </c>
      <c r="D700" s="23"/>
      <c r="E700" s="23"/>
      <c r="F700" s="23"/>
      <c r="G700" s="3" t="s">
        <v>1362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3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4"/>
        <v>0</v>
      </c>
      <c r="AH700" s="51" t="str">
        <f t="shared" si="35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t="14.4" hidden="1" x14ac:dyDescent="0.35">
      <c r="A701" s="22" t="s">
        <v>1108</v>
      </c>
      <c r="B701" s="2"/>
      <c r="C701" s="21">
        <v>9.5</v>
      </c>
      <c r="D701" s="23"/>
      <c r="E701" s="23"/>
      <c r="F701" s="23"/>
      <c r="G701" s="3" t="s">
        <v>1371</v>
      </c>
      <c r="H701" s="6"/>
      <c r="I701" s="6"/>
      <c r="J701" s="6"/>
      <c r="K701" s="21"/>
      <c r="L701" s="21" t="s">
        <v>1366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3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4"/>
        <v>0</v>
      </c>
      <c r="AH701" s="51" t="str">
        <f t="shared" si="35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t="14.4" hidden="1" x14ac:dyDescent="0.35">
      <c r="A702" s="22" t="s">
        <v>1474</v>
      </c>
      <c r="B702" s="2"/>
      <c r="C702" s="21">
        <v>9.75</v>
      </c>
      <c r="D702" s="23"/>
      <c r="E702" s="23"/>
      <c r="F702" s="23"/>
      <c r="G702" s="3" t="s">
        <v>1404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187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3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4"/>
        <v>0</v>
      </c>
      <c r="AH702" s="51" t="str">
        <f t="shared" si="35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t="14.4" hidden="1" x14ac:dyDescent="0.35">
      <c r="A703" s="22" t="s">
        <v>1475</v>
      </c>
      <c r="B703" s="2"/>
      <c r="C703" s="21">
        <v>9.75</v>
      </c>
      <c r="D703" s="23"/>
      <c r="E703" s="23"/>
      <c r="F703" s="23"/>
      <c r="G703" s="3" t="s">
        <v>1404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3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4"/>
        <v>0</v>
      </c>
      <c r="AH703" s="51" t="str">
        <f t="shared" si="35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t="14.4" hidden="1" x14ac:dyDescent="0.35">
      <c r="A704" s="22" t="s">
        <v>1476</v>
      </c>
      <c r="B704" s="2"/>
      <c r="C704" s="21">
        <v>11.75</v>
      </c>
      <c r="D704" s="23"/>
      <c r="E704" s="23"/>
      <c r="F704" s="23"/>
      <c r="G704" s="3" t="s">
        <v>762</v>
      </c>
      <c r="H704" s="6"/>
      <c r="I704" s="6"/>
      <c r="J704" s="6"/>
      <c r="K704" s="21"/>
      <c r="L704" s="21" t="s">
        <v>1358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3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4"/>
        <v>0</v>
      </c>
      <c r="AH704" s="51" t="str">
        <f t="shared" si="35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t="14.4" hidden="1" x14ac:dyDescent="0.35">
      <c r="A705" s="22" t="s">
        <v>1477</v>
      </c>
      <c r="B705" s="2"/>
      <c r="C705" s="21">
        <v>12</v>
      </c>
      <c r="D705" s="23"/>
      <c r="E705" s="23"/>
      <c r="F705" s="23"/>
      <c r="G705" s="3" t="s">
        <v>1432</v>
      </c>
      <c r="H705" s="6"/>
      <c r="I705" s="6"/>
      <c r="J705" s="6"/>
      <c r="K705" s="21"/>
      <c r="L705" s="21" t="s">
        <v>1354</v>
      </c>
      <c r="M705" s="6"/>
      <c r="N705" s="6"/>
      <c r="O705" s="6"/>
      <c r="P705" s="6"/>
      <c r="Q705" s="27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3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4"/>
        <v>0</v>
      </c>
      <c r="AH705" s="51" t="str">
        <f t="shared" si="35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t="14.4" hidden="1" x14ac:dyDescent="0.35">
      <c r="A706" s="22" t="s">
        <v>1478</v>
      </c>
      <c r="B706" s="2"/>
      <c r="C706" s="21">
        <v>1.4</v>
      </c>
      <c r="D706" s="23"/>
      <c r="E706" s="23"/>
      <c r="F706" s="23"/>
      <c r="G706" s="3" t="s">
        <v>524</v>
      </c>
      <c r="H706" s="6"/>
      <c r="I706" s="6"/>
      <c r="J706" s="6"/>
      <c r="K706" s="21"/>
      <c r="L706" s="21" t="s">
        <v>764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3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4"/>
        <v>0</v>
      </c>
      <c r="AH706" s="51" t="str">
        <f t="shared" si="35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t="14.4" hidden="1" x14ac:dyDescent="0.35">
      <c r="A707" s="22" t="s">
        <v>1479</v>
      </c>
      <c r="B707" s="2"/>
      <c r="C707" s="21">
        <v>1.4</v>
      </c>
      <c r="D707" s="23"/>
      <c r="E707" s="23"/>
      <c r="F707" s="23"/>
      <c r="G707" s="3" t="s">
        <v>524</v>
      </c>
      <c r="H707" s="6"/>
      <c r="I707" s="6"/>
      <c r="J707" s="6"/>
      <c r="K707" s="21"/>
      <c r="L707" s="21" t="s">
        <v>764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ref="Y707" si="36"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 t="shared" ref="AG707" si="37">COUNTIF(Z707:AF707,"X")/7</f>
        <v>0</v>
      </c>
      <c r="AH707" s="51" t="str">
        <f t="shared" ref="AH707" si="38">IF(AG707=100%,Y707," ")</f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x14ac:dyDescent="0.35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39">SUBTOTAL(9,T709:T1413)</f>
        <v>0</v>
      </c>
      <c r="U708" s="46">
        <f t="shared" si="39"/>
        <v>0</v>
      </c>
      <c r="V708" s="46">
        <f t="shared" si="39"/>
        <v>0</v>
      </c>
      <c r="W708" s="46">
        <f t="shared" si="39"/>
        <v>0</v>
      </c>
      <c r="X708" s="46">
        <f t="shared" si="39"/>
        <v>0</v>
      </c>
      <c r="Y708" s="46">
        <f t="shared" si="39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1480</v>
      </c>
      <c r="AJ708" s="46"/>
      <c r="AK708" s="63"/>
      <c r="AL708" s="46"/>
      <c r="AM708" s="46"/>
      <c r="AN708" s="83"/>
    </row>
    <row r="713" spans="1:40" x14ac:dyDescent="0.35">
      <c r="AA713" s="73"/>
      <c r="AB713" s="73"/>
      <c r="AC713" s="73"/>
    </row>
    <row r="714" spans="1:40" x14ac:dyDescent="0.35">
      <c r="Z714" s="73"/>
      <c r="AA714" s="73"/>
      <c r="AB714" s="73"/>
      <c r="AC714" s="73"/>
    </row>
    <row r="715" spans="1:40" x14ac:dyDescent="0.35">
      <c r="Z715" s="73"/>
      <c r="AA715" s="73"/>
      <c r="AB715" s="73"/>
    </row>
    <row r="716" spans="1:40" x14ac:dyDescent="0.35">
      <c r="Z716" s="73"/>
    </row>
    <row r="717" spans="1:40" x14ac:dyDescent="0.35">
      <c r="Z717" s="73"/>
      <c r="AA717" s="73"/>
      <c r="AB717" s="73"/>
    </row>
  </sheetData>
  <autoFilter ref="A2:AL707" xr:uid="{2AA437EE-405D-4A43-9EB9-23F1BEB36011}">
    <filterColumn colId="2">
      <filters>
        <filter val="2,50"/>
        <filter val="2,65"/>
      </filters>
    </filterColumn>
    <filterColumn colId="17">
      <filters>
        <filter val="Ferraz"/>
      </filters>
    </filterColumn>
    <sortState xmlns:xlrd2="http://schemas.microsoft.com/office/spreadsheetml/2017/richdata2" ref="A3:AL278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08" xr:uid="{9319459A-71C7-4E4C-B697-82B431D05145}">
      <formula1>"X"</formula1>
    </dataValidation>
    <dataValidation type="list" allowBlank="1" showInputMessage="1" showErrorMessage="1" sqref="AN3:AN708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6" x14ac:dyDescent="0.35">
      <c r="A1" s="69" t="s">
        <v>1481</v>
      </c>
      <c r="B1" s="69" t="s">
        <v>1482</v>
      </c>
      <c r="C1" s="70" t="s">
        <v>1483</v>
      </c>
      <c r="D1" s="69" t="s">
        <v>1484</v>
      </c>
      <c r="E1" s="69" t="s">
        <v>1485</v>
      </c>
      <c r="F1" s="69" t="s">
        <v>1486</v>
      </c>
    </row>
    <row r="2" spans="1:6" x14ac:dyDescent="0.35">
      <c r="A2" t="s">
        <v>755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 x14ac:dyDescent="0.35">
      <c r="A3" t="s">
        <v>49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 x14ac:dyDescent="0.35">
      <c r="A4" t="s">
        <v>151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129115.21333333336</v>
      </c>
    </row>
    <row r="5" spans="1:6" x14ac:dyDescent="0.35">
      <c r="A5" t="s">
        <v>187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5">
      <c r="A6" s="53" t="s">
        <v>1487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477201.14416666667</v>
      </c>
    </row>
    <row r="9" spans="1:6" x14ac:dyDescent="0.35">
      <c r="A9" s="69" t="s">
        <v>1488</v>
      </c>
      <c r="B9" s="69" t="s">
        <v>1489</v>
      </c>
      <c r="C9" s="69" t="s">
        <v>1490</v>
      </c>
      <c r="D9" s="69" t="s">
        <v>1491</v>
      </c>
      <c r="E9" s="69" t="s">
        <v>1492</v>
      </c>
    </row>
    <row r="10" spans="1:6" x14ac:dyDescent="0.35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 x14ac:dyDescent="0.35">
      <c r="A11" s="47" t="s">
        <v>1132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97932.180833333317</v>
      </c>
    </row>
    <row r="12" spans="1:6" x14ac:dyDescent="0.35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5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 x14ac:dyDescent="0.35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5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5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5">
      <c r="A17" s="47" t="s">
        <v>1144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5">
      <c r="A18" s="47" t="s">
        <v>840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5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5">
      <c r="A20" s="47" t="s">
        <v>1160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5">
      <c r="A21" s="47" t="s">
        <v>871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5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5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5">
      <c r="A24" s="47" t="s">
        <v>1358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5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5">
      <c r="A26" s="47" t="s">
        <v>1217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5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5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5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5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5">
      <c r="A31" s="47" t="s">
        <v>878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5">
      <c r="A32" s="47" t="s">
        <v>1354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5">
      <c r="A33" s="47" t="s">
        <v>896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5">
      <c r="A34" s="47" t="s">
        <v>1363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5">
      <c r="A35" s="47" t="s">
        <v>924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5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5">
      <c r="A37" s="47" t="s">
        <v>938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1391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1413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5">
      <c r="A42" s="59" t="s">
        <v>1487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477201.14416666667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terms/"/>
    <ds:schemaRef ds:uri="f5ab1930-d403-4c69-b2cd-8cc48f527d10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c06ce65c-ed18-47f4-a957-afd315448c9c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Elio Pereira da Silva</cp:lastModifiedBy>
  <cp:revision/>
  <dcterms:created xsi:type="dcterms:W3CDTF">2026-01-28T19:47:17Z</dcterms:created>
  <dcterms:modified xsi:type="dcterms:W3CDTF">2026-05-11T20:35:57Z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