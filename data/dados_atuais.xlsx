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683" documentId="1_{DDE4A242-D13A-46DE-8B65-653B9F6ECEB2}" xr6:coauthVersionLast="47" xr6:coauthVersionMax="47" xr10:uidLastSave="{3BF31522-63C2-44F2-92E2-6243D55F93EA}"/>
  <bookViews>
    <workbookView xWindow="-110" yWindow="-110" windowWidth="19420" windowHeight="10300" tabRatio="598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9" i="1" l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<sst xmlns="http://schemas.openxmlformats.org/spreadsheetml/2006/main" count="7283" uniqueCount="1453">
  <si>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</si>
  <si>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</si>
  <si>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</si>
  <si>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</si>
  <si>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</si>
  <si>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</si>
  <si>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</si>
  <si>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</si>
  <si>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</si>
  <si>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</si>
  <si>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</si>
  <si>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</si>
  <si>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</si>
  <si>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</si>
  <si>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</si>
  <si>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</si>
  <si>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</si>
  <si>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</si>
  <si>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</si>
  <si>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</si>
  <si>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</si>
  <si>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</si>
  <si>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</si>
  <si>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</si>
  <si>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</si>
  <si>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</si>
  <si>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</si>
  <si>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</si>
  <si>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</si>
  <si>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</si>
  <si>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</si>
  <si>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</si>
  <si>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</si>
  <si>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</si>
  <si>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</si>
  <si>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</si>
  <si>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</si>
  <si>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</si>
  <si>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</si>
  <si>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</si>
  <si>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</si>
  <si>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</si>
  <si>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</si>
  <si>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</si>
  <si>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</si>
  <si>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</si>
  <si>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</si>
  <si>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</si>
  <si>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</si>
  <si>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</si>
  <si>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</si>
  <si>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</si>
  <si>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</si>
  <si>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</si>
  <si>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</si>
  <si>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</si>
  <si>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</si>
  <si>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</si>
  <si>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</si>
  <si>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</si>
  <si>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</si>
  <si>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</si>
  <si>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</si>
  <si>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</si>
  <si>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</si>
  <si>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</si>
  <si>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</si>
  <si>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</si>
  <si>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</si>
  <si>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</si>
  <si>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</si>
  <si>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</si>
  <si>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</si>
  <si>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</si>
  <si>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</si>
  <si>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</si>
  <si>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</si>
  <si>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</si>
  <si>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</si>
  <si>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</si>
  <si>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</si>
  <si>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</si>
  <si>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</si>
  <si>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</si>
  <si>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</si>
  <si>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</si>
  <si>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</si>
  <si>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</si>
  <si>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</si>
  <si>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</si>
  <si>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</si>
  <si>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</si>
  <si>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</si>
  <si>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</si>
  <si>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</si>
  <si>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</si>
  <si>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</si>
  <si>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</si>
  <si>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</si>
  <si>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</si>
  <si>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</si>
  <si>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</si>
  <si>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</si>
  <si>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</si>
  <si>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</si>
  <si>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</si>
  <si>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</si>
  <si>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</si>
  <si>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</si>
  <si>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</si>
  <si>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</si>
  <si>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</si>
  <si>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</si>
  <si>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</si>
  <si>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</si>
  <si>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</si>
  <si>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</si>
  <si>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</si>
  <si>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</si>
  <si>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</si>
  <si>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</si>
  <si>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</si>
  <si>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</si>
  <si>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</si>
  <si>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</si>
  <si>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</si>
  <si>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</si>
  <si>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</si>
  <si>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</si>
  <si>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</si>
  <si>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</si>
  <si>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</si>
  <si>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</si>
  <si>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</si>
  <si>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</si>
  <si>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</si>
  <si>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</si>
  <si>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</si>
  <si>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</si>
  <si>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</si>
  <si>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</si>
  <si>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</si>
  <si>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</si>
  <si>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</si>
  <si>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</si>
  <si>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</si>
  <si>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</si>
  <si>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</si>
  <si>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</si>
  <si>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</si>
  <si>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</si>
  <si>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</si>
  <si>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</si>
  <si>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</si>
  <si>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</si>
  <si>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</si>
  <si>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</si>
  <si>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</si>
  <si>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</si>
  <si>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</si>
  <si>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</si>
  <si>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</si>
  <si>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</si>
  <si>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</si>
  <si>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</si>
  <si>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</si>
  <si>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</si>
  <si>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</si>
  <si>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</si>
  <si>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</si>
  <si>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</si>
  <si>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</si>
  <si>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</si>
  <si>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</si>
  <si>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</si>
  <si>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</si>
  <si>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</si>
  <si>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</si>
  <si>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</si>
  <si>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</si>
  <si>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</si>
  <si>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</si>
  <si>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</si>
  <si>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</si>
  <si>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</si>
  <si>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</si>
  <si>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</si>
  <si>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</si>
  <si>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</si>
  <si>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</si>
  <si>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</si>
  <si>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</si>
  <si>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</si>
  <si>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</si>
  <si>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</si>
  <si>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</si>
  <si>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</si>
  <si>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</si>
  <si>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</si>
  <si>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</si>
  <si>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</si>
  <si>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</si>
  <si>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</si>
  <si>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</si>
  <si>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 xml:space="preserve">Em aálise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</si>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</sst>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0.82119806975393295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0.8205761364717794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293333.73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801639.24083333323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1081.3481019999997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BOQ0630IH1300</v>
          </cell>
        </row>
        <row r="33">
          <cell r="A33" t="str">
            <v>B</v>
          </cell>
          <cell r="B33" t="str">
            <v>BOQ0475EJ1400</v>
          </cell>
        </row>
        <row r="34">
          <cell r="A34" t="str">
            <v>B</v>
          </cell>
          <cell r="B34" t="str">
            <v>BOQ0800ZN1300</v>
          </cell>
        </row>
        <row r="35">
          <cell r="A35" t="str">
            <v>B</v>
          </cell>
          <cell r="B35" t="str">
            <v>BOQ0600LA1050</v>
          </cell>
        </row>
        <row r="36">
          <cell r="A36" t="str">
            <v>B</v>
          </cell>
          <cell r="B36" t="str">
            <v>BOQ0800IH1200</v>
          </cell>
        </row>
        <row r="37">
          <cell r="A37" t="str">
            <v>B</v>
          </cell>
          <cell r="B37" t="str">
            <v>BOQ0875AS1400</v>
          </cell>
        </row>
        <row r="38">
          <cell r="A38" t="str">
            <v>B</v>
          </cell>
          <cell r="B38" t="str">
            <v>BOQ0800ZL1220</v>
          </cell>
        </row>
        <row r="39">
          <cell r="A39" t="str">
            <v>B</v>
          </cell>
          <cell r="B39" t="str">
            <v>BOQ0300JU1220</v>
          </cell>
        </row>
        <row r="40">
          <cell r="A40" t="str">
            <v>B</v>
          </cell>
          <cell r="B40" t="str">
            <v>BOQ0630LA1220</v>
          </cell>
        </row>
        <row r="41">
          <cell r="A41" t="str">
            <v>B</v>
          </cell>
          <cell r="B41" t="str">
            <v>BOQ0300BF1200</v>
          </cell>
        </row>
        <row r="42">
          <cell r="A42" t="str">
            <v>B</v>
          </cell>
          <cell r="B42" t="str">
            <v>BOQ0800AP1200</v>
          </cell>
        </row>
        <row r="43">
          <cell r="A43" t="str">
            <v>B</v>
          </cell>
          <cell r="B43" t="str">
            <v>BOQ0350EA1200</v>
          </cell>
        </row>
        <row r="44">
          <cell r="A44" t="str">
            <v>B</v>
          </cell>
          <cell r="B44" t="str">
            <v>BOQ0300ED1200</v>
          </cell>
        </row>
        <row r="45">
          <cell r="A45" t="str">
            <v>B</v>
          </cell>
          <cell r="B45" t="str">
            <v>BOQ1075BA1250</v>
          </cell>
        </row>
        <row r="46">
          <cell r="A46" t="str">
            <v>B</v>
          </cell>
          <cell r="B46" t="str">
            <v>BOQ0300LN1200</v>
          </cell>
        </row>
        <row r="47">
          <cell r="A47" t="str">
            <v>B</v>
          </cell>
          <cell r="B47" t="str">
            <v>BOQ0200EJ1200</v>
          </cell>
        </row>
        <row r="48">
          <cell r="A48" t="str">
            <v>B</v>
          </cell>
          <cell r="B48" t="str">
            <v>BOQ0300DX1200</v>
          </cell>
        </row>
        <row r="49">
          <cell r="A49" t="str">
            <v>B</v>
          </cell>
          <cell r="B49" t="str">
            <v>CHQ1600EB12002000</v>
          </cell>
        </row>
        <row r="50">
          <cell r="A50" t="str">
            <v>B</v>
          </cell>
          <cell r="B50" t="str">
            <v>BOQ0300EB1150</v>
          </cell>
        </row>
        <row r="51">
          <cell r="A51" t="str">
            <v>B</v>
          </cell>
          <cell r="B51" t="str">
            <v>BOQ1200AT1100</v>
          </cell>
        </row>
        <row r="52">
          <cell r="A52" t="str">
            <v>B</v>
          </cell>
          <cell r="B52" t="str">
            <v>BOQ0400EJ1350</v>
          </cell>
        </row>
        <row r="53">
          <cell r="A53" t="str">
            <v>B</v>
          </cell>
          <cell r="B53" t="str">
            <v>BOQ0400ED1200</v>
          </cell>
        </row>
        <row r="54">
          <cell r="A54" t="str">
            <v>B</v>
          </cell>
          <cell r="B54" t="str">
            <v>BOQ0950AT1200</v>
          </cell>
        </row>
        <row r="55">
          <cell r="A55" t="str">
            <v>B</v>
          </cell>
          <cell r="B55" t="str">
            <v>BOF0150AK1030</v>
          </cell>
        </row>
        <row r="56">
          <cell r="A56" t="str">
            <v>B</v>
          </cell>
          <cell r="B56" t="str">
            <v>CHQ0300AO12003000</v>
          </cell>
        </row>
        <row r="57">
          <cell r="A57" t="str">
            <v>B</v>
          </cell>
          <cell r="B57" t="str">
            <v>CHQ0300EA11502550</v>
          </cell>
        </row>
        <row r="58">
          <cell r="A58" t="str">
            <v>B</v>
          </cell>
          <cell r="B58" t="str">
            <v>BOQ0600AV1200</v>
          </cell>
        </row>
        <row r="59">
          <cell r="A59" t="str">
            <v>B</v>
          </cell>
          <cell r="B59" t="str">
            <v>BOF0150AK1200</v>
          </cell>
        </row>
        <row r="60">
          <cell r="A60" t="str">
            <v>B</v>
          </cell>
          <cell r="B60" t="str">
            <v>BOQ0800JW1200</v>
          </cell>
        </row>
        <row r="61">
          <cell r="A61" t="str">
            <v>B</v>
          </cell>
          <cell r="B61" t="str">
            <v>BOQ0950AS1200</v>
          </cell>
        </row>
        <row r="62">
          <cell r="A62" t="str">
            <v>B</v>
          </cell>
          <cell r="B62" t="str">
            <v>CHQ0600AP12002000</v>
          </cell>
        </row>
        <row r="63">
          <cell r="A63" t="str">
            <v>B</v>
          </cell>
          <cell r="B63" t="str">
            <v>CHQ0400AO12503000</v>
          </cell>
        </row>
        <row r="64">
          <cell r="A64" t="str">
            <v>B</v>
          </cell>
          <cell r="B64" t="str">
            <v>CHQ0400EA12002000</v>
          </cell>
        </row>
        <row r="65">
          <cell r="A65" t="str">
            <v>B</v>
          </cell>
          <cell r="B65" t="str">
            <v>CHQ0300EE10001600</v>
          </cell>
        </row>
        <row r="66">
          <cell r="A66" t="str">
            <v>B</v>
          </cell>
          <cell r="B66" t="str">
            <v>CHQ0400EE12002100</v>
          </cell>
        </row>
        <row r="67">
          <cell r="A67" t="str">
            <v>B</v>
          </cell>
          <cell r="B67" t="str">
            <v>BOQ0600LN1400</v>
          </cell>
        </row>
        <row r="68">
          <cell r="A68" t="str">
            <v>B</v>
          </cell>
          <cell r="B68" t="str">
            <v>CHQ0700AO12002360</v>
          </cell>
        </row>
        <row r="69">
          <cell r="A69" t="str">
            <v>B</v>
          </cell>
          <cell r="B69" t="str">
            <v>CHQ0300EG12002000</v>
          </cell>
        </row>
        <row r="70">
          <cell r="A70" t="str">
            <v>B</v>
          </cell>
          <cell r="B70" t="str">
            <v>CHQ0400DT11501500</v>
          </cell>
        </row>
        <row r="71">
          <cell r="A71" t="str">
            <v>C</v>
          </cell>
          <cell r="B71" t="str">
            <v>CHQ0475DZ12502880</v>
          </cell>
        </row>
        <row r="72">
          <cell r="A72" t="str">
            <v>C</v>
          </cell>
          <cell r="B72" t="str">
            <v>CHQ0950AO12502890</v>
          </cell>
        </row>
        <row r="73">
          <cell r="A73" t="str">
            <v>C</v>
          </cell>
          <cell r="B73" t="str">
            <v>CHQ0300EA11502450</v>
          </cell>
        </row>
        <row r="74">
          <cell r="A74" t="str">
            <v>C</v>
          </cell>
          <cell r="B74" t="str">
            <v>CHQ0475AP12002000</v>
          </cell>
        </row>
        <row r="75">
          <cell r="A75" t="str">
            <v>C</v>
          </cell>
          <cell r="B75" t="str">
            <v>BOQ0400EG1200</v>
          </cell>
        </row>
        <row r="76">
          <cell r="A76" t="str">
            <v>C</v>
          </cell>
          <cell r="B76" t="str">
            <v>BOQ0200LN1200</v>
          </cell>
        </row>
        <row r="77">
          <cell r="A77" t="str">
            <v>C</v>
          </cell>
          <cell r="B77" t="str">
            <v>CHF0190AL12001030</v>
          </cell>
        </row>
        <row r="78">
          <cell r="A78" t="str">
            <v>C</v>
          </cell>
          <cell r="B78" t="str">
            <v>CHQ0200AO11502840</v>
          </cell>
        </row>
        <row r="79">
          <cell r="A79" t="str">
            <v>C</v>
          </cell>
          <cell r="B79" t="str">
            <v>BOQ0800AT1300</v>
          </cell>
        </row>
        <row r="80">
          <cell r="A80" t="str">
            <v>C</v>
          </cell>
          <cell r="B80" t="str">
            <v>BOQ0200ED1200</v>
          </cell>
        </row>
        <row r="81">
          <cell r="A81" t="str">
            <v>C</v>
          </cell>
          <cell r="B81" t="str">
            <v>BLD0150DP04901150</v>
          </cell>
        </row>
        <row r="82">
          <cell r="A82" t="str">
            <v>C</v>
          </cell>
          <cell r="B82" t="str">
            <v>CHQ0475AV12002000</v>
          </cell>
        </row>
        <row r="83">
          <cell r="A83" t="str">
            <v>C</v>
          </cell>
          <cell r="B83" t="str">
            <v>CHQ1250AS12002900</v>
          </cell>
        </row>
        <row r="84">
          <cell r="A84" t="str">
            <v>C</v>
          </cell>
          <cell r="B84" t="str">
            <v>BOQ0950DM1200</v>
          </cell>
        </row>
        <row r="85">
          <cell r="A85" t="str">
            <v>C</v>
          </cell>
          <cell r="B85" t="str">
            <v>BLD0150DP04901230</v>
          </cell>
        </row>
        <row r="86">
          <cell r="A86" t="str">
            <v>C</v>
          </cell>
          <cell r="B86" t="str">
            <v>BOQ1100AY1050</v>
          </cell>
        </row>
        <row r="87">
          <cell r="A87" t="str">
            <v>C</v>
          </cell>
          <cell r="B87" t="str">
            <v>CHQ0250AO12002000</v>
          </cell>
        </row>
        <row r="88">
          <cell r="A88" t="str">
            <v>C</v>
          </cell>
          <cell r="B88" t="str">
            <v>BOZ0150CV1200</v>
          </cell>
        </row>
        <row r="89">
          <cell r="A89" t="str">
            <v>C</v>
          </cell>
          <cell r="B89" t="str">
            <v>CHQ0600AV12002000</v>
          </cell>
        </row>
        <row r="90">
          <cell r="A90" t="str">
            <v>C</v>
          </cell>
          <cell r="B90" t="str">
            <v>CHQ0700AS10002000</v>
          </cell>
        </row>
        <row r="91">
          <cell r="A91" t="str">
            <v>C</v>
          </cell>
          <cell r="B91" t="str">
            <v>CHQ0200EH12002000</v>
          </cell>
        </row>
        <row r="92">
          <cell r="A92" t="str">
            <v>C</v>
          </cell>
          <cell r="B92" t="str">
            <v>CHQ0700AQ12002000</v>
          </cell>
        </row>
        <row r="93">
          <cell r="A93" t="str">
            <v>C</v>
          </cell>
          <cell r="B93" t="str">
            <v>CHF0200AH12002000</v>
          </cell>
        </row>
        <row r="94">
          <cell r="A94" t="str">
            <v>C</v>
          </cell>
          <cell r="B94" t="str">
            <v>BOQ0200AT1100</v>
          </cell>
        </row>
        <row r="95">
          <cell r="A95" t="str">
            <v>C</v>
          </cell>
          <cell r="B95" t="str">
            <v>BOQ0600DW1200</v>
          </cell>
        </row>
        <row r="96">
          <cell r="A96" t="str">
            <v>C</v>
          </cell>
          <cell r="B96" t="str">
            <v>BOQ0600KX1220</v>
          </cell>
        </row>
        <row r="97">
          <cell r="A97" t="str">
            <v>C</v>
          </cell>
          <cell r="B97" t="str">
            <v>BOQ0265DX1200</v>
          </cell>
        </row>
        <row r="98">
          <cell r="A98" t="str">
            <v>C</v>
          </cell>
          <cell r="B98" t="str">
            <v>CHQ0400EJ13501850</v>
          </cell>
        </row>
        <row r="99">
          <cell r="A99" t="str">
            <v>C</v>
          </cell>
          <cell r="B99" t="str">
            <v>CHQ0400EE12002000</v>
          </cell>
        </row>
        <row r="100">
          <cell r="A100" t="str">
            <v>C</v>
          </cell>
          <cell r="B100" t="str">
            <v>BOQ0775LN1100</v>
          </cell>
        </row>
        <row r="101">
          <cell r="A101" t="str">
            <v>C</v>
          </cell>
          <cell r="B101" t="str">
            <v>CHQ0200EG10501600</v>
          </cell>
        </row>
        <row r="102">
          <cell r="A102" t="str">
            <v>C</v>
          </cell>
          <cell r="B102" t="str">
            <v>CHQ0600BF12002000</v>
          </cell>
        </row>
        <row r="103">
          <cell r="A103" t="str">
            <v>C</v>
          </cell>
          <cell r="B103" t="str">
            <v>BLD0150DP07552060</v>
          </cell>
        </row>
        <row r="104">
          <cell r="A104" t="str">
            <v>C</v>
          </cell>
          <cell r="B104" t="str">
            <v>CHF0106AH08001520</v>
          </cell>
        </row>
        <row r="105">
          <cell r="A105" t="str">
            <v>C</v>
          </cell>
          <cell r="B105" t="str">
            <v>BOF0170DH1200</v>
          </cell>
        </row>
        <row r="106">
          <cell r="A106" t="str">
            <v>C</v>
          </cell>
          <cell r="B106" t="str">
            <v>CHQ0500BF12002250</v>
          </cell>
        </row>
        <row r="107">
          <cell r="A107" t="str">
            <v>C</v>
          </cell>
          <cell r="B107" t="str">
            <v>BOQ0475SJ1230</v>
          </cell>
        </row>
        <row r="108">
          <cell r="A108" t="str">
            <v>C</v>
          </cell>
          <cell r="B108" t="str">
            <v>BLD0150DP04902000</v>
          </cell>
        </row>
        <row r="109">
          <cell r="A109" t="str">
            <v>C</v>
          </cell>
          <cell r="B109" t="str">
            <v>CHQ0600DV12002000</v>
          </cell>
        </row>
        <row r="110">
          <cell r="A110" t="str">
            <v>C</v>
          </cell>
          <cell r="B110" t="str">
            <v>BOF0170AK1030</v>
          </cell>
        </row>
        <row r="111">
          <cell r="A111" t="str">
            <v>C</v>
          </cell>
          <cell r="B111" t="str">
            <v>CHQ0425DX12002500</v>
          </cell>
        </row>
        <row r="112">
          <cell r="A112" t="str">
            <v>C</v>
          </cell>
          <cell r="B112" t="str">
            <v>CHQ0425EA12002000</v>
          </cell>
        </row>
        <row r="113">
          <cell r="A113" t="str">
            <v>C</v>
          </cell>
          <cell r="B113" t="str">
            <v>CHQ0300EJ12201400</v>
          </cell>
        </row>
        <row r="114">
          <cell r="A114" t="str">
            <v>C</v>
          </cell>
          <cell r="B114" t="str">
            <v>CHQ0200DV12002000</v>
          </cell>
        </row>
        <row r="115">
          <cell r="A115" t="str">
            <v>C</v>
          </cell>
          <cell r="B115" t="str">
            <v>CHF0150BS12002000</v>
          </cell>
        </row>
        <row r="116">
          <cell r="A116" t="str">
            <v>C</v>
          </cell>
          <cell r="B116" t="str">
            <v>BOQ0475EE1250</v>
          </cell>
        </row>
        <row r="117">
          <cell r="A117" t="str">
            <v>C</v>
          </cell>
          <cell r="B117" t="str">
            <v>BOQ1175AY1000</v>
          </cell>
        </row>
        <row r="118">
          <cell r="A118" t="str">
            <v>C</v>
          </cell>
          <cell r="B118" t="str">
            <v>CHQ1175AY10006900</v>
          </cell>
        </row>
        <row r="119">
          <cell r="A119" t="str">
            <v>C</v>
          </cell>
          <cell r="B119" t="str">
            <v>BOQ0300BF1100</v>
          </cell>
        </row>
        <row r="120">
          <cell r="A120" t="str">
            <v>C</v>
          </cell>
          <cell r="B120" t="str">
            <v>BOZ0150CD1000</v>
          </cell>
        </row>
        <row r="121">
          <cell r="A121" t="str">
            <v>C</v>
          </cell>
          <cell r="B121" t="str">
            <v>BOQ0475EJ1450</v>
          </cell>
        </row>
        <row r="122">
          <cell r="A122" t="str">
            <v>C</v>
          </cell>
          <cell r="B122" t="str">
            <v>CHQ0200EJ12001950</v>
          </cell>
        </row>
        <row r="123">
          <cell r="A123" t="str">
            <v>C</v>
          </cell>
          <cell r="B123" t="str">
            <v>CHF0150BC11002000</v>
          </cell>
        </row>
        <row r="124">
          <cell r="A124" t="str">
            <v>C</v>
          </cell>
          <cell r="B124" t="str">
            <v>BOQ1000EE1300</v>
          </cell>
        </row>
        <row r="125">
          <cell r="A125" t="str">
            <v>C</v>
          </cell>
          <cell r="B125" t="str">
            <v>CHQ0300BF12002900</v>
          </cell>
        </row>
        <row r="126">
          <cell r="A126" t="str">
            <v>C</v>
          </cell>
          <cell r="B126" t="str">
            <v>CHQ0265AP12002000</v>
          </cell>
        </row>
        <row r="127">
          <cell r="A127" t="str">
            <v>C</v>
          </cell>
          <cell r="B127" t="str">
            <v>CHF0120AH12002000</v>
          </cell>
        </row>
        <row r="128">
          <cell r="A128" t="str">
            <v>C</v>
          </cell>
          <cell r="B128" t="str">
            <v>CHF0106AH10001520</v>
          </cell>
        </row>
        <row r="129">
          <cell r="A129" t="str">
            <v>C</v>
          </cell>
          <cell r="B129" t="str">
            <v>BOF0120HJ1150</v>
          </cell>
        </row>
        <row r="130">
          <cell r="A130" t="str">
            <v>C</v>
          </cell>
          <cell r="B130" t="str">
            <v>CHF0090FH12002000</v>
          </cell>
        </row>
        <row r="131">
          <cell r="A131" t="str">
            <v>C</v>
          </cell>
          <cell r="B131" t="str">
            <v>BOQ0475EE1300</v>
          </cell>
        </row>
        <row r="132">
          <cell r="A132" t="str">
            <v>C</v>
          </cell>
          <cell r="B132" t="str">
            <v>CHQ2000BF12506000</v>
          </cell>
        </row>
        <row r="133">
          <cell r="A133" t="str">
            <v>C</v>
          </cell>
          <cell r="B133" t="str">
            <v>CHQ0400BT12001000</v>
          </cell>
        </row>
        <row r="134">
          <cell r="A134" t="str">
            <v>C</v>
          </cell>
          <cell r="B134" t="str">
            <v>BOQ0300BF1500</v>
          </cell>
        </row>
        <row r="135">
          <cell r="A135" t="str">
            <v>C</v>
          </cell>
          <cell r="B135" t="str">
            <v>CHF0100BC12002000</v>
          </cell>
        </row>
        <row r="136">
          <cell r="A136" t="str">
            <v>C</v>
          </cell>
          <cell r="B136" t="str">
            <v>CHF0190AM11001660</v>
          </cell>
        </row>
        <row r="137">
          <cell r="A137" t="str">
            <v>C</v>
          </cell>
          <cell r="B137" t="str">
            <v>BOQ0400EB1250</v>
          </cell>
        </row>
        <row r="138">
          <cell r="A138" t="str">
            <v>C</v>
          </cell>
          <cell r="B138" t="str">
            <v>CHQ0300EA10002000</v>
          </cell>
        </row>
        <row r="139">
          <cell r="A139" t="str">
            <v>C</v>
          </cell>
          <cell r="B139" t="str">
            <v>CHQ0300BF12002000</v>
          </cell>
        </row>
        <row r="140">
          <cell r="A140" t="str">
            <v>B</v>
          </cell>
          <cell r="B140" t="str">
            <v>BOQ0200DV1000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AC8" activePane="bottomRight" state="frozen"/>
      <selection pane="topRight" activeCell="B1" sqref="B1"/>
      <selection pane="bottomLeft" activeCell="A3" sqref="A3"/>
      <selection pane="bottomRight" activeCell="AM31" sqref="AM31:AM53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26953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26953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7265625" hidden="1" customWidth="1"/>
    <col min="35" max="35" width="16.453125" bestFit="1" customWidth="1"/>
    <col min="36" max="36" width="24.26953125" customWidth="1"/>
    <col min="37" max="37" width="16.453125" bestFit="1" customWidth="1"/>
    <col min="38" max="38" width="14.7265625" hidden="1" customWidth="1"/>
    <col min="39" max="39" width="91.26953125" customWidth="1"/>
    <col min="40" max="40" width="24" style="50" customWidth="1"/>
    <col min="41" max="41" width="24.26953125" style="50" customWidth="1"/>
    <col min="42" max="42" width="13.7265625" bestFit="1" customWidth="1"/>
  </cols>
  <sheetData>
    <row r="1" spans="1:41" ht="151.4" customHeight="1" x14ac:dyDescent="0.35"/>
    <row r="2" spans="1:41" ht="31.5" x14ac:dyDescent="0.3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5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" hidden="1" x14ac:dyDescent="0.35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5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5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5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x14ac:dyDescent="0.35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v>16000</v>
      </c>
      <c r="AL8" s="1"/>
      <c r="AM8" s="76" t="s">
        <v>92</v>
      </c>
      <c r="AN8" s="81"/>
      <c r="AO8" s="81" t="s">
        <v>64</v>
      </c>
    </row>
    <row r="9" spans="1:41" s="26" customFormat="1" ht="20" hidden="1" x14ac:dyDescent="0.35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5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 x14ac:dyDescent="0.35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5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5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5" hidden="1" x14ac:dyDescent="0.35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5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 hidden="1" x14ac:dyDescent="0.35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" hidden="1" x14ac:dyDescent="0.35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0" hidden="1" x14ac:dyDescent="0.35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5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 x14ac:dyDescent="0.35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5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5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5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idden="1" x14ac:dyDescent="0.35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 hidden="1" x14ac:dyDescent="0.35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 x14ac:dyDescent="0.35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5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 x14ac:dyDescent="0.35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x14ac:dyDescent="0.35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v>139203.82</v>
      </c>
      <c r="AL31" s="1"/>
      <c r="AM31" s="1" t="s">
        <v>204</v>
      </c>
      <c r="AN31" s="81"/>
      <c r="AO31" s="81"/>
    </row>
    <row r="32" spans="1:41" s="26" customFormat="1" hidden="1" x14ac:dyDescent="0.35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idden="1" x14ac:dyDescent="0.35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idden="1" x14ac:dyDescent="0.35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idden="1" x14ac:dyDescent="0.35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idden="1" x14ac:dyDescent="0.35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5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1486.11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idden="1" x14ac:dyDescent="0.35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idden="1" x14ac:dyDescent="0.35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idden="1" x14ac:dyDescent="0.35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idden="1" x14ac:dyDescent="0.35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idden="1" x14ac:dyDescent="0.35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x14ac:dyDescent="0.35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v>73095.289999999994</v>
      </c>
      <c r="AL48" s="1"/>
      <c r="AM48" s="1" t="s">
        <v>204</v>
      </c>
      <c r="AN48" s="81"/>
      <c r="AO48" s="81"/>
    </row>
    <row r="49" spans="1:41" s="26" customFormat="1" hidden="1" x14ac:dyDescent="0.35">
      <c r="A49" s="22" t="s">
        <v>269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270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271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272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273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274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275</v>
      </c>
      <c r="H51" s="12" t="s">
        <v>43</v>
      </c>
      <c r="I51" s="12"/>
      <c r="J51" s="4"/>
      <c r="K51" s="5"/>
      <c r="L51" s="5" t="s">
        <v>276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277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278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279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x14ac:dyDescent="0.35">
      <c r="A53" s="22" t="s">
        <v>280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281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v>65034.62</v>
      </c>
      <c r="AL53" s="1"/>
      <c r="AM53" s="1" t="s">
        <v>204</v>
      </c>
      <c r="AN53" s="81"/>
      <c r="AO53" s="81"/>
    </row>
    <row r="54" spans="1:41" s="26" customFormat="1" hidden="1" x14ac:dyDescent="0.35">
      <c r="A54" s="22" t="s">
        <v>282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283</v>
      </c>
      <c r="H54" s="10" t="s">
        <v>43</v>
      </c>
      <c r="I54" s="10"/>
      <c r="J54" s="6"/>
      <c r="K54" s="21"/>
      <c r="L54" s="21" t="s">
        <v>58</v>
      </c>
      <c r="M54" s="6" t="s">
        <v>284</v>
      </c>
      <c r="N54" s="6" t="s">
        <v>285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idden="1" x14ac:dyDescent="0.35">
      <c r="A55" s="22" t="s">
        <v>286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287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288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289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290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291</v>
      </c>
      <c r="AK56" s="65">
        <v>3691.54</v>
      </c>
      <c r="AL56" s="1"/>
      <c r="AM56" s="1" t="s">
        <v>292</v>
      </c>
      <c r="AN56" s="81">
        <v>46143</v>
      </c>
      <c r="AO56" s="81" t="s">
        <v>64</v>
      </c>
    </row>
    <row r="57" spans="1:41" s="26" customFormat="1" hidden="1" x14ac:dyDescent="0.35">
      <c r="A57" s="22" t="s">
        <v>293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281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hidden="1" x14ac:dyDescent="0.35">
      <c r="A58" s="22" t="s">
        <v>294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295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296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297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1" hidden="1" x14ac:dyDescent="0.35">
      <c r="A60" s="22" t="s">
        <v>298</v>
      </c>
      <c r="B60" s="2" t="s">
        <v>299</v>
      </c>
      <c r="C60" s="21">
        <v>3</v>
      </c>
      <c r="D60" s="23">
        <v>1150</v>
      </c>
      <c r="E60" s="23">
        <v>1520</v>
      </c>
      <c r="F60" s="23" t="s">
        <v>300</v>
      </c>
      <c r="G60" s="3" t="s">
        <v>301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302</v>
      </c>
      <c r="AK60" s="65">
        <v>1642.21</v>
      </c>
      <c r="AL60" s="1"/>
      <c r="AM60" s="1" t="s">
        <v>303</v>
      </c>
      <c r="AN60" s="81"/>
      <c r="AO60" s="81"/>
    </row>
    <row r="61" spans="1:41" s="26" customFormat="1" hidden="1" x14ac:dyDescent="0.35">
      <c r="A61" s="22" t="s">
        <v>304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305</v>
      </c>
      <c r="H61" s="10" t="s">
        <v>43</v>
      </c>
      <c r="I61" s="10"/>
      <c r="J61" s="6"/>
      <c r="K61" s="21"/>
      <c r="L61" s="21" t="s">
        <v>246</v>
      </c>
      <c r="M61" s="4" t="s">
        <v>306</v>
      </c>
      <c r="N61" s="6" t="s">
        <v>307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308</v>
      </c>
      <c r="AK61" s="65">
        <v>4586.75</v>
      </c>
      <c r="AL61" s="1"/>
      <c r="AM61" s="1" t="s">
        <v>309</v>
      </c>
      <c r="AN61" s="81">
        <v>46054</v>
      </c>
      <c r="AO61" s="81" t="s">
        <v>64</v>
      </c>
    </row>
    <row r="62" spans="1:41" s="26" customFormat="1" hidden="1" x14ac:dyDescent="0.35">
      <c r="A62" s="22" t="s">
        <v>310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311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312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313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314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315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316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279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317</v>
      </c>
      <c r="B65" s="2" t="s">
        <v>318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idden="1" x14ac:dyDescent="0.35">
      <c r="A66" s="22" t="s">
        <v>319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316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279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320</v>
      </c>
      <c r="B67" s="2" t="s">
        <v>202</v>
      </c>
      <c r="C67" s="21">
        <v>0.7</v>
      </c>
      <c r="D67" s="23"/>
      <c r="E67" s="23"/>
      <c r="F67" s="77"/>
      <c r="G67" s="3" t="s">
        <v>270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321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322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279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323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324</v>
      </c>
      <c r="H69" s="12" t="s">
        <v>43</v>
      </c>
      <c r="I69" s="10"/>
      <c r="J69" s="4"/>
      <c r="K69" s="5"/>
      <c r="L69" s="5" t="s">
        <v>325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326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327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idden="1" x14ac:dyDescent="0.35">
      <c r="A71" s="22" t="s">
        <v>328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329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330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331</v>
      </c>
      <c r="B72" s="2" t="s">
        <v>299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332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333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334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314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335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336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337</v>
      </c>
      <c r="B75" s="2" t="s">
        <v>299</v>
      </c>
      <c r="C75" s="21">
        <v>2.65</v>
      </c>
      <c r="D75" s="23">
        <v>1200</v>
      </c>
      <c r="E75" s="23">
        <v>2000</v>
      </c>
      <c r="F75" s="23"/>
      <c r="G75" s="3" t="s">
        <v>338</v>
      </c>
      <c r="H75" s="12" t="s">
        <v>43</v>
      </c>
      <c r="I75" s="12"/>
      <c r="J75" s="4"/>
      <c r="K75" s="5"/>
      <c r="L75" s="5" t="s">
        <v>339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340</v>
      </c>
      <c r="B76" s="2" t="s">
        <v>318</v>
      </c>
      <c r="C76" s="21">
        <v>1</v>
      </c>
      <c r="D76" s="23">
        <v>1300</v>
      </c>
      <c r="E76" s="23" t="s">
        <v>43</v>
      </c>
      <c r="F76" s="23"/>
      <c r="G76" s="3" t="s">
        <v>341</v>
      </c>
      <c r="H76" s="10" t="s">
        <v>43</v>
      </c>
      <c r="I76" s="10"/>
      <c r="J76" s="6"/>
      <c r="K76" s="21"/>
      <c r="L76" s="21" t="s">
        <v>58</v>
      </c>
      <c r="M76" s="6" t="s">
        <v>342</v>
      </c>
      <c r="N76" s="6" t="s">
        <v>343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344</v>
      </c>
      <c r="B77" s="2" t="s">
        <v>299</v>
      </c>
      <c r="C77" s="21">
        <v>2.65</v>
      </c>
      <c r="D77" s="23">
        <v>1200</v>
      </c>
      <c r="E77" s="23">
        <v>2000</v>
      </c>
      <c r="F77" s="23"/>
      <c r="G77" s="3" t="s">
        <v>345</v>
      </c>
      <c r="H77" s="12" t="s">
        <v>43</v>
      </c>
      <c r="I77" s="12"/>
      <c r="J77" s="4"/>
      <c r="K77" s="5"/>
      <c r="L77" s="5" t="s">
        <v>339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346</v>
      </c>
      <c r="B78" s="2" t="s">
        <v>299</v>
      </c>
      <c r="C78" s="21">
        <v>3</v>
      </c>
      <c r="D78" s="23">
        <v>1220</v>
      </c>
      <c r="E78" s="23">
        <v>1750</v>
      </c>
      <c r="F78" s="23"/>
      <c r="G78" s="3" t="s">
        <v>347</v>
      </c>
      <c r="H78" s="12" t="s">
        <v>43</v>
      </c>
      <c r="I78" s="12"/>
      <c r="J78" s="4"/>
      <c r="K78" s="5"/>
      <c r="L78" s="21" t="s">
        <v>58</v>
      </c>
      <c r="M78" s="4" t="s">
        <v>348</v>
      </c>
      <c r="N78" s="6" t="s">
        <v>307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349</v>
      </c>
      <c r="AK78" s="65">
        <v>384.89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idden="1" x14ac:dyDescent="0.35">
      <c r="A79" s="22" t="s">
        <v>350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351</v>
      </c>
      <c r="H79" s="12" t="s">
        <v>43</v>
      </c>
      <c r="I79" s="12"/>
      <c r="J79" s="4"/>
      <c r="K79" s="5"/>
      <c r="L79" s="5" t="s">
        <v>325</v>
      </c>
      <c r="M79" s="4" t="s">
        <v>126</v>
      </c>
      <c r="N79" s="4" t="s">
        <v>352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353</v>
      </c>
      <c r="B80" s="2" t="s">
        <v>299</v>
      </c>
      <c r="C80" s="21">
        <v>4</v>
      </c>
      <c r="D80" s="23">
        <v>1350</v>
      </c>
      <c r="E80" s="23">
        <v>1850</v>
      </c>
      <c r="F80" s="23"/>
      <c r="G80" s="3" t="s">
        <v>354</v>
      </c>
      <c r="H80" s="10" t="s">
        <v>43</v>
      </c>
      <c r="I80" s="10"/>
      <c r="J80" s="6"/>
      <c r="K80" s="21"/>
      <c r="L80" s="21" t="s">
        <v>58</v>
      </c>
      <c r="M80" s="6" t="s">
        <v>355</v>
      </c>
      <c r="N80" s="6" t="s">
        <v>307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356</v>
      </c>
      <c r="AK80" s="65">
        <v>63.57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idden="1" x14ac:dyDescent="0.35">
      <c r="A81" s="22" t="s">
        <v>357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358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314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359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360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314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361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362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363</v>
      </c>
      <c r="B84" s="2" t="s">
        <v>299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364</v>
      </c>
      <c r="H84" s="10" t="s">
        <v>43</v>
      </c>
      <c r="I84" s="10"/>
      <c r="J84" s="6"/>
      <c r="K84" s="21"/>
      <c r="L84" s="21" t="s">
        <v>339</v>
      </c>
      <c r="M84" s="6" t="s">
        <v>126</v>
      </c>
      <c r="N84" s="6" t="s">
        <v>365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366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367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368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369</v>
      </c>
      <c r="H86" s="10" t="s">
        <v>43</v>
      </c>
      <c r="I86" s="10"/>
      <c r="J86" s="6"/>
      <c r="K86" s="21"/>
      <c r="L86" s="21" t="s">
        <v>370</v>
      </c>
      <c r="M86" s="6" t="s">
        <v>371</v>
      </c>
      <c r="N86" s="35" t="s">
        <v>372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373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374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375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376</v>
      </c>
      <c r="H88" s="10" t="s">
        <v>43</v>
      </c>
      <c r="I88" s="10"/>
      <c r="J88" s="6"/>
      <c r="K88" s="21"/>
      <c r="L88" s="21" t="s">
        <v>377</v>
      </c>
      <c r="M88" s="6" t="s">
        <v>378</v>
      </c>
      <c r="N88" s="6" t="s">
        <v>379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380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381</v>
      </c>
      <c r="H89" s="10" t="s">
        <v>43</v>
      </c>
      <c r="I89" s="10"/>
      <c r="J89" s="6"/>
      <c r="K89" s="21"/>
      <c r="L89" s="5" t="s">
        <v>370</v>
      </c>
      <c r="M89" s="6" t="s">
        <v>126</v>
      </c>
      <c r="N89" s="6" t="s">
        <v>382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383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384</v>
      </c>
      <c r="H90" s="12" t="s">
        <v>43</v>
      </c>
      <c r="I90" s="10"/>
      <c r="J90" s="4"/>
      <c r="K90" s="5"/>
      <c r="L90" s="5" t="s">
        <v>370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385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386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387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388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389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390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idden="1" x14ac:dyDescent="0.35">
      <c r="A93" s="22" t="s">
        <v>391</v>
      </c>
      <c r="B93" s="2" t="s">
        <v>299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392</v>
      </c>
      <c r="H93" s="10" t="s">
        <v>43</v>
      </c>
      <c r="I93" s="10"/>
      <c r="J93" s="6"/>
      <c r="K93" s="5"/>
      <c r="L93" s="5" t="s">
        <v>339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393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394</v>
      </c>
      <c r="H94" s="10" t="s">
        <v>43</v>
      </c>
      <c r="I94" s="10"/>
      <c r="J94" s="6"/>
      <c r="K94" s="21"/>
      <c r="L94" s="21" t="s">
        <v>370</v>
      </c>
      <c r="M94" s="6" t="s">
        <v>47</v>
      </c>
      <c r="N94" s="6" t="s">
        <v>395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idden="1" x14ac:dyDescent="0.35">
      <c r="A95" s="15" t="s">
        <v>396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397</v>
      </c>
      <c r="H95" s="10" t="s">
        <v>43</v>
      </c>
      <c r="I95" s="10"/>
      <c r="J95" s="10"/>
      <c r="K95" s="11"/>
      <c r="L95" s="11" t="s">
        <v>377</v>
      </c>
      <c r="M95" s="10" t="s">
        <v>215</v>
      </c>
      <c r="N95" s="10" t="s">
        <v>398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399</v>
      </c>
      <c r="B96" s="2" t="s">
        <v>299</v>
      </c>
      <c r="C96" s="21">
        <v>4</v>
      </c>
      <c r="D96" s="23">
        <v>1200</v>
      </c>
      <c r="E96" s="23">
        <v>2220</v>
      </c>
      <c r="F96" s="23"/>
      <c r="G96" s="3" t="s">
        <v>400</v>
      </c>
      <c r="H96" s="10" t="s">
        <v>43</v>
      </c>
      <c r="I96" s="10"/>
      <c r="J96" s="6"/>
      <c r="K96" s="21"/>
      <c r="L96" s="21" t="s">
        <v>370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401</v>
      </c>
      <c r="AK96" s="65">
        <v>1122.3399999999999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idden="1" x14ac:dyDescent="0.35">
      <c r="A97" s="22" t="s">
        <v>402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377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idden="1" x14ac:dyDescent="0.35">
      <c r="A98" s="3" t="s">
        <v>403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404</v>
      </c>
      <c r="H98" s="10" t="s">
        <v>43</v>
      </c>
      <c r="I98" s="10"/>
      <c r="J98" s="6"/>
      <c r="K98" s="21"/>
      <c r="L98" s="21" t="s">
        <v>95</v>
      </c>
      <c r="M98" s="4" t="s">
        <v>405</v>
      </c>
      <c r="N98" s="4" t="s">
        <v>406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407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408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idden="1" x14ac:dyDescent="0.35">
      <c r="A100" s="22" t="s">
        <v>409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410</v>
      </c>
      <c r="H100" s="10" t="s">
        <v>43</v>
      </c>
      <c r="I100" s="10"/>
      <c r="J100" s="6"/>
      <c r="K100" s="21"/>
      <c r="L100" s="21" t="s">
        <v>370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idden="1" x14ac:dyDescent="0.35">
      <c r="A101" s="22" t="s">
        <v>411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412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413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idden="1" x14ac:dyDescent="0.35">
      <c r="A102" s="22" t="s">
        <v>414</v>
      </c>
      <c r="B102" s="2" t="s">
        <v>299</v>
      </c>
      <c r="C102" s="21">
        <v>4</v>
      </c>
      <c r="D102" s="23">
        <v>1200</v>
      </c>
      <c r="E102" s="23">
        <v>2000</v>
      </c>
      <c r="F102" s="23"/>
      <c r="G102" s="3" t="s">
        <v>415</v>
      </c>
      <c r="H102" s="10" t="s">
        <v>43</v>
      </c>
      <c r="I102" s="10"/>
      <c r="J102" s="6"/>
      <c r="K102" s="5"/>
      <c r="L102" s="5" t="s">
        <v>370</v>
      </c>
      <c r="M102" s="6" t="s">
        <v>126</v>
      </c>
      <c r="N102" s="6" t="s">
        <v>416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idden="1" x14ac:dyDescent="0.35">
      <c r="A103" s="22" t="s">
        <v>417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381</v>
      </c>
      <c r="H103" s="10" t="s">
        <v>43</v>
      </c>
      <c r="I103" s="10"/>
      <c r="J103" s="6"/>
      <c r="K103" s="21"/>
      <c r="L103" s="5" t="s">
        <v>370</v>
      </c>
      <c r="M103" s="6" t="s">
        <v>126</v>
      </c>
      <c r="N103" s="6" t="s">
        <v>382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418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419</v>
      </c>
      <c r="H104" s="10" t="s">
        <v>43</v>
      </c>
      <c r="I104" s="10"/>
      <c r="J104" s="6"/>
      <c r="K104" s="5"/>
      <c r="L104" s="5" t="s">
        <v>377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idden="1" x14ac:dyDescent="0.35">
      <c r="A105" s="22" t="s">
        <v>420</v>
      </c>
      <c r="B105" s="2" t="s">
        <v>421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377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422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423</v>
      </c>
      <c r="H106" s="10" t="s">
        <v>43</v>
      </c>
      <c r="I106" s="10"/>
      <c r="J106" s="6"/>
      <c r="K106" s="21"/>
      <c r="L106" s="21" t="s">
        <v>370</v>
      </c>
      <c r="M106" s="6" t="s">
        <v>261</v>
      </c>
      <c r="N106" s="6" t="s">
        <v>390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idden="1" x14ac:dyDescent="0.35">
      <c r="A107" s="15" t="s">
        <v>424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425</v>
      </c>
      <c r="H107" s="10" t="s">
        <v>43</v>
      </c>
      <c r="I107" s="10"/>
      <c r="J107" s="10"/>
      <c r="K107" s="11"/>
      <c r="L107" s="11" t="s">
        <v>377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426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427</v>
      </c>
      <c r="H108" s="12" t="s">
        <v>43</v>
      </c>
      <c r="I108" s="10"/>
      <c r="J108" s="4"/>
      <c r="K108" s="5"/>
      <c r="L108" s="5" t="s">
        <v>377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428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429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430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431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432</v>
      </c>
      <c r="AK110" s="65">
        <v>245</v>
      </c>
      <c r="AL110" s="1"/>
      <c r="AM110" s="1" t="s">
        <v>433</v>
      </c>
      <c r="AN110" s="81"/>
      <c r="AO110" s="81" t="s">
        <v>64</v>
      </c>
    </row>
    <row r="111" spans="1:41" s="26" customFormat="1" hidden="1" x14ac:dyDescent="0.35">
      <c r="A111" s="22" t="s">
        <v>434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435</v>
      </c>
      <c r="H111" s="10" t="s">
        <v>43</v>
      </c>
      <c r="I111" s="10"/>
      <c r="J111" s="6"/>
      <c r="K111" s="21"/>
      <c r="L111" s="21" t="s">
        <v>377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436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437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438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idden="1" x14ac:dyDescent="0.35">
      <c r="A113" s="22" t="s">
        <v>439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440</v>
      </c>
      <c r="H113" s="10" t="s">
        <v>43</v>
      </c>
      <c r="I113" s="10"/>
      <c r="J113" s="6"/>
      <c r="K113" s="21"/>
      <c r="L113" s="21" t="s">
        <v>370</v>
      </c>
      <c r="M113" s="4" t="s">
        <v>441</v>
      </c>
      <c r="N113" s="6" t="s">
        <v>442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443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377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444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445</v>
      </c>
      <c r="H115" s="10" t="s">
        <v>43</v>
      </c>
      <c r="I115" s="12"/>
      <c r="J115" s="4"/>
      <c r="K115" s="5"/>
      <c r="L115" s="5" t="s">
        <v>58</v>
      </c>
      <c r="M115" s="4" t="s">
        <v>405</v>
      </c>
      <c r="N115" s="4" t="s">
        <v>406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446</v>
      </c>
      <c r="B116" s="2" t="s">
        <v>447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377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448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449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450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451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387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452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453</v>
      </c>
      <c r="H119" s="10" t="s">
        <v>43</v>
      </c>
      <c r="I119" s="10"/>
      <c r="J119" s="6"/>
      <c r="K119" s="21"/>
      <c r="L119" s="21" t="s">
        <v>377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idden="1" x14ac:dyDescent="0.35">
      <c r="A120" s="15" t="s">
        <v>454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325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455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456</v>
      </c>
      <c r="H121" s="12" t="s">
        <v>43</v>
      </c>
      <c r="I121" s="10"/>
      <c r="J121" s="4"/>
      <c r="K121" s="5"/>
      <c r="L121" s="5" t="s">
        <v>377</v>
      </c>
      <c r="M121" s="4" t="s">
        <v>378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457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377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458</v>
      </c>
      <c r="B123" s="2" t="s">
        <v>299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370</v>
      </c>
      <c r="M123" s="4" t="s">
        <v>378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459</v>
      </c>
      <c r="AK123" s="65">
        <v>189.65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idden="1" x14ac:dyDescent="0.35">
      <c r="A124" s="22" t="s">
        <v>460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377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461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462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463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464</v>
      </c>
      <c r="H126" s="10" t="s">
        <v>43</v>
      </c>
      <c r="I126" s="10"/>
      <c r="J126" s="6"/>
      <c r="K126" s="21"/>
      <c r="L126" s="21" t="s">
        <v>325</v>
      </c>
      <c r="M126" s="6" t="s">
        <v>261</v>
      </c>
      <c r="N126" s="6" t="s">
        <v>465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466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467</v>
      </c>
      <c r="H127" s="12" t="s">
        <v>43</v>
      </c>
      <c r="I127" s="12"/>
      <c r="J127" s="4"/>
      <c r="K127" s="5"/>
      <c r="L127" s="5" t="s">
        <v>377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468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469</v>
      </c>
      <c r="H128" s="10" t="s">
        <v>43</v>
      </c>
      <c r="I128" s="10"/>
      <c r="J128" s="6"/>
      <c r="K128" s="21"/>
      <c r="L128" s="21" t="s">
        <v>377</v>
      </c>
      <c r="M128" s="6" t="s">
        <v>226</v>
      </c>
      <c r="N128" s="6" t="s">
        <v>470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471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472</v>
      </c>
      <c r="H129" s="12" t="s">
        <v>43</v>
      </c>
      <c r="I129" s="10"/>
      <c r="J129" s="12"/>
      <c r="K129" s="14"/>
      <c r="L129" s="14" t="s">
        <v>377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473</v>
      </c>
      <c r="B130" s="2" t="s">
        <v>299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377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474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377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475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453</v>
      </c>
      <c r="H132" s="12" t="s">
        <v>43</v>
      </c>
      <c r="I132" s="10"/>
      <c r="J132" s="4"/>
      <c r="K132" s="5"/>
      <c r="L132" s="5" t="s">
        <v>377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476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477</v>
      </c>
      <c r="H133" s="12" t="s">
        <v>43</v>
      </c>
      <c r="I133" s="12"/>
      <c r="J133" s="4"/>
      <c r="K133" s="5"/>
      <c r="L133" s="5" t="s">
        <v>377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478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453</v>
      </c>
      <c r="H134" s="10" t="s">
        <v>43</v>
      </c>
      <c r="I134" s="10"/>
      <c r="J134" s="6"/>
      <c r="K134" s="21"/>
      <c r="L134" s="21" t="s">
        <v>377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479</v>
      </c>
      <c r="B135" s="8" t="s">
        <v>299</v>
      </c>
      <c r="C135" s="11">
        <v>6</v>
      </c>
      <c r="D135" s="18">
        <v>1220</v>
      </c>
      <c r="E135" s="18">
        <v>1750</v>
      </c>
      <c r="F135" s="23"/>
      <c r="G135" s="9" t="s">
        <v>480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481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482</v>
      </c>
      <c r="H136" s="10" t="s">
        <v>43</v>
      </c>
      <c r="I136" s="10"/>
      <c r="J136" s="6"/>
      <c r="K136" s="21"/>
      <c r="L136" s="21" t="s">
        <v>377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483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425</v>
      </c>
      <c r="H137" s="10" t="s">
        <v>43</v>
      </c>
      <c r="I137" s="10"/>
      <c r="J137" s="10"/>
      <c r="K137" s="11"/>
      <c r="L137" s="11" t="s">
        <v>377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484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425</v>
      </c>
      <c r="H138" s="12" t="s">
        <v>43</v>
      </c>
      <c r="I138" s="12"/>
      <c r="J138" s="4"/>
      <c r="K138" s="5"/>
      <c r="L138" s="5" t="s">
        <v>377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485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486</v>
      </c>
      <c r="H139" s="10" t="s">
        <v>43</v>
      </c>
      <c r="I139" s="10"/>
      <c r="J139" s="10"/>
      <c r="K139" s="11"/>
      <c r="L139" s="11" t="s">
        <v>377</v>
      </c>
      <c r="M139" s="10" t="s">
        <v>226</v>
      </c>
      <c r="N139" s="10" t="s">
        <v>487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488</v>
      </c>
      <c r="B140" s="2" t="s">
        <v>299</v>
      </c>
      <c r="C140" s="21">
        <v>2</v>
      </c>
      <c r="D140" s="23">
        <v>1200</v>
      </c>
      <c r="E140" s="23">
        <v>2000</v>
      </c>
      <c r="F140" s="23"/>
      <c r="G140" s="3" t="s">
        <v>489</v>
      </c>
      <c r="H140" s="12" t="s">
        <v>43</v>
      </c>
      <c r="I140" s="12"/>
      <c r="J140" s="4"/>
      <c r="K140" s="5"/>
      <c r="L140" s="5" t="s">
        <v>377</v>
      </c>
      <c r="M140" s="4"/>
      <c r="N140" s="4" t="s">
        <v>490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491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377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492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493</v>
      </c>
      <c r="H142" s="10" t="s">
        <v>43</v>
      </c>
      <c r="I142" s="10"/>
      <c r="J142" s="10"/>
      <c r="K142" s="11"/>
      <c r="L142" s="11" t="s">
        <v>377</v>
      </c>
      <c r="M142" s="10" t="s">
        <v>226</v>
      </c>
      <c r="N142" s="10" t="s">
        <v>487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494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495</v>
      </c>
      <c r="H143" s="12" t="s">
        <v>43</v>
      </c>
      <c r="I143" s="12"/>
      <c r="J143" s="12"/>
      <c r="K143" s="14"/>
      <c r="L143" s="14" t="s">
        <v>377</v>
      </c>
      <c r="M143" s="12" t="s">
        <v>261</v>
      </c>
      <c r="N143" s="12" t="s">
        <v>496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497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498</v>
      </c>
      <c r="H144" s="12" t="s">
        <v>43</v>
      </c>
      <c r="I144" s="10"/>
      <c r="J144" s="12"/>
      <c r="K144" s="14"/>
      <c r="L144" s="14" t="s">
        <v>377</v>
      </c>
      <c r="M144" s="12" t="s">
        <v>226</v>
      </c>
      <c r="N144" s="12" t="s">
        <v>470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499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377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500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377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501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377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502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503</v>
      </c>
      <c r="H148" s="10" t="s">
        <v>43</v>
      </c>
      <c r="I148" s="10"/>
      <c r="J148" s="10"/>
      <c r="K148" s="11"/>
      <c r="L148" s="11" t="s">
        <v>377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504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384</v>
      </c>
      <c r="H149" s="12" t="s">
        <v>43</v>
      </c>
      <c r="I149" s="10"/>
      <c r="J149" s="12"/>
      <c r="K149" s="14"/>
      <c r="L149" s="14" t="s">
        <v>377</v>
      </c>
      <c r="M149" s="12" t="s">
        <v>226</v>
      </c>
      <c r="N149" s="12" t="s">
        <v>487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505</v>
      </c>
      <c r="B150" s="8" t="s">
        <v>299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377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506</v>
      </c>
      <c r="B151" s="8" t="s">
        <v>447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377</v>
      </c>
      <c r="M151" s="10" t="s">
        <v>137</v>
      </c>
      <c r="N151" s="10" t="s">
        <v>507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508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509</v>
      </c>
      <c r="H152" s="10" t="s">
        <v>43</v>
      </c>
      <c r="I152" s="10"/>
      <c r="J152" s="10"/>
      <c r="K152" s="11"/>
      <c r="L152" s="11" t="s">
        <v>325</v>
      </c>
      <c r="M152" s="10" t="s">
        <v>226</v>
      </c>
      <c r="N152" s="10" t="s">
        <v>510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511</v>
      </c>
      <c r="B153" s="8" t="s">
        <v>318</v>
      </c>
      <c r="C153" s="11">
        <v>0.9</v>
      </c>
      <c r="D153" s="18">
        <v>1250</v>
      </c>
      <c r="E153" s="18" t="s">
        <v>43</v>
      </c>
      <c r="F153" s="23"/>
      <c r="G153" s="9" t="s">
        <v>512</v>
      </c>
      <c r="H153" s="10" t="s">
        <v>43</v>
      </c>
      <c r="I153" s="10"/>
      <c r="J153" s="10"/>
      <c r="K153" s="11"/>
      <c r="L153" s="11" t="s">
        <v>377</v>
      </c>
      <c r="M153" s="12" t="s">
        <v>261</v>
      </c>
      <c r="N153" s="10" t="s">
        <v>390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513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514</v>
      </c>
      <c r="H154" s="12" t="s">
        <v>43</v>
      </c>
      <c r="I154" s="10"/>
      <c r="J154" s="12"/>
      <c r="K154" s="14"/>
      <c r="L154" s="14" t="s">
        <v>377</v>
      </c>
      <c r="M154" s="12" t="s">
        <v>261</v>
      </c>
      <c r="N154" s="12" t="s">
        <v>465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515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516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487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517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518</v>
      </c>
      <c r="H156" s="10" t="s">
        <v>43</v>
      </c>
      <c r="I156" s="10"/>
      <c r="J156" s="10"/>
      <c r="K156" s="11"/>
      <c r="L156" s="11" t="s">
        <v>377</v>
      </c>
      <c r="M156" s="10" t="s">
        <v>261</v>
      </c>
      <c r="N156" s="10" t="s">
        <v>519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520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521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487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522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523</v>
      </c>
      <c r="H158" s="10" t="s">
        <v>43</v>
      </c>
      <c r="I158" s="10"/>
      <c r="J158" s="10"/>
      <c r="K158" s="11"/>
      <c r="L158" s="11" t="s">
        <v>377</v>
      </c>
      <c r="M158" s="10" t="s">
        <v>261</v>
      </c>
      <c r="N158" s="10" t="s">
        <v>465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524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525</v>
      </c>
      <c r="H159" s="12" t="s">
        <v>43</v>
      </c>
      <c r="I159" s="10"/>
      <c r="J159" s="12"/>
      <c r="K159" s="14"/>
      <c r="L159" s="14" t="s">
        <v>377</v>
      </c>
      <c r="M159" s="12" t="s">
        <v>261</v>
      </c>
      <c r="N159" s="12" t="s">
        <v>465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526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527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496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528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529</v>
      </c>
      <c r="H161" s="12" t="s">
        <v>43</v>
      </c>
      <c r="I161" s="12"/>
      <c r="J161" s="12"/>
      <c r="K161" s="14"/>
      <c r="L161" s="14" t="s">
        <v>377</v>
      </c>
      <c r="M161" s="12" t="s">
        <v>261</v>
      </c>
      <c r="N161" s="12" t="s">
        <v>390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530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531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532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533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534</v>
      </c>
      <c r="H163" s="12" t="s">
        <v>43</v>
      </c>
      <c r="I163" s="12"/>
      <c r="J163" s="12"/>
      <c r="K163" s="14"/>
      <c r="L163" s="14" t="s">
        <v>377</v>
      </c>
      <c r="M163" s="12" t="s">
        <v>261</v>
      </c>
      <c r="N163" s="12" t="s">
        <v>390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535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536</v>
      </c>
      <c r="H164" s="12" t="s">
        <v>43</v>
      </c>
      <c r="I164" s="10"/>
      <c r="J164" s="12"/>
      <c r="K164" s="14"/>
      <c r="L164" s="14" t="s">
        <v>377</v>
      </c>
      <c r="M164" s="12" t="s">
        <v>261</v>
      </c>
      <c r="N164" s="12" t="s">
        <v>390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537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538</v>
      </c>
      <c r="H165" s="10" t="s">
        <v>43</v>
      </c>
      <c r="I165" s="10"/>
      <c r="J165" s="10"/>
      <c r="K165" s="11"/>
      <c r="L165" s="11" t="s">
        <v>377</v>
      </c>
      <c r="M165" s="10" t="s">
        <v>261</v>
      </c>
      <c r="N165" s="10" t="s">
        <v>390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539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540</v>
      </c>
      <c r="H166" s="12" t="s">
        <v>43</v>
      </c>
      <c r="I166" s="10"/>
      <c r="J166" s="12"/>
      <c r="K166" s="14"/>
      <c r="L166" s="14" t="s">
        <v>377</v>
      </c>
      <c r="M166" s="12" t="s">
        <v>226</v>
      </c>
      <c r="N166" s="12" t="s">
        <v>470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541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542</v>
      </c>
      <c r="H167" s="10" t="s">
        <v>43</v>
      </c>
      <c r="I167" s="10"/>
      <c r="J167" s="10"/>
      <c r="K167" s="11"/>
      <c r="L167" s="11" t="s">
        <v>377</v>
      </c>
      <c r="M167" s="10" t="s">
        <v>261</v>
      </c>
      <c r="N167" s="10" t="s">
        <v>496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543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544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532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545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546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532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547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548</v>
      </c>
      <c r="H170" s="10" t="s">
        <v>43</v>
      </c>
      <c r="I170" s="10"/>
      <c r="J170" s="10"/>
      <c r="K170" s="11"/>
      <c r="L170" s="11" t="s">
        <v>377</v>
      </c>
      <c r="M170" s="10" t="s">
        <v>261</v>
      </c>
      <c r="N170" s="10" t="s">
        <v>390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549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550</v>
      </c>
      <c r="H171" s="10" t="s">
        <v>43</v>
      </c>
      <c r="I171" s="10"/>
      <c r="J171" s="10"/>
      <c r="K171" s="11"/>
      <c r="L171" s="11" t="s">
        <v>377</v>
      </c>
      <c r="M171" s="10" t="s">
        <v>261</v>
      </c>
      <c r="N171" s="10" t="s">
        <v>496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551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552</v>
      </c>
      <c r="H172" s="12" t="s">
        <v>43</v>
      </c>
      <c r="I172" s="12"/>
      <c r="J172" s="12"/>
      <c r="K172" s="14"/>
      <c r="L172" s="14" t="s">
        <v>377</v>
      </c>
      <c r="M172" s="12" t="s">
        <v>261</v>
      </c>
      <c r="N172" s="12" t="s">
        <v>496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553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554</v>
      </c>
      <c r="H173" s="10" t="s">
        <v>43</v>
      </c>
      <c r="I173" s="10"/>
      <c r="J173" s="10"/>
      <c r="K173" s="11"/>
      <c r="L173" s="11" t="s">
        <v>377</v>
      </c>
      <c r="M173" s="10" t="s">
        <v>261</v>
      </c>
      <c r="N173" s="10" t="s">
        <v>496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555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556</v>
      </c>
      <c r="H174" s="12" t="s">
        <v>43</v>
      </c>
      <c r="I174" s="10"/>
      <c r="J174" s="12"/>
      <c r="K174" s="14"/>
      <c r="L174" s="14" t="s">
        <v>377</v>
      </c>
      <c r="M174" s="12" t="s">
        <v>261</v>
      </c>
      <c r="N174" s="12" t="s">
        <v>519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557</v>
      </c>
      <c r="B175" s="8"/>
      <c r="C175" s="11"/>
      <c r="D175" s="18"/>
      <c r="E175" s="18"/>
      <c r="F175" s="23"/>
      <c r="G175" s="9" t="s">
        <v>305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558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559</v>
      </c>
      <c r="H176" s="12" t="s">
        <v>43</v>
      </c>
      <c r="I176" s="12"/>
      <c r="J176" s="12"/>
      <c r="K176" s="14"/>
      <c r="L176" s="14" t="s">
        <v>377</v>
      </c>
      <c r="M176" s="12" t="s">
        <v>126</v>
      </c>
      <c r="N176" s="12" t="s">
        <v>560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561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562</v>
      </c>
      <c r="H177" s="12" t="s">
        <v>43</v>
      </c>
      <c r="I177" s="12"/>
      <c r="J177" s="12"/>
      <c r="K177" s="14"/>
      <c r="L177" s="14" t="s">
        <v>377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563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564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565</v>
      </c>
      <c r="H179" s="12" t="s">
        <v>43</v>
      </c>
      <c r="I179" s="10"/>
      <c r="J179" s="12"/>
      <c r="K179" s="14"/>
      <c r="L179" s="14" t="s">
        <v>377</v>
      </c>
      <c r="M179" s="12" t="s">
        <v>371</v>
      </c>
      <c r="N179" s="12" t="s">
        <v>566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567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568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569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570</v>
      </c>
      <c r="AK180" s="65">
        <v>19166.669999999998</v>
      </c>
      <c r="AL180" s="1"/>
      <c r="AM180" s="1" t="s">
        <v>571</v>
      </c>
      <c r="AN180" s="81">
        <v>46204</v>
      </c>
      <c r="AO180" s="81" t="s">
        <v>64</v>
      </c>
    </row>
    <row r="181" spans="1:41" s="26" customFormat="1" hidden="1" x14ac:dyDescent="0.35">
      <c r="A181" s="15" t="s">
        <v>572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573</v>
      </c>
      <c r="H181" s="12" t="s">
        <v>43</v>
      </c>
      <c r="I181" s="10"/>
      <c r="J181" s="12"/>
      <c r="K181" s="14"/>
      <c r="L181" s="14" t="s">
        <v>95</v>
      </c>
      <c r="M181" s="10" t="s">
        <v>574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575</v>
      </c>
      <c r="AK181" s="65">
        <v>16017.83</v>
      </c>
      <c r="AL181" s="1"/>
      <c r="AM181" s="1" t="s">
        <v>576</v>
      </c>
      <c r="AN181" s="81">
        <v>46082</v>
      </c>
      <c r="AO181" s="81" t="s">
        <v>64</v>
      </c>
    </row>
    <row r="182" spans="1:41" s="26" customFormat="1" hidden="1" x14ac:dyDescent="0.35">
      <c r="A182" s="15" t="s">
        <v>577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578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579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580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581</v>
      </c>
      <c r="H184" s="12" t="s">
        <v>43</v>
      </c>
      <c r="I184" s="10"/>
      <c r="J184" s="12"/>
      <c r="K184" s="14"/>
      <c r="L184" s="14" t="s">
        <v>377</v>
      </c>
      <c r="M184" s="12" t="s">
        <v>137</v>
      </c>
      <c r="N184" s="12" t="s">
        <v>487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582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583</v>
      </c>
      <c r="H185" s="10" t="s">
        <v>43</v>
      </c>
      <c r="I185" s="10"/>
      <c r="J185" s="10"/>
      <c r="K185" s="11"/>
      <c r="L185" s="11" t="s">
        <v>377</v>
      </c>
      <c r="M185" s="10" t="s">
        <v>261</v>
      </c>
      <c r="N185" s="10" t="s">
        <v>584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585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586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587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588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589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590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591</v>
      </c>
      <c r="H188" s="12" t="s">
        <v>43</v>
      </c>
      <c r="I188" s="10"/>
      <c r="J188" s="12"/>
      <c r="K188" s="14"/>
      <c r="L188" s="14" t="s">
        <v>58</v>
      </c>
      <c r="M188" s="12" t="s">
        <v>592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593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594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595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596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487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597</v>
      </c>
      <c r="B191" s="8" t="s">
        <v>42</v>
      </c>
      <c r="C191" s="11">
        <v>1.5</v>
      </c>
      <c r="D191" s="18"/>
      <c r="E191" s="18"/>
      <c r="F191" s="77"/>
      <c r="G191" s="9" t="s">
        <v>598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599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600</v>
      </c>
      <c r="H192" s="12" t="s">
        <v>43</v>
      </c>
      <c r="I192" s="10"/>
      <c r="J192" s="12"/>
      <c r="K192" s="14"/>
      <c r="L192" s="14" t="s">
        <v>377</v>
      </c>
      <c r="M192" s="12" t="s">
        <v>261</v>
      </c>
      <c r="N192" s="12" t="s">
        <v>465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601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602</v>
      </c>
      <c r="H193" s="10" t="s">
        <v>43</v>
      </c>
      <c r="I193" s="10"/>
      <c r="J193" s="10"/>
      <c r="K193" s="11"/>
      <c r="L193" s="11" t="s">
        <v>58</v>
      </c>
      <c r="M193" s="10" t="s">
        <v>592</v>
      </c>
      <c r="N193" s="10" t="s">
        <v>603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604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605</v>
      </c>
      <c r="H194" s="10" t="s">
        <v>43</v>
      </c>
      <c r="I194" s="10"/>
      <c r="J194" s="10"/>
      <c r="K194" s="11"/>
      <c r="L194" s="11" t="s">
        <v>377</v>
      </c>
      <c r="M194" s="10" t="s">
        <v>261</v>
      </c>
      <c r="N194" s="10" t="s">
        <v>606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607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608</v>
      </c>
      <c r="H195" s="10" t="s">
        <v>43</v>
      </c>
      <c r="I195" s="10"/>
      <c r="J195" s="10"/>
      <c r="K195" s="11"/>
      <c r="L195" s="11" t="s">
        <v>377</v>
      </c>
      <c r="M195" s="10" t="s">
        <v>371</v>
      </c>
      <c r="N195" s="10" t="s">
        <v>609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610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611</v>
      </c>
      <c r="H196" s="10" t="s">
        <v>43</v>
      </c>
      <c r="I196" s="10"/>
      <c r="J196" s="10"/>
      <c r="K196" s="11"/>
      <c r="L196" s="11" t="s">
        <v>377</v>
      </c>
      <c r="M196" s="10" t="s">
        <v>371</v>
      </c>
      <c r="N196" s="10" t="s">
        <v>609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612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613</v>
      </c>
      <c r="H197" s="10" t="s">
        <v>43</v>
      </c>
      <c r="I197" s="10"/>
      <c r="J197" s="10"/>
      <c r="K197" s="11"/>
      <c r="L197" s="11" t="s">
        <v>377</v>
      </c>
      <c r="M197" s="10" t="s">
        <v>261</v>
      </c>
      <c r="N197" s="10" t="s">
        <v>496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614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615</v>
      </c>
      <c r="H198" s="12" t="s">
        <v>43</v>
      </c>
      <c r="I198" s="12"/>
      <c r="J198" s="12"/>
      <c r="K198" s="14"/>
      <c r="L198" s="14" t="s">
        <v>377</v>
      </c>
      <c r="M198" s="12" t="s">
        <v>261</v>
      </c>
      <c r="N198" s="12" t="s">
        <v>496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616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617</v>
      </c>
      <c r="H199" s="10" t="s">
        <v>43</v>
      </c>
      <c r="I199" s="10"/>
      <c r="J199" s="10"/>
      <c r="K199" s="11"/>
      <c r="L199" s="11" t="s">
        <v>377</v>
      </c>
      <c r="M199" s="10" t="s">
        <v>261</v>
      </c>
      <c r="N199" s="10" t="s">
        <v>496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618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619</v>
      </c>
      <c r="H200" s="10" t="s">
        <v>43</v>
      </c>
      <c r="I200" s="10"/>
      <c r="J200" s="10"/>
      <c r="K200" s="11"/>
      <c r="L200" s="11" t="s">
        <v>377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620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621</v>
      </c>
      <c r="H201" s="10" t="s">
        <v>43</v>
      </c>
      <c r="I201" s="10"/>
      <c r="J201" s="10"/>
      <c r="K201" s="11"/>
      <c r="L201" s="14" t="s">
        <v>377</v>
      </c>
      <c r="M201" s="10" t="s">
        <v>622</v>
      </c>
      <c r="N201" s="10" t="s">
        <v>622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623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316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532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624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591</v>
      </c>
      <c r="H203" s="12" t="s">
        <v>43</v>
      </c>
      <c r="I203" s="12"/>
      <c r="J203" s="12"/>
      <c r="K203" s="14"/>
      <c r="L203" s="14" t="s">
        <v>58</v>
      </c>
      <c r="M203" s="12" t="s">
        <v>592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625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591</v>
      </c>
      <c r="H204" s="10" t="s">
        <v>43</v>
      </c>
      <c r="I204" s="10"/>
      <c r="J204" s="10"/>
      <c r="K204" s="11"/>
      <c r="L204" s="11" t="s">
        <v>58</v>
      </c>
      <c r="M204" s="10" t="s">
        <v>592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626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627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384</v>
      </c>
      <c r="H206" s="12" t="s">
        <v>43</v>
      </c>
      <c r="I206" s="10"/>
      <c r="J206" s="12"/>
      <c r="K206" s="14"/>
      <c r="L206" s="14" t="s">
        <v>370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628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629</v>
      </c>
      <c r="H207" s="12" t="s">
        <v>43</v>
      </c>
      <c r="I207" s="12"/>
      <c r="J207" s="12"/>
      <c r="K207" s="14"/>
      <c r="L207" s="14" t="s">
        <v>75</v>
      </c>
      <c r="M207" s="12" t="s">
        <v>630</v>
      </c>
      <c r="N207" s="12" t="s">
        <v>519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631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632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487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633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634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635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636</v>
      </c>
      <c r="H210" s="12" t="s">
        <v>43</v>
      </c>
      <c r="I210" s="12"/>
      <c r="J210" s="12"/>
      <c r="K210" s="14"/>
      <c r="L210" s="14" t="s">
        <v>377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637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638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639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640</v>
      </c>
      <c r="H212" s="12" t="s">
        <v>43</v>
      </c>
      <c r="I212" s="12"/>
      <c r="J212" s="12"/>
      <c r="K212" s="14"/>
      <c r="L212" s="14" t="s">
        <v>377</v>
      </c>
      <c r="M212" s="12" t="s">
        <v>261</v>
      </c>
      <c r="N212" s="12" t="s">
        <v>496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641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642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465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643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644</v>
      </c>
      <c r="H214" s="12" t="s">
        <v>43</v>
      </c>
      <c r="I214" s="12"/>
      <c r="J214" s="12"/>
      <c r="K214" s="14"/>
      <c r="L214" s="14" t="s">
        <v>75</v>
      </c>
      <c r="M214" s="12" t="s">
        <v>630</v>
      </c>
      <c r="N214" s="12" t="s">
        <v>519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645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646</v>
      </c>
      <c r="H215" s="10" t="s">
        <v>43</v>
      </c>
      <c r="I215" s="10"/>
      <c r="J215" s="10"/>
      <c r="K215" s="11"/>
      <c r="L215" s="11" t="s">
        <v>377</v>
      </c>
      <c r="M215" s="10" t="s">
        <v>647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648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649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650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651</v>
      </c>
      <c r="H217" s="10" t="s">
        <v>43</v>
      </c>
      <c r="I217" s="10"/>
      <c r="J217" s="10"/>
      <c r="K217" s="11"/>
      <c r="L217" s="11" t="s">
        <v>377</v>
      </c>
      <c r="M217" s="10" t="s">
        <v>126</v>
      </c>
      <c r="N217" s="10" t="s">
        <v>652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653</v>
      </c>
      <c r="B218" s="8" t="s">
        <v>299</v>
      </c>
      <c r="C218" s="11">
        <v>2</v>
      </c>
      <c r="D218" s="18">
        <v>1200</v>
      </c>
      <c r="E218" s="18">
        <v>2000</v>
      </c>
      <c r="F218" s="23"/>
      <c r="G218" s="9" t="s">
        <v>654</v>
      </c>
      <c r="H218" s="10" t="s">
        <v>43</v>
      </c>
      <c r="I218" s="10"/>
      <c r="J218" s="10"/>
      <c r="K218" s="11"/>
      <c r="L218" s="11" t="s">
        <v>377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655</v>
      </c>
      <c r="B219" s="8" t="s">
        <v>299</v>
      </c>
      <c r="C219" s="11">
        <v>2</v>
      </c>
      <c r="D219" s="18">
        <v>1100</v>
      </c>
      <c r="E219" s="18">
        <v>1775</v>
      </c>
      <c r="F219" s="23"/>
      <c r="G219" s="9" t="s">
        <v>656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657</v>
      </c>
      <c r="B220" s="8" t="s">
        <v>299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658</v>
      </c>
      <c r="B221" s="8" t="s">
        <v>299</v>
      </c>
      <c r="C221" s="11">
        <v>2</v>
      </c>
      <c r="D221" s="18">
        <v>1200</v>
      </c>
      <c r="E221" s="18">
        <v>1950</v>
      </c>
      <c r="F221" s="23"/>
      <c r="G221" s="9" t="s">
        <v>659</v>
      </c>
      <c r="H221" s="10" t="s">
        <v>43</v>
      </c>
      <c r="I221" s="10"/>
      <c r="J221" s="10"/>
      <c r="K221" s="11"/>
      <c r="L221" s="11" t="s">
        <v>377</v>
      </c>
      <c r="M221" s="10" t="s">
        <v>660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661</v>
      </c>
      <c r="B222" s="8" t="s">
        <v>299</v>
      </c>
      <c r="C222" s="10" t="s">
        <v>662</v>
      </c>
      <c r="D222" s="18">
        <v>1250</v>
      </c>
      <c r="E222" s="18">
        <v>1720</v>
      </c>
      <c r="F222" s="23"/>
      <c r="G222" s="9" t="s">
        <v>663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664</v>
      </c>
      <c r="B223" s="8" t="s">
        <v>299</v>
      </c>
      <c r="C223" s="11">
        <v>3</v>
      </c>
      <c r="D223" s="18">
        <v>1150</v>
      </c>
      <c r="E223" s="18">
        <v>2000</v>
      </c>
      <c r="F223" s="23"/>
      <c r="G223" s="9" t="s">
        <v>665</v>
      </c>
      <c r="H223" s="10" t="s">
        <v>43</v>
      </c>
      <c r="I223" s="10"/>
      <c r="J223" s="10"/>
      <c r="K223" s="11"/>
      <c r="L223" s="11" t="s">
        <v>160</v>
      </c>
      <c r="M223" s="10" t="s">
        <v>378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666</v>
      </c>
      <c r="B224" s="8" t="s">
        <v>299</v>
      </c>
      <c r="C224" s="11">
        <v>3</v>
      </c>
      <c r="D224" s="18">
        <v>1200</v>
      </c>
      <c r="E224" s="18">
        <v>2000</v>
      </c>
      <c r="F224" s="23"/>
      <c r="G224" s="9" t="s">
        <v>667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668</v>
      </c>
      <c r="B225" s="8" t="s">
        <v>299</v>
      </c>
      <c r="C225" s="11">
        <v>3</v>
      </c>
      <c r="D225" s="18">
        <v>1220</v>
      </c>
      <c r="E225" s="18">
        <v>1400</v>
      </c>
      <c r="F225" s="23"/>
      <c r="G225" s="9" t="s">
        <v>669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670</v>
      </c>
      <c r="B226" s="8" t="s">
        <v>299</v>
      </c>
      <c r="C226" s="11">
        <v>4</v>
      </c>
      <c r="D226" s="18">
        <v>1250</v>
      </c>
      <c r="E226" s="18">
        <v>3000</v>
      </c>
      <c r="F226" s="23"/>
      <c r="G226" s="9" t="s">
        <v>671</v>
      </c>
      <c r="H226" s="10" t="s">
        <v>43</v>
      </c>
      <c r="I226" s="10"/>
      <c r="J226" s="10"/>
      <c r="K226" s="11"/>
      <c r="L226" s="11" t="s">
        <v>377</v>
      </c>
      <c r="M226" s="10" t="s">
        <v>126</v>
      </c>
      <c r="N226" s="10" t="s">
        <v>416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672</v>
      </c>
      <c r="B227" s="8" t="s">
        <v>299</v>
      </c>
      <c r="C227" s="11">
        <v>4</v>
      </c>
      <c r="D227" s="18">
        <v>1200</v>
      </c>
      <c r="E227" s="18">
        <v>1950</v>
      </c>
      <c r="F227" s="23"/>
      <c r="G227" s="9" t="s">
        <v>673</v>
      </c>
      <c r="H227" s="10" t="s">
        <v>43</v>
      </c>
      <c r="I227" s="10"/>
      <c r="J227" s="10"/>
      <c r="K227" s="11"/>
      <c r="L227" s="11" t="s">
        <v>377</v>
      </c>
      <c r="M227" s="10" t="s">
        <v>126</v>
      </c>
      <c r="N227" s="10" t="s">
        <v>674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675</v>
      </c>
      <c r="B228" s="8" t="s">
        <v>299</v>
      </c>
      <c r="C228" s="11">
        <v>4</v>
      </c>
      <c r="D228" s="18">
        <v>1200</v>
      </c>
      <c r="E228" s="18">
        <v>2100</v>
      </c>
      <c r="F228" s="23"/>
      <c r="G228" s="9" t="s">
        <v>676</v>
      </c>
      <c r="H228" s="12" t="s">
        <v>43</v>
      </c>
      <c r="I228" s="12"/>
      <c r="J228" s="12"/>
      <c r="K228" s="14"/>
      <c r="L228" s="14" t="s">
        <v>377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677</v>
      </c>
      <c r="B229" s="8" t="s">
        <v>299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377</v>
      </c>
      <c r="M229" s="10" t="s">
        <v>378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678</v>
      </c>
      <c r="B230" s="8" t="s">
        <v>299</v>
      </c>
      <c r="C230" s="11">
        <v>4.75</v>
      </c>
      <c r="D230" s="18">
        <v>1300</v>
      </c>
      <c r="E230" s="18">
        <v>2805</v>
      </c>
      <c r="F230" s="23"/>
      <c r="G230" s="9" t="s">
        <v>679</v>
      </c>
      <c r="H230" s="10" t="s">
        <v>43</v>
      </c>
      <c r="I230" s="10"/>
      <c r="J230" s="10"/>
      <c r="K230" s="11"/>
      <c r="L230" s="11" t="s">
        <v>377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680</v>
      </c>
      <c r="B231" s="8" t="s">
        <v>299</v>
      </c>
      <c r="C231" s="11">
        <v>4.75</v>
      </c>
      <c r="D231" s="18">
        <v>1100</v>
      </c>
      <c r="E231" s="18">
        <v>2000</v>
      </c>
      <c r="F231" s="23"/>
      <c r="G231" s="9" t="s">
        <v>681</v>
      </c>
      <c r="H231" s="10" t="s">
        <v>43</v>
      </c>
      <c r="I231" s="10"/>
      <c r="J231" s="10"/>
      <c r="K231" s="11"/>
      <c r="L231" s="11" t="s">
        <v>377</v>
      </c>
      <c r="M231" s="10" t="s">
        <v>378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682</v>
      </c>
      <c r="B232" s="8" t="s">
        <v>299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377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683</v>
      </c>
      <c r="B233" s="8" t="s">
        <v>299</v>
      </c>
      <c r="C233" s="11">
        <v>5</v>
      </c>
      <c r="D233" s="18">
        <v>1000</v>
      </c>
      <c r="E233" s="18">
        <v>1200</v>
      </c>
      <c r="F233" s="23"/>
      <c r="G233" s="9" t="s">
        <v>684</v>
      </c>
      <c r="H233" s="10" t="s">
        <v>43</v>
      </c>
      <c r="I233" s="10"/>
      <c r="J233" s="10"/>
      <c r="K233" s="11"/>
      <c r="L233" s="11" t="s">
        <v>377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685</v>
      </c>
      <c r="B234" s="8" t="s">
        <v>299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377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686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687</v>
      </c>
      <c r="H235" s="10">
        <v>34025702</v>
      </c>
      <c r="I235" s="10"/>
      <c r="J235" s="10"/>
      <c r="K235" s="11"/>
      <c r="L235" s="11" t="s">
        <v>75</v>
      </c>
      <c r="M235" s="10" t="s">
        <v>371</v>
      </c>
      <c r="N235" s="10" t="s">
        <v>519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688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689</v>
      </c>
      <c r="H236" s="10" t="s">
        <v>43</v>
      </c>
      <c r="I236" s="10"/>
      <c r="J236" s="10"/>
      <c r="K236" s="11"/>
      <c r="L236" s="11" t="s">
        <v>377</v>
      </c>
      <c r="M236" s="10" t="s">
        <v>261</v>
      </c>
      <c r="N236" s="10" t="s">
        <v>606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690</v>
      </c>
      <c r="B237" s="8" t="s">
        <v>691</v>
      </c>
      <c r="C237" s="11">
        <v>1</v>
      </c>
      <c r="D237" s="18">
        <v>140</v>
      </c>
      <c r="E237" s="18">
        <v>93</v>
      </c>
      <c r="F237" s="23"/>
      <c r="G237" s="9" t="s">
        <v>692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693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694</v>
      </c>
      <c r="H238" s="10" t="s">
        <v>43</v>
      </c>
      <c r="I238" s="10"/>
      <c r="J238" s="10"/>
      <c r="K238" s="11"/>
      <c r="L238" s="11" t="s">
        <v>377</v>
      </c>
      <c r="M238" s="10" t="s">
        <v>226</v>
      </c>
      <c r="N238" s="10" t="s">
        <v>695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696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697</v>
      </c>
      <c r="H239" s="10" t="s">
        <v>43</v>
      </c>
      <c r="I239" s="10"/>
      <c r="J239" s="10"/>
      <c r="K239" s="11"/>
      <c r="L239" s="11" t="s">
        <v>377</v>
      </c>
      <c r="M239" s="10" t="s">
        <v>226</v>
      </c>
      <c r="N239" s="10" t="s">
        <v>695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698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699</v>
      </c>
      <c r="H240" s="12" t="s">
        <v>43</v>
      </c>
      <c r="I240" s="12"/>
      <c r="J240" s="12"/>
      <c r="K240" s="14"/>
      <c r="L240" s="14" t="s">
        <v>377</v>
      </c>
      <c r="M240" s="12" t="s">
        <v>226</v>
      </c>
      <c r="N240" s="12" t="s">
        <v>695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700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701</v>
      </c>
      <c r="H241" s="10" t="s">
        <v>43</v>
      </c>
      <c r="I241" s="10"/>
      <c r="J241" s="10"/>
      <c r="K241" s="11"/>
      <c r="L241" s="11" t="s">
        <v>377</v>
      </c>
      <c r="M241" s="10" t="s">
        <v>137</v>
      </c>
      <c r="N241" s="10" t="s">
        <v>487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702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703</v>
      </c>
      <c r="H242" s="12" t="s">
        <v>43</v>
      </c>
      <c r="I242" s="10"/>
      <c r="J242" s="12"/>
      <c r="K242" s="14"/>
      <c r="L242" s="14" t="s">
        <v>377</v>
      </c>
      <c r="M242" s="12" t="s">
        <v>137</v>
      </c>
      <c r="N242" s="12" t="s">
        <v>487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704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705</v>
      </c>
      <c r="H243" s="10" t="s">
        <v>43</v>
      </c>
      <c r="I243" s="10"/>
      <c r="J243" s="10"/>
      <c r="K243" s="11"/>
      <c r="L243" s="11" t="s">
        <v>377</v>
      </c>
      <c r="M243" s="10" t="s">
        <v>226</v>
      </c>
      <c r="N243" s="10" t="s">
        <v>695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706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707</v>
      </c>
      <c r="H244" s="10" t="s">
        <v>43</v>
      </c>
      <c r="I244" s="10"/>
      <c r="J244" s="10"/>
      <c r="K244" s="11"/>
      <c r="L244" s="11" t="s">
        <v>377</v>
      </c>
      <c r="M244" s="10" t="s">
        <v>261</v>
      </c>
      <c r="N244" s="10" t="s">
        <v>496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708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709</v>
      </c>
      <c r="H245" s="10" t="s">
        <v>43</v>
      </c>
      <c r="I245" s="10"/>
      <c r="J245" s="10"/>
      <c r="K245" s="11"/>
      <c r="L245" s="11" t="s">
        <v>377</v>
      </c>
      <c r="M245" s="10" t="s">
        <v>342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710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711</v>
      </c>
      <c r="H246" s="10" t="s">
        <v>43</v>
      </c>
      <c r="I246" s="10"/>
      <c r="J246" s="10"/>
      <c r="K246" s="11"/>
      <c r="L246" s="11" t="s">
        <v>377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712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713</v>
      </c>
      <c r="H247" s="10" t="s">
        <v>43</v>
      </c>
      <c r="I247" s="10"/>
      <c r="J247" s="10"/>
      <c r="K247" s="11"/>
      <c r="L247" s="11" t="s">
        <v>377</v>
      </c>
      <c r="M247" s="10" t="s">
        <v>137</v>
      </c>
      <c r="N247" s="10" t="s">
        <v>487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714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715</v>
      </c>
      <c r="H248" s="10" t="s">
        <v>43</v>
      </c>
      <c r="I248" s="10"/>
      <c r="J248" s="10"/>
      <c r="K248" s="11"/>
      <c r="L248" s="11" t="s">
        <v>377</v>
      </c>
      <c r="M248" s="10" t="s">
        <v>137</v>
      </c>
      <c r="N248" s="10" t="s">
        <v>487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716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717</v>
      </c>
      <c r="H249" s="10" t="s">
        <v>43</v>
      </c>
      <c r="I249" s="10"/>
      <c r="J249" s="10"/>
      <c r="K249" s="11"/>
      <c r="L249" s="11" t="s">
        <v>377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718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717</v>
      </c>
      <c r="H250" s="12" t="s">
        <v>43</v>
      </c>
      <c r="I250" s="10"/>
      <c r="J250" s="12"/>
      <c r="K250" s="14"/>
      <c r="L250" s="14" t="s">
        <v>377</v>
      </c>
      <c r="M250" s="12" t="s">
        <v>226</v>
      </c>
      <c r="N250" s="12" t="s">
        <v>487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719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720</v>
      </c>
      <c r="H251" s="10" t="s">
        <v>43</v>
      </c>
      <c r="I251" s="10"/>
      <c r="J251" s="10"/>
      <c r="K251" s="11"/>
      <c r="L251" s="11" t="s">
        <v>377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721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722</v>
      </c>
      <c r="H252" s="12" t="s">
        <v>43</v>
      </c>
      <c r="I252" s="10"/>
      <c r="J252" s="12"/>
      <c r="K252" s="14"/>
      <c r="L252" s="14" t="s">
        <v>377</v>
      </c>
      <c r="M252" s="12" t="s">
        <v>378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723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724</v>
      </c>
      <c r="H253" s="10" t="s">
        <v>43</v>
      </c>
      <c r="I253" s="10"/>
      <c r="J253" s="10"/>
      <c r="K253" s="11"/>
      <c r="L253" s="11" t="s">
        <v>377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725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726</v>
      </c>
      <c r="H254" s="10" t="s">
        <v>43</v>
      </c>
      <c r="I254" s="10"/>
      <c r="J254" s="10"/>
      <c r="K254" s="11"/>
      <c r="L254" s="11" t="s">
        <v>377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727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728</v>
      </c>
      <c r="H255" s="10" t="s">
        <v>43</v>
      </c>
      <c r="I255" s="10"/>
      <c r="J255" s="10"/>
      <c r="K255" s="11"/>
      <c r="L255" s="11" t="s">
        <v>377</v>
      </c>
      <c r="M255" s="10" t="s">
        <v>261</v>
      </c>
      <c r="N255" s="10" t="s">
        <v>496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729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730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731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732</v>
      </c>
      <c r="H257" s="10" t="s">
        <v>43</v>
      </c>
      <c r="I257" s="10"/>
      <c r="J257" s="10"/>
      <c r="K257" s="11"/>
      <c r="L257" s="11" t="s">
        <v>377</v>
      </c>
      <c r="M257" s="10" t="s">
        <v>137</v>
      </c>
      <c r="N257" s="10" t="s">
        <v>487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733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734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735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736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387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737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377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738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377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739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377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740</v>
      </c>
      <c r="B263" s="8" t="s">
        <v>741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377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742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377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743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377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744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377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745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377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746</v>
      </c>
      <c r="B268" s="8" t="s">
        <v>747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377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748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377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749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377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750</v>
      </c>
      <c r="B271" s="8" t="s">
        <v>299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377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751</v>
      </c>
      <c r="B272" s="8" t="s">
        <v>747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377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752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377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753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377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754</v>
      </c>
      <c r="B275" s="8" t="s">
        <v>299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377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755</v>
      </c>
      <c r="B276" s="8" t="s">
        <v>299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377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756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377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757</v>
      </c>
      <c r="B278" s="8" t="s">
        <v>299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377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758</v>
      </c>
      <c r="B279" s="2" t="s">
        <v>55</v>
      </c>
      <c r="C279" s="21">
        <v>12.25</v>
      </c>
      <c r="D279" s="23">
        <v>1250</v>
      </c>
      <c r="E279" s="23" t="s">
        <v>622</v>
      </c>
      <c r="F279" s="28" t="s">
        <v>759</v>
      </c>
      <c r="G279" s="3" t="s">
        <v>760</v>
      </c>
      <c r="H279" s="6"/>
      <c r="I279" s="6" t="s">
        <v>761</v>
      </c>
      <c r="J279" s="6">
        <v>69</v>
      </c>
      <c r="K279" s="21">
        <v>24</v>
      </c>
      <c r="L279" s="21" t="s">
        <v>762</v>
      </c>
      <c r="M279" s="6" t="s">
        <v>763</v>
      </c>
      <c r="N279" s="6" t="s">
        <v>764</v>
      </c>
      <c r="O279" s="6" t="str">
        <f>_xlfn.XLOOKUP(A279,[1]Resumo!$B:$B,[1]Resumo!$A:$A)</f>
        <v>A</v>
      </c>
      <c r="P279" s="6"/>
      <c r="Q279" s="27"/>
      <c r="R279" s="28" t="s">
        <v>765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766</v>
      </c>
      <c r="AK279" s="65">
        <v>23514.418333333335</v>
      </c>
      <c r="AL279" s="1"/>
      <c r="AM279" s="62" t="s">
        <v>767</v>
      </c>
      <c r="AN279" s="81">
        <v>46266</v>
      </c>
      <c r="AO279" s="81" t="s">
        <v>64</v>
      </c>
    </row>
    <row r="280" spans="1:41" s="26" customFormat="1" ht="20" hidden="1" x14ac:dyDescent="0.35">
      <c r="A280" s="22" t="s">
        <v>768</v>
      </c>
      <c r="B280" s="2" t="s">
        <v>55</v>
      </c>
      <c r="C280" s="21">
        <v>15.75</v>
      </c>
      <c r="D280" s="23">
        <v>1250</v>
      </c>
      <c r="E280" s="23" t="s">
        <v>622</v>
      </c>
      <c r="F280" s="28" t="s">
        <v>759</v>
      </c>
      <c r="G280" s="3" t="s">
        <v>760</v>
      </c>
      <c r="H280" s="4"/>
      <c r="I280" s="6" t="s">
        <v>761</v>
      </c>
      <c r="J280" s="4">
        <v>69</v>
      </c>
      <c r="K280" s="5">
        <v>24</v>
      </c>
      <c r="L280" s="5" t="s">
        <v>762</v>
      </c>
      <c r="M280" s="4" t="s">
        <v>763</v>
      </c>
      <c r="N280" s="6" t="s">
        <v>764</v>
      </c>
      <c r="O280" s="4" t="s">
        <v>49</v>
      </c>
      <c r="P280" s="4"/>
      <c r="Q280" s="24"/>
      <c r="R280" s="25" t="s">
        <v>765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769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5">
      <c r="A281" s="22" t="s">
        <v>770</v>
      </c>
      <c r="B281" s="2" t="s">
        <v>55</v>
      </c>
      <c r="C281" s="21">
        <v>11.75</v>
      </c>
      <c r="D281" s="23">
        <v>1000</v>
      </c>
      <c r="E281" s="23" t="s">
        <v>622</v>
      </c>
      <c r="F281" s="28" t="s">
        <v>771</v>
      </c>
      <c r="G281" s="3" t="s">
        <v>772</v>
      </c>
      <c r="H281" s="4"/>
      <c r="I281" s="6" t="s">
        <v>773</v>
      </c>
      <c r="J281" s="4">
        <v>79</v>
      </c>
      <c r="K281" s="5">
        <v>24</v>
      </c>
      <c r="L281" s="5" t="s">
        <v>58</v>
      </c>
      <c r="M281" s="4" t="s">
        <v>774</v>
      </c>
      <c r="N281" s="6" t="s">
        <v>764</v>
      </c>
      <c r="O281" s="4" t="s">
        <v>49</v>
      </c>
      <c r="P281" s="4"/>
      <c r="Q281" s="24"/>
      <c r="R281" s="25" t="s">
        <v>765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775</v>
      </c>
      <c r="AK281" s="65">
        <v>16277.125</v>
      </c>
      <c r="AL281" s="1"/>
      <c r="AM281" s="62" t="s">
        <v>776</v>
      </c>
      <c r="AN281" s="81">
        <v>46266</v>
      </c>
      <c r="AO281" s="81" t="s">
        <v>64</v>
      </c>
    </row>
    <row r="282" spans="1:41" s="26" customFormat="1" hidden="1" x14ac:dyDescent="0.35">
      <c r="A282" s="22" t="s">
        <v>777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778</v>
      </c>
      <c r="H282" s="4"/>
      <c r="I282" s="6" t="s">
        <v>761</v>
      </c>
      <c r="J282" s="4">
        <v>69</v>
      </c>
      <c r="K282" s="5">
        <v>24</v>
      </c>
      <c r="L282" s="5" t="s">
        <v>58</v>
      </c>
      <c r="M282" s="4" t="s">
        <v>779</v>
      </c>
      <c r="N282" s="4" t="s">
        <v>780</v>
      </c>
      <c r="O282" s="4" t="s">
        <v>49</v>
      </c>
      <c r="P282" s="4"/>
      <c r="Q282" s="24"/>
      <c r="R282" s="25" t="s">
        <v>765</v>
      </c>
      <c r="S282" s="6" t="s">
        <v>765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781</v>
      </c>
      <c r="AK282" s="65">
        <v>0</v>
      </c>
      <c r="AL282" s="1"/>
      <c r="AM282" s="1" t="s">
        <v>782</v>
      </c>
      <c r="AN282" s="81">
        <v>46143</v>
      </c>
      <c r="AO282" s="81" t="s">
        <v>64</v>
      </c>
    </row>
    <row r="283" spans="1:41" s="26" customFormat="1" hidden="1" x14ac:dyDescent="0.35">
      <c r="A283" s="22" t="s">
        <v>577</v>
      </c>
      <c r="B283" s="2" t="s">
        <v>55</v>
      </c>
      <c r="C283" s="21">
        <v>8</v>
      </c>
      <c r="D283" s="23">
        <v>1200</v>
      </c>
      <c r="E283" s="23" t="s">
        <v>622</v>
      </c>
      <c r="F283" s="28" t="s">
        <v>783</v>
      </c>
      <c r="G283" s="3" t="s">
        <v>784</v>
      </c>
      <c r="H283" s="6"/>
      <c r="I283" s="6" t="s">
        <v>761</v>
      </c>
      <c r="J283" s="6">
        <v>69</v>
      </c>
      <c r="K283" s="21">
        <v>23</v>
      </c>
      <c r="L283" s="21" t="s">
        <v>95</v>
      </c>
      <c r="M283" s="4" t="s">
        <v>785</v>
      </c>
      <c r="N283" s="6"/>
      <c r="O283" s="6" t="s">
        <v>49</v>
      </c>
      <c r="P283" s="6"/>
      <c r="Q283" s="27"/>
      <c r="R283" s="28" t="s">
        <v>765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786</v>
      </c>
      <c r="AK283" s="65">
        <v>17939.827499999999</v>
      </c>
      <c r="AL283" s="1"/>
      <c r="AM283" s="1" t="s">
        <v>787</v>
      </c>
      <c r="AN283" s="81">
        <v>46235</v>
      </c>
      <c r="AO283" s="81" t="s">
        <v>64</v>
      </c>
    </row>
    <row r="284" spans="1:41" s="26" customFormat="1" ht="80" hidden="1" x14ac:dyDescent="0.35">
      <c r="A284" s="22" t="s">
        <v>788</v>
      </c>
      <c r="B284" s="2" t="s">
        <v>55</v>
      </c>
      <c r="C284" s="21">
        <v>10</v>
      </c>
      <c r="D284" s="23">
        <v>1050</v>
      </c>
      <c r="E284" s="23" t="s">
        <v>622</v>
      </c>
      <c r="F284" s="28" t="s">
        <v>789</v>
      </c>
      <c r="G284" s="3" t="s">
        <v>772</v>
      </c>
      <c r="H284" s="4"/>
      <c r="I284" s="6" t="s">
        <v>773</v>
      </c>
      <c r="J284" s="4">
        <v>79</v>
      </c>
      <c r="K284" s="5">
        <v>24</v>
      </c>
      <c r="L284" s="5" t="s">
        <v>58</v>
      </c>
      <c r="M284" s="4" t="s">
        <v>774</v>
      </c>
      <c r="N284" s="6" t="s">
        <v>764</v>
      </c>
      <c r="O284" s="4" t="s">
        <v>49</v>
      </c>
      <c r="P284" s="4"/>
      <c r="Q284" s="24"/>
      <c r="R284" s="25" t="s">
        <v>765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790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5">
      <c r="A285" s="22" t="s">
        <v>791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792</v>
      </c>
      <c r="H285" s="6"/>
      <c r="I285" s="6" t="s">
        <v>761</v>
      </c>
      <c r="J285" s="6">
        <v>59</v>
      </c>
      <c r="K285" s="21">
        <v>24</v>
      </c>
      <c r="L285" s="5" t="s">
        <v>95</v>
      </c>
      <c r="M285" s="6" t="s">
        <v>763</v>
      </c>
      <c r="N285" s="6" t="s">
        <v>793</v>
      </c>
      <c r="O285" s="6" t="s">
        <v>49</v>
      </c>
      <c r="P285" s="6"/>
      <c r="Q285" s="27"/>
      <c r="R285" s="28" t="s">
        <v>765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794</v>
      </c>
      <c r="AK285" s="65">
        <v>0</v>
      </c>
      <c r="AL285" s="1"/>
      <c r="AM285" s="1" t="s">
        <v>795</v>
      </c>
      <c r="AN285" s="81">
        <v>46143</v>
      </c>
      <c r="AO285" s="81" t="s">
        <v>64</v>
      </c>
    </row>
    <row r="286" spans="1:41" s="26" customFormat="1" hidden="1" x14ac:dyDescent="0.35">
      <c r="A286" s="22" t="s">
        <v>796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778</v>
      </c>
      <c r="H286" s="6"/>
      <c r="I286" s="6" t="s">
        <v>761</v>
      </c>
      <c r="J286" s="6">
        <v>69</v>
      </c>
      <c r="K286" s="21">
        <v>10</v>
      </c>
      <c r="L286" s="21" t="s">
        <v>58</v>
      </c>
      <c r="M286" s="6" t="s">
        <v>779</v>
      </c>
      <c r="N286" s="6" t="s">
        <v>797</v>
      </c>
      <c r="O286" s="6" t="s">
        <v>49</v>
      </c>
      <c r="P286" s="6"/>
      <c r="Q286" s="27"/>
      <c r="R286" s="28" t="s">
        <v>765</v>
      </c>
      <c r="S286" s="6" t="s">
        <v>765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798</v>
      </c>
      <c r="AK286" s="65">
        <v>0</v>
      </c>
      <c r="AL286" s="1"/>
      <c r="AM286" s="1" t="s">
        <v>782</v>
      </c>
      <c r="AN286" s="81">
        <v>46143</v>
      </c>
      <c r="AO286" s="81" t="s">
        <v>64</v>
      </c>
    </row>
    <row r="287" spans="1:41" s="26" customFormat="1" ht="20" hidden="1" x14ac:dyDescent="0.35">
      <c r="A287" s="22" t="s">
        <v>799</v>
      </c>
      <c r="B287" s="2" t="s">
        <v>55</v>
      </c>
      <c r="C287" s="21">
        <v>12.75</v>
      </c>
      <c r="D287" s="23">
        <v>1250</v>
      </c>
      <c r="E287" s="23" t="s">
        <v>622</v>
      </c>
      <c r="F287" s="28" t="s">
        <v>759</v>
      </c>
      <c r="G287" s="3" t="s">
        <v>760</v>
      </c>
      <c r="H287" s="6"/>
      <c r="I287" s="6" t="s">
        <v>761</v>
      </c>
      <c r="J287" s="6">
        <v>69</v>
      </c>
      <c r="K287" s="21">
        <v>24</v>
      </c>
      <c r="L287" s="21" t="s">
        <v>58</v>
      </c>
      <c r="M287" s="6" t="s">
        <v>763</v>
      </c>
      <c r="N287" s="6" t="s">
        <v>764</v>
      </c>
      <c r="O287" s="6" t="s">
        <v>49</v>
      </c>
      <c r="P287" s="6"/>
      <c r="Q287" s="27"/>
      <c r="R287" s="28" t="s">
        <v>765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800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5">
      <c r="A288" s="22" t="s">
        <v>801</v>
      </c>
      <c r="B288" s="2" t="s">
        <v>55</v>
      </c>
      <c r="C288" s="21">
        <v>9.75</v>
      </c>
      <c r="D288" s="23">
        <v>2300</v>
      </c>
      <c r="E288" s="23" t="s">
        <v>622</v>
      </c>
      <c r="F288" s="28" t="s">
        <v>622</v>
      </c>
      <c r="G288" s="3" t="s">
        <v>778</v>
      </c>
      <c r="H288" s="6"/>
      <c r="I288" s="6" t="s">
        <v>761</v>
      </c>
      <c r="J288" s="6">
        <v>59</v>
      </c>
      <c r="K288" s="21">
        <v>10</v>
      </c>
      <c r="L288" s="21" t="s">
        <v>58</v>
      </c>
      <c r="M288" s="6" t="s">
        <v>779</v>
      </c>
      <c r="N288" s="6" t="s">
        <v>802</v>
      </c>
      <c r="O288" s="6" t="s">
        <v>49</v>
      </c>
      <c r="P288" s="6"/>
      <c r="Q288" s="27"/>
      <c r="R288" s="28" t="s">
        <v>765</v>
      </c>
      <c r="S288" s="6" t="s">
        <v>765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803</v>
      </c>
      <c r="AK288" s="65">
        <v>0</v>
      </c>
      <c r="AL288" s="1"/>
      <c r="AM288" s="1" t="s">
        <v>782</v>
      </c>
      <c r="AN288" s="81">
        <v>46143</v>
      </c>
      <c r="AO288" s="81" t="s">
        <v>64</v>
      </c>
    </row>
    <row r="289" spans="1:41" s="26" customFormat="1" hidden="1" x14ac:dyDescent="0.35">
      <c r="A289" s="22" t="s">
        <v>804</v>
      </c>
      <c r="B289" s="2" t="s">
        <v>55</v>
      </c>
      <c r="C289" s="21">
        <v>9.75</v>
      </c>
      <c r="D289" s="23">
        <v>1250</v>
      </c>
      <c r="E289" s="23" t="s">
        <v>622</v>
      </c>
      <c r="F289" s="94" t="s">
        <v>805</v>
      </c>
      <c r="G289" s="3" t="s">
        <v>681</v>
      </c>
      <c r="H289" s="4"/>
      <c r="I289" s="4" t="s">
        <v>761</v>
      </c>
      <c r="J289" s="4">
        <v>59</v>
      </c>
      <c r="K289" s="5">
        <v>24</v>
      </c>
      <c r="L289" s="5" t="s">
        <v>95</v>
      </c>
      <c r="M289" s="4" t="s">
        <v>763</v>
      </c>
      <c r="N289" s="6" t="s">
        <v>793</v>
      </c>
      <c r="O289" s="4" t="s">
        <v>167</v>
      </c>
      <c r="P289" s="4"/>
      <c r="Q289" s="24"/>
      <c r="R289" s="25" t="s">
        <v>765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806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5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622</v>
      </c>
      <c r="F290" s="79"/>
      <c r="G290" s="3" t="s">
        <v>807</v>
      </c>
      <c r="H290" s="4"/>
      <c r="I290" s="6" t="s">
        <v>761</v>
      </c>
      <c r="J290" s="4">
        <v>69</v>
      </c>
      <c r="K290" s="5">
        <v>23</v>
      </c>
      <c r="L290" s="5" t="s">
        <v>95</v>
      </c>
      <c r="M290" s="4" t="s">
        <v>808</v>
      </c>
      <c r="N290" s="4"/>
      <c r="O290" s="4" t="s">
        <v>49</v>
      </c>
      <c r="P290" s="4"/>
      <c r="Q290" s="24"/>
      <c r="R290" s="25" t="s">
        <v>765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809</v>
      </c>
      <c r="AK290" s="65">
        <v>0</v>
      </c>
      <c r="AL290" s="1"/>
      <c r="AM290" s="1" t="s">
        <v>810</v>
      </c>
      <c r="AN290" s="81"/>
      <c r="AO290" s="81"/>
    </row>
    <row r="291" spans="1:41" s="26" customFormat="1" ht="30" hidden="1" x14ac:dyDescent="0.35">
      <c r="A291" s="22" t="s">
        <v>811</v>
      </c>
      <c r="B291" s="2" t="s">
        <v>55</v>
      </c>
      <c r="C291" s="21">
        <v>5.8</v>
      </c>
      <c r="D291" s="23">
        <v>1500</v>
      </c>
      <c r="E291" s="23"/>
      <c r="F291" s="28" t="s">
        <v>300</v>
      </c>
      <c r="G291" s="3" t="s">
        <v>812</v>
      </c>
      <c r="H291" s="6"/>
      <c r="I291" s="6" t="s">
        <v>761</v>
      </c>
      <c r="J291" s="6">
        <v>69</v>
      </c>
      <c r="K291" s="21">
        <v>24</v>
      </c>
      <c r="L291" s="21" t="s">
        <v>95</v>
      </c>
      <c r="M291" s="6" t="s">
        <v>774</v>
      </c>
      <c r="N291" s="6" t="s">
        <v>813</v>
      </c>
      <c r="O291" s="6" t="s">
        <v>49</v>
      </c>
      <c r="P291" s="6"/>
      <c r="Q291" s="27"/>
      <c r="R291" s="28" t="s">
        <v>765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814</v>
      </c>
      <c r="AK291" s="65">
        <v>0</v>
      </c>
      <c r="AL291" s="1"/>
      <c r="AM291" s="1" t="s">
        <v>815</v>
      </c>
      <c r="AN291" s="81">
        <v>46143</v>
      </c>
      <c r="AO291" s="81" t="s">
        <v>64</v>
      </c>
    </row>
    <row r="292" spans="1:41" s="26" customFormat="1" ht="40" hidden="1" x14ac:dyDescent="0.35">
      <c r="A292" s="22" t="s">
        <v>816</v>
      </c>
      <c r="B292" s="2" t="s">
        <v>55</v>
      </c>
      <c r="C292" s="21">
        <v>6.8</v>
      </c>
      <c r="D292" s="23">
        <v>1500</v>
      </c>
      <c r="E292" s="23" t="s">
        <v>622</v>
      </c>
      <c r="F292" s="28" t="s">
        <v>817</v>
      </c>
      <c r="G292" s="3" t="s">
        <v>812</v>
      </c>
      <c r="H292" s="6"/>
      <c r="I292" s="6" t="s">
        <v>761</v>
      </c>
      <c r="J292" s="6">
        <v>69</v>
      </c>
      <c r="K292" s="21">
        <v>26</v>
      </c>
      <c r="L292" s="21" t="s">
        <v>58</v>
      </c>
      <c r="M292" s="6" t="s">
        <v>774</v>
      </c>
      <c r="N292" s="6" t="s">
        <v>818</v>
      </c>
      <c r="O292" s="6" t="s">
        <v>49</v>
      </c>
      <c r="P292" s="6"/>
      <c r="Q292" s="27"/>
      <c r="R292" s="28" t="s">
        <v>765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819</v>
      </c>
      <c r="AK292" s="65">
        <v>0</v>
      </c>
      <c r="AL292" s="1"/>
      <c r="AM292" s="1" t="s">
        <v>820</v>
      </c>
      <c r="AN292" s="81"/>
      <c r="AO292" s="81"/>
    </row>
    <row r="293" spans="1:41" s="26" customFormat="1" ht="40" hidden="1" x14ac:dyDescent="0.35">
      <c r="A293" s="22" t="s">
        <v>821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822</v>
      </c>
      <c r="H293" s="4"/>
      <c r="I293" s="4" t="s">
        <v>761</v>
      </c>
      <c r="J293" s="4">
        <v>59</v>
      </c>
      <c r="K293" s="5">
        <v>23</v>
      </c>
      <c r="L293" s="5" t="s">
        <v>95</v>
      </c>
      <c r="M293" s="4" t="s">
        <v>378</v>
      </c>
      <c r="N293" s="6"/>
      <c r="O293" s="6" t="s">
        <v>167</v>
      </c>
      <c r="P293" s="4"/>
      <c r="Q293" s="24"/>
      <c r="R293" s="25" t="s">
        <v>765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823</v>
      </c>
      <c r="AK293" s="65">
        <v>0</v>
      </c>
      <c r="AL293" s="1"/>
      <c r="AM293" s="1" t="s">
        <v>824</v>
      </c>
      <c r="AN293" s="81">
        <v>46143</v>
      </c>
      <c r="AO293" s="81" t="s">
        <v>64</v>
      </c>
    </row>
    <row r="294" spans="1:41" s="26" customFormat="1" ht="40" hidden="1" x14ac:dyDescent="0.35">
      <c r="A294" s="22" t="s">
        <v>825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778</v>
      </c>
      <c r="H294" s="6"/>
      <c r="I294" s="6" t="s">
        <v>761</v>
      </c>
      <c r="J294" s="6">
        <v>79</v>
      </c>
      <c r="K294" s="21">
        <v>23</v>
      </c>
      <c r="L294" s="21" t="s">
        <v>58</v>
      </c>
      <c r="M294" s="6" t="s">
        <v>763</v>
      </c>
      <c r="N294" s="6" t="s">
        <v>826</v>
      </c>
      <c r="O294" s="6" t="s">
        <v>49</v>
      </c>
      <c r="P294" s="6"/>
      <c r="Q294" s="27"/>
      <c r="R294" s="28" t="s">
        <v>765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827</v>
      </c>
      <c r="AK294" s="65">
        <v>0</v>
      </c>
      <c r="AL294" s="1"/>
      <c r="AM294" s="1" t="s">
        <v>828</v>
      </c>
      <c r="AN294" s="81">
        <v>46143</v>
      </c>
      <c r="AO294" s="81" t="s">
        <v>64</v>
      </c>
    </row>
    <row r="295" spans="1:41" s="26" customFormat="1" hidden="1" x14ac:dyDescent="0.35">
      <c r="A295" s="22" t="s">
        <v>829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830</v>
      </c>
      <c r="H295" s="4"/>
      <c r="I295" s="4"/>
      <c r="J295" s="4">
        <v>63</v>
      </c>
      <c r="K295" s="5"/>
      <c r="L295" s="5" t="s">
        <v>75</v>
      </c>
      <c r="M295" s="4" t="s">
        <v>774</v>
      </c>
      <c r="N295" s="4" t="s">
        <v>831</v>
      </c>
      <c r="O295" s="4" t="s">
        <v>167</v>
      </c>
      <c r="P295" s="4"/>
      <c r="Q295" s="24"/>
      <c r="R295" s="25" t="s">
        <v>765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832</v>
      </c>
      <c r="AK295" s="65">
        <v>0</v>
      </c>
      <c r="AL295" s="1"/>
      <c r="AM295" s="1" t="s">
        <v>820</v>
      </c>
      <c r="AN295" s="81"/>
      <c r="AO295" s="81"/>
    </row>
    <row r="296" spans="1:41" s="26" customFormat="1" hidden="1" x14ac:dyDescent="0.35">
      <c r="A296" s="22" t="s">
        <v>833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834</v>
      </c>
      <c r="H296" s="4"/>
      <c r="I296" s="6" t="s">
        <v>773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835</v>
      </c>
      <c r="O296" s="4" t="s">
        <v>167</v>
      </c>
      <c r="P296" s="4"/>
      <c r="Q296" s="24"/>
      <c r="R296" s="25" t="s">
        <v>765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5">
      <c r="A297" s="22" t="s">
        <v>738</v>
      </c>
      <c r="B297" s="2" t="s">
        <v>836</v>
      </c>
      <c r="C297" s="21">
        <v>2</v>
      </c>
      <c r="D297" s="23">
        <v>1000</v>
      </c>
      <c r="E297" s="23"/>
      <c r="F297" s="28"/>
      <c r="G297" s="3" t="s">
        <v>837</v>
      </c>
      <c r="H297" s="4"/>
      <c r="I297" s="6" t="s">
        <v>773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765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5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784</v>
      </c>
      <c r="H298" s="4"/>
      <c r="I298" s="6" t="s">
        <v>761</v>
      </c>
      <c r="J298" s="4">
        <v>69</v>
      </c>
      <c r="K298" s="5">
        <v>24</v>
      </c>
      <c r="L298" s="5" t="s">
        <v>95</v>
      </c>
      <c r="M298" s="4" t="s">
        <v>838</v>
      </c>
      <c r="N298" s="4"/>
      <c r="O298" s="4" t="s">
        <v>167</v>
      </c>
      <c r="P298" s="4"/>
      <c r="Q298" s="24"/>
      <c r="R298" s="25" t="s">
        <v>765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5">
      <c r="A299" s="22" t="s">
        <v>839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760</v>
      </c>
      <c r="H299" s="4"/>
      <c r="I299" s="6" t="s">
        <v>761</v>
      </c>
      <c r="J299" s="4">
        <v>69</v>
      </c>
      <c r="K299" s="5">
        <v>32</v>
      </c>
      <c r="L299" s="5" t="s">
        <v>762</v>
      </c>
      <c r="M299" s="4" t="s">
        <v>763</v>
      </c>
      <c r="N299" s="6" t="s">
        <v>764</v>
      </c>
      <c r="O299" s="4" t="s">
        <v>263</v>
      </c>
      <c r="P299" s="4"/>
      <c r="Q299" s="24"/>
      <c r="R299" s="25" t="s">
        <v>765</v>
      </c>
      <c r="S299" s="6" t="s">
        <v>765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840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841</v>
      </c>
      <c r="H300" s="6"/>
      <c r="I300" s="6" t="s">
        <v>761</v>
      </c>
      <c r="J300" s="6">
        <v>59</v>
      </c>
      <c r="K300" s="21">
        <v>23</v>
      </c>
      <c r="L300" s="21" t="s">
        <v>58</v>
      </c>
      <c r="M300" s="6" t="s">
        <v>842</v>
      </c>
      <c r="N300" s="6"/>
      <c r="O300" s="6" t="s">
        <v>167</v>
      </c>
      <c r="P300" s="6"/>
      <c r="Q300" s="27"/>
      <c r="R300" s="28" t="s">
        <v>765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411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843</v>
      </c>
      <c r="H301" s="4"/>
      <c r="I301" s="6" t="s">
        <v>773</v>
      </c>
      <c r="J301" s="4">
        <v>69</v>
      </c>
      <c r="K301" s="5">
        <v>22</v>
      </c>
      <c r="L301" s="21" t="s">
        <v>58</v>
      </c>
      <c r="M301" s="4" t="s">
        <v>844</v>
      </c>
      <c r="N301" s="34" t="s">
        <v>845</v>
      </c>
      <c r="O301" s="4" t="s">
        <v>167</v>
      </c>
      <c r="P301" s="4"/>
      <c r="Q301" s="24"/>
      <c r="R301" s="25" t="s">
        <v>765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289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784</v>
      </c>
      <c r="H302" s="6"/>
      <c r="I302" s="6" t="s">
        <v>773</v>
      </c>
      <c r="J302" s="6">
        <v>69</v>
      </c>
      <c r="K302" s="21">
        <v>20</v>
      </c>
      <c r="L302" s="5" t="s">
        <v>95</v>
      </c>
      <c r="M302" s="6" t="s">
        <v>846</v>
      </c>
      <c r="N302" s="6"/>
      <c r="O302" s="6" t="s">
        <v>49</v>
      </c>
      <c r="P302" s="6"/>
      <c r="Q302" s="27"/>
      <c r="R302" s="28" t="s">
        <v>765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847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848</v>
      </c>
      <c r="H303" s="6"/>
      <c r="I303" s="6" t="s">
        <v>761</v>
      </c>
      <c r="J303" s="6">
        <v>59</v>
      </c>
      <c r="K303" s="21">
        <v>10</v>
      </c>
      <c r="L303" s="21" t="s">
        <v>58</v>
      </c>
      <c r="M303" s="6" t="s">
        <v>774</v>
      </c>
      <c r="N303" s="6" t="s">
        <v>273</v>
      </c>
      <c r="O303" s="6" t="s">
        <v>263</v>
      </c>
      <c r="P303" s="6"/>
      <c r="Q303" s="27"/>
      <c r="R303" s="28" t="s">
        <v>765</v>
      </c>
      <c r="S303" s="6" t="s">
        <v>765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5">
      <c r="A304" s="22" t="s">
        <v>849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850</v>
      </c>
      <c r="H304" s="6"/>
      <c r="I304" s="6" t="s">
        <v>761</v>
      </c>
      <c r="J304" s="6">
        <v>69</v>
      </c>
      <c r="K304" s="21">
        <v>21</v>
      </c>
      <c r="L304" s="21" t="s">
        <v>851</v>
      </c>
      <c r="M304" s="6" t="s">
        <v>779</v>
      </c>
      <c r="N304" s="6" t="s">
        <v>793</v>
      </c>
      <c r="O304" s="6" t="s">
        <v>263</v>
      </c>
      <c r="P304" s="6"/>
      <c r="Q304" s="27"/>
      <c r="R304" s="28" t="s">
        <v>765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5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841</v>
      </c>
      <c r="H305" s="6"/>
      <c r="I305" s="6" t="s">
        <v>761</v>
      </c>
      <c r="J305" s="6">
        <v>59</v>
      </c>
      <c r="K305" s="21">
        <v>23</v>
      </c>
      <c r="L305" s="21" t="s">
        <v>58</v>
      </c>
      <c r="M305" s="6" t="s">
        <v>852</v>
      </c>
      <c r="N305" s="6"/>
      <c r="O305" s="6" t="s">
        <v>167</v>
      </c>
      <c r="P305" s="6"/>
      <c r="Q305" s="27"/>
      <c r="R305" s="28" t="s">
        <v>765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853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854</v>
      </c>
      <c r="H306" s="6"/>
      <c r="I306" s="6"/>
      <c r="J306" s="6">
        <v>63</v>
      </c>
      <c r="K306" s="21"/>
      <c r="L306" s="21" t="s">
        <v>75</v>
      </c>
      <c r="M306" s="6" t="s">
        <v>774</v>
      </c>
      <c r="N306" s="6"/>
      <c r="O306" s="6" t="s">
        <v>167</v>
      </c>
      <c r="P306" s="6"/>
      <c r="Q306" s="27"/>
      <c r="R306" s="28" t="s">
        <v>765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5">
      <c r="A307" s="22" t="s">
        <v>855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792</v>
      </c>
      <c r="H307" s="6"/>
      <c r="I307" s="6" t="s">
        <v>761</v>
      </c>
      <c r="J307" s="6">
        <v>59</v>
      </c>
      <c r="K307" s="21">
        <v>24</v>
      </c>
      <c r="L307" s="5" t="s">
        <v>58</v>
      </c>
      <c r="M307" s="6" t="s">
        <v>763</v>
      </c>
      <c r="N307" s="6" t="s">
        <v>793</v>
      </c>
      <c r="O307" s="6" t="s">
        <v>263</v>
      </c>
      <c r="P307" s="6"/>
      <c r="Q307" s="27"/>
      <c r="R307" s="28" t="s">
        <v>765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5">
      <c r="A308" s="22" t="s">
        <v>856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822</v>
      </c>
      <c r="H308" s="4"/>
      <c r="I308" s="6" t="s">
        <v>761</v>
      </c>
      <c r="J308" s="4">
        <v>59</v>
      </c>
      <c r="K308" s="5">
        <v>23</v>
      </c>
      <c r="L308" s="5" t="s">
        <v>58</v>
      </c>
      <c r="M308" s="4" t="s">
        <v>378</v>
      </c>
      <c r="N308" s="4"/>
      <c r="O308" s="6" t="s">
        <v>167</v>
      </c>
      <c r="P308" s="4"/>
      <c r="Q308" s="24"/>
      <c r="R308" s="25" t="s">
        <v>765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5">
      <c r="A309" s="22" t="s">
        <v>857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850</v>
      </c>
      <c r="H309" s="6"/>
      <c r="I309" s="6" t="s">
        <v>761</v>
      </c>
      <c r="J309" s="6">
        <v>59</v>
      </c>
      <c r="K309" s="21">
        <v>24</v>
      </c>
      <c r="L309" s="21" t="s">
        <v>851</v>
      </c>
      <c r="M309" s="6" t="s">
        <v>779</v>
      </c>
      <c r="N309" s="6" t="s">
        <v>793</v>
      </c>
      <c r="O309" s="6" t="s">
        <v>167</v>
      </c>
      <c r="P309" s="6"/>
      <c r="Q309" s="27"/>
      <c r="R309" s="28" t="s">
        <v>765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5">
      <c r="A310" s="22" t="s">
        <v>661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858</v>
      </c>
      <c r="H310" s="6"/>
      <c r="I310" s="6"/>
      <c r="J310" s="6">
        <v>63</v>
      </c>
      <c r="K310" s="21"/>
      <c r="L310" s="21" t="s">
        <v>75</v>
      </c>
      <c r="M310" s="6" t="s">
        <v>774</v>
      </c>
      <c r="N310" s="6" t="s">
        <v>859</v>
      </c>
      <c r="O310" s="6" t="s">
        <v>167</v>
      </c>
      <c r="P310" s="6"/>
      <c r="Q310" s="27"/>
      <c r="R310" s="28" t="s">
        <v>765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5">
      <c r="A311" s="22" t="s">
        <v>749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860</v>
      </c>
      <c r="H311" s="4"/>
      <c r="I311" s="6" t="s">
        <v>761</v>
      </c>
      <c r="J311" s="4">
        <v>69</v>
      </c>
      <c r="K311" s="5">
        <v>24</v>
      </c>
      <c r="L311" s="5" t="s">
        <v>58</v>
      </c>
      <c r="M311" s="4" t="s">
        <v>861</v>
      </c>
      <c r="N311" s="4" t="s">
        <v>307</v>
      </c>
      <c r="O311" s="4" t="s">
        <v>167</v>
      </c>
      <c r="P311" s="4"/>
      <c r="Q311" s="24"/>
      <c r="R311" s="25" t="s">
        <v>765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841</v>
      </c>
      <c r="H312" s="6"/>
      <c r="I312" s="6" t="s">
        <v>761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765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862</v>
      </c>
      <c r="N313" s="6"/>
      <c r="O313" s="6"/>
      <c r="P313" s="6"/>
      <c r="Q313" s="27"/>
      <c r="R313" s="28" t="s">
        <v>765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863</v>
      </c>
      <c r="B314" s="2" t="s">
        <v>836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864</v>
      </c>
      <c r="H314" s="4"/>
      <c r="I314" s="6" t="s">
        <v>773</v>
      </c>
      <c r="J314" s="4">
        <v>69</v>
      </c>
      <c r="K314" s="5">
        <v>26</v>
      </c>
      <c r="L314" s="5" t="s">
        <v>58</v>
      </c>
      <c r="M314" s="4" t="s">
        <v>861</v>
      </c>
      <c r="N314" s="4" t="s">
        <v>865</v>
      </c>
      <c r="O314" s="4" t="s">
        <v>263</v>
      </c>
      <c r="P314" s="4"/>
      <c r="Q314" s="24"/>
      <c r="R314" s="25" t="s">
        <v>765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866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867</v>
      </c>
      <c r="H315" s="6"/>
      <c r="I315" s="6" t="s">
        <v>773</v>
      </c>
      <c r="J315" s="6">
        <v>69</v>
      </c>
      <c r="K315" s="21">
        <v>24</v>
      </c>
      <c r="L315" s="21" t="s">
        <v>58</v>
      </c>
      <c r="M315" s="6" t="s">
        <v>774</v>
      </c>
      <c r="N315" s="6" t="s">
        <v>859</v>
      </c>
      <c r="O315" s="6" t="s">
        <v>263</v>
      </c>
      <c r="P315" s="6"/>
      <c r="Q315" s="27"/>
      <c r="R315" s="28" t="s">
        <v>765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868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869</v>
      </c>
      <c r="H316" s="4"/>
      <c r="I316" s="4" t="s">
        <v>761</v>
      </c>
      <c r="J316" s="4">
        <v>59</v>
      </c>
      <c r="K316" s="5"/>
      <c r="L316" s="5" t="s">
        <v>260</v>
      </c>
      <c r="M316" s="4" t="s">
        <v>870</v>
      </c>
      <c r="N316" s="4"/>
      <c r="O316" s="4" t="s">
        <v>263</v>
      </c>
      <c r="P316" s="4"/>
      <c r="Q316" s="24"/>
      <c r="R316" s="25" t="s">
        <v>765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5">
      <c r="A317" s="22" t="s">
        <v>655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858</v>
      </c>
      <c r="H317" s="6"/>
      <c r="I317" s="6"/>
      <c r="J317" s="6">
        <v>63</v>
      </c>
      <c r="K317" s="21"/>
      <c r="L317" s="21" t="s">
        <v>75</v>
      </c>
      <c r="M317" s="6" t="s">
        <v>774</v>
      </c>
      <c r="N317" s="6" t="s">
        <v>859</v>
      </c>
      <c r="O317" s="6" t="s">
        <v>167</v>
      </c>
      <c r="P317" s="6"/>
      <c r="Q317" s="27"/>
      <c r="R317" s="28" t="s">
        <v>765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5">
      <c r="A318" s="22" t="s">
        <v>871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772</v>
      </c>
      <c r="H318" s="6"/>
      <c r="I318" s="6" t="s">
        <v>761</v>
      </c>
      <c r="J318" s="6">
        <v>69</v>
      </c>
      <c r="K318" s="21">
        <v>25</v>
      </c>
      <c r="L318" s="21" t="s">
        <v>58</v>
      </c>
      <c r="M318" s="6" t="s">
        <v>774</v>
      </c>
      <c r="N318" s="6" t="s">
        <v>872</v>
      </c>
      <c r="O318" s="6" t="s">
        <v>49</v>
      </c>
      <c r="P318" s="6"/>
      <c r="Q318" s="27"/>
      <c r="R318" s="28" t="s">
        <v>765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873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843</v>
      </c>
      <c r="H319" s="6"/>
      <c r="I319" s="6" t="s">
        <v>773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845</v>
      </c>
      <c r="O319" s="6" t="s">
        <v>263</v>
      </c>
      <c r="P319" s="6"/>
      <c r="Q319" s="27"/>
      <c r="R319" s="28" t="s">
        <v>765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346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874</v>
      </c>
      <c r="H320" s="6"/>
      <c r="I320" s="6" t="s">
        <v>761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765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875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774</v>
      </c>
      <c r="N321" s="4"/>
      <c r="O321" s="4" t="s">
        <v>876</v>
      </c>
      <c r="P321" s="4"/>
      <c r="Q321" s="24"/>
      <c r="R321" s="25" t="s">
        <v>765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877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869</v>
      </c>
      <c r="H322" s="6"/>
      <c r="I322" s="6" t="s">
        <v>761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765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878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784</v>
      </c>
      <c r="H323" s="4"/>
      <c r="I323" s="6" t="s">
        <v>773</v>
      </c>
      <c r="J323" s="4">
        <v>69</v>
      </c>
      <c r="K323" s="5">
        <v>20</v>
      </c>
      <c r="L323" s="5" t="s">
        <v>58</v>
      </c>
      <c r="M323" s="4" t="s">
        <v>378</v>
      </c>
      <c r="N323" s="4"/>
      <c r="O323" s="4"/>
      <c r="P323" s="4"/>
      <c r="Q323" s="24"/>
      <c r="R323" s="25" t="s">
        <v>765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879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880</v>
      </c>
      <c r="H324" s="6"/>
      <c r="I324" s="6"/>
      <c r="J324" s="6">
        <v>30</v>
      </c>
      <c r="K324" s="21"/>
      <c r="L324" s="21" t="s">
        <v>881</v>
      </c>
      <c r="M324" s="6" t="s">
        <v>774</v>
      </c>
      <c r="N324" s="6"/>
      <c r="O324" s="6" t="s">
        <v>263</v>
      </c>
      <c r="P324" s="6"/>
      <c r="Q324" s="27"/>
      <c r="R324" s="28" t="s">
        <v>765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882</v>
      </c>
      <c r="H325" s="4"/>
      <c r="I325" s="6" t="s">
        <v>761</v>
      </c>
      <c r="J325" s="4">
        <v>69</v>
      </c>
      <c r="K325" s="5">
        <v>15</v>
      </c>
      <c r="L325" s="5" t="s">
        <v>58</v>
      </c>
      <c r="M325" s="4" t="s">
        <v>774</v>
      </c>
      <c r="N325" s="4"/>
      <c r="O325" s="4" t="s">
        <v>167</v>
      </c>
      <c r="P325" s="4"/>
      <c r="Q325" s="24"/>
      <c r="R325" s="25" t="s">
        <v>765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883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867</v>
      </c>
      <c r="H326" s="4"/>
      <c r="I326" s="6" t="s">
        <v>761</v>
      </c>
      <c r="J326" s="4">
        <v>59</v>
      </c>
      <c r="K326" s="5">
        <v>26</v>
      </c>
      <c r="L326" s="5" t="s">
        <v>881</v>
      </c>
      <c r="M326" s="4" t="s">
        <v>884</v>
      </c>
      <c r="N326" s="4"/>
      <c r="O326" s="4" t="s">
        <v>263</v>
      </c>
      <c r="P326" s="4"/>
      <c r="Q326" s="24"/>
      <c r="R326" s="25" t="s">
        <v>765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5">
      <c r="A327" s="22" t="s">
        <v>657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858</v>
      </c>
      <c r="H327" s="6"/>
      <c r="I327" s="6"/>
      <c r="J327" s="6">
        <v>63</v>
      </c>
      <c r="K327" s="21"/>
      <c r="L327" s="21" t="s">
        <v>75</v>
      </c>
      <c r="M327" s="4" t="s">
        <v>774</v>
      </c>
      <c r="N327" s="6" t="s">
        <v>859</v>
      </c>
      <c r="O327" s="6" t="s">
        <v>263</v>
      </c>
      <c r="P327" s="6"/>
      <c r="Q327" s="27"/>
      <c r="R327" s="28" t="s">
        <v>765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5">
      <c r="A328" s="3" t="s">
        <v>885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841</v>
      </c>
      <c r="H328" s="4"/>
      <c r="I328" s="4" t="s">
        <v>761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765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886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841</v>
      </c>
      <c r="H329" s="4"/>
      <c r="I329" s="4" t="s">
        <v>761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765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887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761</v>
      </c>
      <c r="J330" s="6">
        <v>69</v>
      </c>
      <c r="K330" s="21"/>
      <c r="L330" s="5" t="s">
        <v>888</v>
      </c>
      <c r="M330" s="6" t="s">
        <v>127</v>
      </c>
      <c r="N330" s="6"/>
      <c r="O330" s="6" t="s">
        <v>263</v>
      </c>
      <c r="P330" s="6"/>
      <c r="Q330" s="27"/>
      <c r="R330" s="28" t="s">
        <v>765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889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890</v>
      </c>
      <c r="H331" s="6"/>
      <c r="I331" s="6"/>
      <c r="J331" s="6">
        <v>30</v>
      </c>
      <c r="K331" s="21"/>
      <c r="L331" s="21" t="s">
        <v>881</v>
      </c>
      <c r="M331" s="6" t="s">
        <v>891</v>
      </c>
      <c r="N331" s="6"/>
      <c r="O331" s="6" t="s">
        <v>263</v>
      </c>
      <c r="P331" s="6"/>
      <c r="Q331" s="27"/>
      <c r="R331" s="28" t="s">
        <v>765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892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893</v>
      </c>
      <c r="H332" s="6"/>
      <c r="I332" s="6"/>
      <c r="J332" s="6">
        <v>30</v>
      </c>
      <c r="K332" s="21"/>
      <c r="L332" s="21" t="s">
        <v>888</v>
      </c>
      <c r="M332" s="6" t="s">
        <v>894</v>
      </c>
      <c r="N332" s="6"/>
      <c r="O332" s="6" t="s">
        <v>263</v>
      </c>
      <c r="P332" s="6"/>
      <c r="Q332" s="27"/>
      <c r="R332" s="28" t="s">
        <v>765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895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841</v>
      </c>
      <c r="H333" s="4"/>
      <c r="I333" s="4" t="s">
        <v>761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765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896</v>
      </c>
      <c r="B334" s="2" t="s">
        <v>836</v>
      </c>
      <c r="C334" s="21">
        <v>1.5</v>
      </c>
      <c r="D334" s="23">
        <v>1200</v>
      </c>
      <c r="E334" s="23"/>
      <c r="F334" s="28"/>
      <c r="G334" s="3" t="s">
        <v>897</v>
      </c>
      <c r="H334" s="6"/>
      <c r="I334" s="6" t="s">
        <v>761</v>
      </c>
      <c r="J334" s="6">
        <v>69</v>
      </c>
      <c r="K334" s="21">
        <v>18</v>
      </c>
      <c r="L334" s="21" t="s">
        <v>260</v>
      </c>
      <c r="M334" s="6" t="s">
        <v>861</v>
      </c>
      <c r="N334" s="6" t="s">
        <v>898</v>
      </c>
      <c r="O334" s="6" t="s">
        <v>263</v>
      </c>
      <c r="P334" s="6"/>
      <c r="Q334" s="27"/>
      <c r="R334" s="28" t="s">
        <v>765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899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900</v>
      </c>
      <c r="H335" s="4"/>
      <c r="I335" s="6"/>
      <c r="J335" s="4">
        <v>63</v>
      </c>
      <c r="K335" s="5"/>
      <c r="L335" s="5" t="s">
        <v>75</v>
      </c>
      <c r="M335" s="4" t="s">
        <v>861</v>
      </c>
      <c r="N335" s="4"/>
      <c r="O335" s="4" t="s">
        <v>263</v>
      </c>
      <c r="P335" s="4"/>
      <c r="Q335" s="24"/>
      <c r="R335" s="25" t="s">
        <v>765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298</v>
      </c>
      <c r="B336" s="2"/>
      <c r="C336" s="21"/>
      <c r="D336" s="23"/>
      <c r="E336" s="23"/>
      <c r="F336" s="28" t="s">
        <v>300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765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901</v>
      </c>
      <c r="B337" s="2" t="s">
        <v>836</v>
      </c>
      <c r="C337" s="21">
        <v>1.5</v>
      </c>
      <c r="D337" s="23">
        <v>1030</v>
      </c>
      <c r="E337" s="23"/>
      <c r="F337" s="28"/>
      <c r="G337" s="3" t="s">
        <v>897</v>
      </c>
      <c r="H337" s="6"/>
      <c r="I337" s="6" t="s">
        <v>773</v>
      </c>
      <c r="J337" s="6">
        <v>69</v>
      </c>
      <c r="K337" s="21">
        <v>19</v>
      </c>
      <c r="L337" s="21" t="s">
        <v>260</v>
      </c>
      <c r="M337" s="6" t="s">
        <v>861</v>
      </c>
      <c r="N337" s="6" t="s">
        <v>898</v>
      </c>
      <c r="O337" s="6" t="s">
        <v>263</v>
      </c>
      <c r="P337" s="6"/>
      <c r="Q337" s="27"/>
      <c r="R337" s="28" t="s">
        <v>765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675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902</v>
      </c>
      <c r="H338" s="6"/>
      <c r="I338" s="6"/>
      <c r="J338" s="6">
        <v>30</v>
      </c>
      <c r="K338" s="21"/>
      <c r="L338" s="21" t="s">
        <v>888</v>
      </c>
      <c r="M338" s="6" t="s">
        <v>149</v>
      </c>
      <c r="N338" s="6"/>
      <c r="O338" s="6" t="s">
        <v>263</v>
      </c>
      <c r="P338" s="6"/>
      <c r="Q338" s="27"/>
      <c r="R338" s="28" t="s">
        <v>765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903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904</v>
      </c>
      <c r="H339" s="6"/>
      <c r="I339" s="6"/>
      <c r="J339" s="6">
        <v>30</v>
      </c>
      <c r="K339" s="21"/>
      <c r="L339" s="21" t="s">
        <v>905</v>
      </c>
      <c r="M339" s="6" t="s">
        <v>149</v>
      </c>
      <c r="N339" s="6"/>
      <c r="O339" s="6" t="s">
        <v>263</v>
      </c>
      <c r="P339" s="6"/>
      <c r="Q339" s="27"/>
      <c r="R339" s="28" t="s">
        <v>765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906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907</v>
      </c>
      <c r="H340" s="6"/>
      <c r="I340" s="6"/>
      <c r="J340" s="6">
        <v>30</v>
      </c>
      <c r="K340" s="21"/>
      <c r="L340" s="21" t="s">
        <v>881</v>
      </c>
      <c r="M340" s="6" t="s">
        <v>149</v>
      </c>
      <c r="N340" s="6"/>
      <c r="O340" s="6" t="s">
        <v>263</v>
      </c>
      <c r="P340" s="6"/>
      <c r="Q340" s="27"/>
      <c r="R340" s="28" t="s">
        <v>765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908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909</v>
      </c>
      <c r="H341" s="4"/>
      <c r="I341" s="4"/>
      <c r="J341" s="4">
        <v>30</v>
      </c>
      <c r="K341" s="5"/>
      <c r="L341" s="5" t="s">
        <v>881</v>
      </c>
      <c r="M341" s="4" t="s">
        <v>378</v>
      </c>
      <c r="N341" s="4"/>
      <c r="O341" s="4" t="s">
        <v>263</v>
      </c>
      <c r="P341" s="4"/>
      <c r="Q341" s="24"/>
      <c r="R341" s="25" t="s">
        <v>765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910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822</v>
      </c>
      <c r="H342" s="6"/>
      <c r="I342" s="6"/>
      <c r="J342" s="6">
        <v>30</v>
      </c>
      <c r="K342" s="21"/>
      <c r="L342" s="21" t="s">
        <v>881</v>
      </c>
      <c r="M342" s="6" t="s">
        <v>378</v>
      </c>
      <c r="N342" s="6"/>
      <c r="O342" s="6" t="s">
        <v>263</v>
      </c>
      <c r="P342" s="6"/>
      <c r="Q342" s="27"/>
      <c r="R342" s="28" t="s">
        <v>765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911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867</v>
      </c>
      <c r="H343" s="4"/>
      <c r="I343" s="6" t="s">
        <v>761</v>
      </c>
      <c r="J343" s="4">
        <v>59</v>
      </c>
      <c r="K343" s="5">
        <v>26</v>
      </c>
      <c r="L343" s="5" t="s">
        <v>881</v>
      </c>
      <c r="M343" s="4" t="s">
        <v>884</v>
      </c>
      <c r="N343" s="4"/>
      <c r="O343" s="4" t="s">
        <v>263</v>
      </c>
      <c r="P343" s="4"/>
      <c r="Q343" s="24"/>
      <c r="R343" s="25" t="s">
        <v>765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912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913</v>
      </c>
      <c r="H344" s="6"/>
      <c r="I344" s="6"/>
      <c r="J344" s="6">
        <v>30</v>
      </c>
      <c r="K344" s="21"/>
      <c r="L344" s="21" t="s">
        <v>881</v>
      </c>
      <c r="M344" s="6" t="s">
        <v>149</v>
      </c>
      <c r="N344" s="6"/>
      <c r="O344" s="6" t="s">
        <v>263</v>
      </c>
      <c r="P344" s="6"/>
      <c r="Q344" s="27"/>
      <c r="R344" s="28" t="s">
        <v>765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914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843</v>
      </c>
      <c r="H345" s="4"/>
      <c r="I345" s="4" t="s">
        <v>761</v>
      </c>
      <c r="J345" s="4">
        <v>59</v>
      </c>
      <c r="K345" s="5"/>
      <c r="L345" s="5" t="s">
        <v>881</v>
      </c>
      <c r="M345" s="4" t="s">
        <v>915</v>
      </c>
      <c r="N345" s="4"/>
      <c r="O345" s="4" t="s">
        <v>263</v>
      </c>
      <c r="P345" s="4"/>
      <c r="Q345" s="24"/>
      <c r="R345" s="25" t="s">
        <v>765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666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843</v>
      </c>
      <c r="H346" s="4"/>
      <c r="I346" s="6" t="s">
        <v>761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765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916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917</v>
      </c>
      <c r="H347" s="4"/>
      <c r="I347" s="4"/>
      <c r="J347" s="4"/>
      <c r="K347" s="5"/>
      <c r="L347" s="5" t="s">
        <v>881</v>
      </c>
      <c r="M347" s="4" t="s">
        <v>127</v>
      </c>
      <c r="N347" s="4"/>
      <c r="O347" s="4"/>
      <c r="P347" s="4"/>
      <c r="Q347" s="24"/>
      <c r="R347" s="25" t="s">
        <v>765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918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841</v>
      </c>
      <c r="H348" s="4"/>
      <c r="I348" s="4" t="s">
        <v>761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765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919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902</v>
      </c>
      <c r="H349" s="4"/>
      <c r="I349" s="6"/>
      <c r="J349" s="4">
        <v>30</v>
      </c>
      <c r="K349" s="5"/>
      <c r="L349" s="5" t="s">
        <v>881</v>
      </c>
      <c r="M349" s="4" t="s">
        <v>149</v>
      </c>
      <c r="N349" s="4"/>
      <c r="O349" s="4" t="s">
        <v>263</v>
      </c>
      <c r="P349" s="4"/>
      <c r="Q349" s="24"/>
      <c r="R349" s="25" t="s">
        <v>765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920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909</v>
      </c>
      <c r="H350" s="4"/>
      <c r="I350" s="6"/>
      <c r="J350" s="4">
        <v>30</v>
      </c>
      <c r="K350" s="5"/>
      <c r="L350" s="5" t="s">
        <v>881</v>
      </c>
      <c r="M350" s="4" t="s">
        <v>149</v>
      </c>
      <c r="N350" s="4"/>
      <c r="O350" s="4" t="s">
        <v>263</v>
      </c>
      <c r="P350" s="4"/>
      <c r="Q350" s="24"/>
      <c r="R350" s="25" t="s">
        <v>765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921</v>
      </c>
      <c r="B351" s="2" t="s">
        <v>836</v>
      </c>
      <c r="C351" s="21">
        <v>1.5</v>
      </c>
      <c r="D351" s="23">
        <v>1030</v>
      </c>
      <c r="E351" s="23"/>
      <c r="F351" s="28"/>
      <c r="G351" s="3" t="s">
        <v>897</v>
      </c>
      <c r="H351" s="6"/>
      <c r="I351" s="6" t="s">
        <v>773</v>
      </c>
      <c r="J351" s="6">
        <v>69</v>
      </c>
      <c r="K351" s="21">
        <v>19</v>
      </c>
      <c r="L351" s="21" t="s">
        <v>260</v>
      </c>
      <c r="M351" s="6" t="s">
        <v>861</v>
      </c>
      <c r="N351" s="6" t="s">
        <v>898</v>
      </c>
      <c r="O351" s="6" t="s">
        <v>263</v>
      </c>
      <c r="P351" s="6"/>
      <c r="Q351" s="27"/>
      <c r="R351" s="28" t="s">
        <v>765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922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923</v>
      </c>
      <c r="H352" s="4"/>
      <c r="I352" s="6"/>
      <c r="J352" s="4">
        <v>30</v>
      </c>
      <c r="K352" s="5"/>
      <c r="L352" s="5" t="s">
        <v>881</v>
      </c>
      <c r="M352" s="4" t="s">
        <v>149</v>
      </c>
      <c r="N352" s="4"/>
      <c r="O352" s="4" t="s">
        <v>263</v>
      </c>
      <c r="P352" s="4"/>
      <c r="Q352" s="24"/>
      <c r="R352" s="25" t="s">
        <v>765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754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843</v>
      </c>
      <c r="H353" s="4"/>
      <c r="I353" s="6" t="s">
        <v>761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765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924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923</v>
      </c>
      <c r="H354" s="4"/>
      <c r="I354" s="4"/>
      <c r="J354" s="4">
        <v>30</v>
      </c>
      <c r="K354" s="5"/>
      <c r="L354" s="5" t="s">
        <v>881</v>
      </c>
      <c r="M354" s="4" t="s">
        <v>149</v>
      </c>
      <c r="N354" s="4"/>
      <c r="O354" s="4" t="s">
        <v>263</v>
      </c>
      <c r="P354" s="4"/>
      <c r="Q354" s="24"/>
      <c r="R354" s="25" t="s">
        <v>765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925</v>
      </c>
      <c r="B355" s="2" t="s">
        <v>836</v>
      </c>
      <c r="C355" s="21">
        <v>1.5</v>
      </c>
      <c r="D355" s="23">
        <v>1200</v>
      </c>
      <c r="E355" s="23"/>
      <c r="F355" s="28"/>
      <c r="G355" s="3" t="s">
        <v>897</v>
      </c>
      <c r="H355" s="6"/>
      <c r="I355" s="6" t="s">
        <v>761</v>
      </c>
      <c r="J355" s="6">
        <v>69</v>
      </c>
      <c r="K355" s="21">
        <v>18</v>
      </c>
      <c r="L355" s="21" t="s">
        <v>260</v>
      </c>
      <c r="M355" s="6" t="s">
        <v>861</v>
      </c>
      <c r="N355" s="6" t="s">
        <v>898</v>
      </c>
      <c r="O355" s="6" t="s">
        <v>263</v>
      </c>
      <c r="P355" s="6"/>
      <c r="Q355" s="27"/>
      <c r="R355" s="28" t="s">
        <v>765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414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909</v>
      </c>
      <c r="H356" s="6"/>
      <c r="I356" s="6"/>
      <c r="J356" s="6">
        <v>30</v>
      </c>
      <c r="K356" s="21"/>
      <c r="L356" s="21" t="s">
        <v>881</v>
      </c>
      <c r="M356" s="6" t="s">
        <v>149</v>
      </c>
      <c r="N356" s="6"/>
      <c r="O356" s="6" t="s">
        <v>263</v>
      </c>
      <c r="P356" s="6"/>
      <c r="Q356" s="27"/>
      <c r="R356" s="28" t="s">
        <v>765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926</v>
      </c>
      <c r="B357" s="2" t="s">
        <v>836</v>
      </c>
      <c r="C357" s="21">
        <v>1.5</v>
      </c>
      <c r="D357" s="23">
        <v>490</v>
      </c>
      <c r="E357" s="23"/>
      <c r="F357" s="28"/>
      <c r="G357" s="3" t="s">
        <v>927</v>
      </c>
      <c r="H357" s="1"/>
      <c r="I357" s="6"/>
      <c r="J357" s="4">
        <v>63</v>
      </c>
      <c r="K357" s="5"/>
      <c r="L357" s="5" t="s">
        <v>928</v>
      </c>
      <c r="M357" s="1" t="s">
        <v>929</v>
      </c>
      <c r="N357" s="4"/>
      <c r="O357" s="80" t="s">
        <v>263</v>
      </c>
      <c r="P357" s="1"/>
      <c r="Q357" s="1"/>
      <c r="R357" s="25" t="s">
        <v>765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930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822</v>
      </c>
      <c r="H358" s="6"/>
      <c r="I358" s="6"/>
      <c r="J358" s="6">
        <v>30</v>
      </c>
      <c r="K358" s="21"/>
      <c r="L358" s="21" t="s">
        <v>881</v>
      </c>
      <c r="M358" s="6" t="s">
        <v>378</v>
      </c>
      <c r="N358" s="6"/>
      <c r="O358" s="6" t="s">
        <v>263</v>
      </c>
      <c r="P358" s="6"/>
      <c r="Q358" s="27"/>
      <c r="R358" s="28" t="s">
        <v>765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931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841</v>
      </c>
      <c r="H359" s="4"/>
      <c r="I359" s="4" t="s">
        <v>761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765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932</v>
      </c>
      <c r="B360" s="2" t="s">
        <v>836</v>
      </c>
      <c r="C360" s="21">
        <v>1.5</v>
      </c>
      <c r="D360" s="23">
        <v>1030</v>
      </c>
      <c r="E360" s="23"/>
      <c r="F360" s="28"/>
      <c r="G360" s="3" t="s">
        <v>897</v>
      </c>
      <c r="H360" s="6"/>
      <c r="I360" s="6" t="s">
        <v>773</v>
      </c>
      <c r="J360" s="6">
        <v>69</v>
      </c>
      <c r="K360" s="21">
        <v>19</v>
      </c>
      <c r="L360" s="21" t="s">
        <v>260</v>
      </c>
      <c r="M360" s="6" t="s">
        <v>861</v>
      </c>
      <c r="N360" s="6" t="s">
        <v>898</v>
      </c>
      <c r="O360" s="6" t="s">
        <v>263</v>
      </c>
      <c r="P360" s="6"/>
      <c r="Q360" s="27"/>
      <c r="R360" s="28" t="s">
        <v>765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391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909</v>
      </c>
      <c r="H361" s="6"/>
      <c r="I361" s="6"/>
      <c r="J361" s="6">
        <v>30</v>
      </c>
      <c r="K361" s="21"/>
      <c r="L361" s="21" t="s">
        <v>881</v>
      </c>
      <c r="M361" s="6" t="s">
        <v>149</v>
      </c>
      <c r="N361" s="6"/>
      <c r="O361" s="6" t="s">
        <v>263</v>
      </c>
      <c r="P361" s="6"/>
      <c r="Q361" s="27"/>
      <c r="R361" s="28" t="s">
        <v>765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933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854</v>
      </c>
      <c r="H362" s="6"/>
      <c r="I362" s="6"/>
      <c r="J362" s="6">
        <v>30</v>
      </c>
      <c r="K362" s="21"/>
      <c r="L362" s="21" t="s">
        <v>881</v>
      </c>
      <c r="M362" s="6" t="s">
        <v>934</v>
      </c>
      <c r="N362" s="6"/>
      <c r="O362" s="6" t="s">
        <v>263</v>
      </c>
      <c r="P362" s="6"/>
      <c r="Q362" s="27"/>
      <c r="R362" s="28" t="s">
        <v>765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935</v>
      </c>
      <c r="B363" s="2" t="s">
        <v>836</v>
      </c>
      <c r="C363" s="21">
        <v>1.5</v>
      </c>
      <c r="D363" s="23">
        <v>755</v>
      </c>
      <c r="E363" s="23"/>
      <c r="F363" s="28"/>
      <c r="G363" s="3" t="s">
        <v>927</v>
      </c>
      <c r="H363" s="6"/>
      <c r="I363" s="6"/>
      <c r="J363" s="6">
        <v>63</v>
      </c>
      <c r="K363" s="21"/>
      <c r="L363" s="21" t="s">
        <v>928</v>
      </c>
      <c r="M363" s="6" t="s">
        <v>929</v>
      </c>
      <c r="N363" s="6"/>
      <c r="O363" s="6" t="s">
        <v>263</v>
      </c>
      <c r="P363" s="6"/>
      <c r="Q363" s="27"/>
      <c r="R363" s="28" t="s">
        <v>765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670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822</v>
      </c>
      <c r="H364" s="6"/>
      <c r="I364" s="6"/>
      <c r="J364" s="6">
        <v>30</v>
      </c>
      <c r="K364" s="21"/>
      <c r="L364" s="21" t="s">
        <v>881</v>
      </c>
      <c r="M364" s="6" t="s">
        <v>378</v>
      </c>
      <c r="N364" s="6"/>
      <c r="O364" s="6" t="s">
        <v>263</v>
      </c>
      <c r="P364" s="6"/>
      <c r="Q364" s="27"/>
      <c r="R364" s="28" t="s">
        <v>765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936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909</v>
      </c>
      <c r="H365" s="6"/>
      <c r="I365" s="6"/>
      <c r="J365" s="6">
        <v>30</v>
      </c>
      <c r="K365" s="21"/>
      <c r="L365" s="21" t="s">
        <v>881</v>
      </c>
      <c r="M365" s="6" t="s">
        <v>378</v>
      </c>
      <c r="N365" s="6"/>
      <c r="O365" s="6" t="s">
        <v>263</v>
      </c>
      <c r="P365" s="6"/>
      <c r="Q365" s="27"/>
      <c r="R365" s="28" t="s">
        <v>765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937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938</v>
      </c>
      <c r="H366" s="6"/>
      <c r="I366" s="6"/>
      <c r="J366" s="6">
        <v>30</v>
      </c>
      <c r="K366" s="21"/>
      <c r="L366" s="21" t="s">
        <v>881</v>
      </c>
      <c r="M366" s="6" t="s">
        <v>378</v>
      </c>
      <c r="N366" s="6"/>
      <c r="O366" s="6" t="s">
        <v>263</v>
      </c>
      <c r="P366" s="6"/>
      <c r="Q366" s="27"/>
      <c r="R366" s="28" t="s">
        <v>765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750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939</v>
      </c>
      <c r="H367" s="6"/>
      <c r="I367" s="6"/>
      <c r="J367" s="6">
        <v>30</v>
      </c>
      <c r="K367" s="21"/>
      <c r="L367" s="21" t="s">
        <v>881</v>
      </c>
      <c r="M367" s="6" t="s">
        <v>894</v>
      </c>
      <c r="N367" s="6"/>
      <c r="O367" s="6" t="s">
        <v>263</v>
      </c>
      <c r="P367" s="6"/>
      <c r="Q367" s="27"/>
      <c r="R367" s="28" t="s">
        <v>765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685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893</v>
      </c>
      <c r="H368" s="6"/>
      <c r="I368" s="6"/>
      <c r="J368" s="6">
        <v>30</v>
      </c>
      <c r="K368" s="21"/>
      <c r="L368" s="21" t="s">
        <v>905</v>
      </c>
      <c r="M368" s="6" t="s">
        <v>894</v>
      </c>
      <c r="N368" s="6"/>
      <c r="O368" s="6" t="s">
        <v>263</v>
      </c>
      <c r="P368" s="6"/>
      <c r="Q368" s="27"/>
      <c r="R368" s="28" t="s">
        <v>765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940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938</v>
      </c>
      <c r="H369" s="4"/>
      <c r="I369" s="6"/>
      <c r="J369" s="4">
        <v>30</v>
      </c>
      <c r="K369" s="5"/>
      <c r="L369" s="5" t="s">
        <v>941</v>
      </c>
      <c r="M369" s="4" t="s">
        <v>378</v>
      </c>
      <c r="N369" s="4"/>
      <c r="O369" s="4" t="s">
        <v>263</v>
      </c>
      <c r="P369" s="4"/>
      <c r="Q369" s="24"/>
      <c r="R369" s="25" t="s">
        <v>765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942</v>
      </c>
      <c r="B370" s="2" t="s">
        <v>836</v>
      </c>
      <c r="C370" s="21">
        <v>1.06</v>
      </c>
      <c r="D370" s="23" t="s">
        <v>943</v>
      </c>
      <c r="E370" s="23"/>
      <c r="F370" s="28"/>
      <c r="G370" s="3" t="s">
        <v>944</v>
      </c>
      <c r="H370" s="6"/>
      <c r="I370" s="6"/>
      <c r="J370" s="6">
        <v>30</v>
      </c>
      <c r="K370" s="21"/>
      <c r="L370" s="21" t="s">
        <v>905</v>
      </c>
      <c r="M370" s="4" t="s">
        <v>149</v>
      </c>
      <c r="N370" s="6"/>
      <c r="O370" s="6" t="s">
        <v>263</v>
      </c>
      <c r="P370" s="6"/>
      <c r="Q370" s="27"/>
      <c r="R370" s="28" t="s">
        <v>765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945</v>
      </c>
      <c r="B371" s="2" t="s">
        <v>836</v>
      </c>
      <c r="C371" s="21">
        <v>1.9</v>
      </c>
      <c r="D371" s="6">
        <v>1200</v>
      </c>
      <c r="E371" s="23"/>
      <c r="F371" s="28"/>
      <c r="G371" s="3" t="s">
        <v>946</v>
      </c>
      <c r="H371" s="6"/>
      <c r="I371" s="6"/>
      <c r="J371" s="6">
        <v>30</v>
      </c>
      <c r="K371" s="21"/>
      <c r="L371" s="21" t="s">
        <v>905</v>
      </c>
      <c r="M371" s="6" t="s">
        <v>929</v>
      </c>
      <c r="N371" s="6"/>
      <c r="O371" s="6" t="s">
        <v>263</v>
      </c>
      <c r="P371" s="6"/>
      <c r="Q371" s="27"/>
      <c r="R371" s="28" t="s">
        <v>765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947</v>
      </c>
      <c r="B372" s="2" t="s">
        <v>836</v>
      </c>
      <c r="C372" s="21">
        <v>1.5</v>
      </c>
      <c r="D372" s="23">
        <v>490</v>
      </c>
      <c r="E372" s="23"/>
      <c r="F372" s="28"/>
      <c r="G372" s="3" t="s">
        <v>927</v>
      </c>
      <c r="H372" s="4"/>
      <c r="I372" s="4"/>
      <c r="J372" s="4">
        <v>63</v>
      </c>
      <c r="K372" s="5"/>
      <c r="L372" s="5" t="s">
        <v>928</v>
      </c>
      <c r="M372" s="4" t="s">
        <v>929</v>
      </c>
      <c r="N372" s="4"/>
      <c r="O372" s="4" t="s">
        <v>263</v>
      </c>
      <c r="P372" s="4"/>
      <c r="Q372" s="24"/>
      <c r="R372" s="25" t="s">
        <v>765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948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949</v>
      </c>
      <c r="H373" s="4"/>
      <c r="I373" s="6"/>
      <c r="J373" s="4">
        <v>30</v>
      </c>
      <c r="K373" s="5"/>
      <c r="L373" s="5" t="s">
        <v>905</v>
      </c>
      <c r="M373" s="4" t="s">
        <v>861</v>
      </c>
      <c r="N373" s="4"/>
      <c r="O373" s="4" t="s">
        <v>263</v>
      </c>
      <c r="P373" s="4"/>
      <c r="Q373" s="24"/>
      <c r="R373" s="25" t="s">
        <v>765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950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938</v>
      </c>
      <c r="H374" s="4"/>
      <c r="I374" s="6"/>
      <c r="J374" s="4">
        <v>30</v>
      </c>
      <c r="K374" s="5"/>
      <c r="L374" s="5" t="s">
        <v>881</v>
      </c>
      <c r="M374" s="4" t="s">
        <v>378</v>
      </c>
      <c r="N374" s="4"/>
      <c r="O374" s="4" t="s">
        <v>263</v>
      </c>
      <c r="P374" s="4"/>
      <c r="Q374" s="24"/>
      <c r="R374" s="25" t="s">
        <v>765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951</v>
      </c>
      <c r="B375" s="2" t="s">
        <v>836</v>
      </c>
      <c r="C375" s="21">
        <v>1.5</v>
      </c>
      <c r="D375" s="23">
        <v>490</v>
      </c>
      <c r="E375" s="23"/>
      <c r="F375" s="28"/>
      <c r="G375" s="3" t="s">
        <v>927</v>
      </c>
      <c r="H375" s="4"/>
      <c r="I375" s="6"/>
      <c r="J375" s="4">
        <v>63</v>
      </c>
      <c r="K375" s="5"/>
      <c r="L375" s="5" t="s">
        <v>928</v>
      </c>
      <c r="M375" s="4" t="s">
        <v>929</v>
      </c>
      <c r="N375" s="4"/>
      <c r="O375" s="4" t="s">
        <v>263</v>
      </c>
      <c r="P375" s="4"/>
      <c r="Q375" s="24"/>
      <c r="R375" s="25" t="s">
        <v>765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952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913</v>
      </c>
      <c r="H376" s="6"/>
      <c r="I376" s="6"/>
      <c r="J376" s="6">
        <v>30</v>
      </c>
      <c r="K376" s="5"/>
      <c r="L376" s="5" t="s">
        <v>905</v>
      </c>
      <c r="M376" s="4" t="s">
        <v>774</v>
      </c>
      <c r="N376" s="6"/>
      <c r="O376" s="6" t="s">
        <v>263</v>
      </c>
      <c r="P376" s="6"/>
      <c r="Q376" s="27"/>
      <c r="R376" s="28" t="s">
        <v>765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953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854</v>
      </c>
      <c r="H377" s="4"/>
      <c r="I377" s="4"/>
      <c r="J377" s="4">
        <v>30</v>
      </c>
      <c r="K377" s="5"/>
      <c r="L377" s="5" t="s">
        <v>905</v>
      </c>
      <c r="M377" s="4" t="s">
        <v>934</v>
      </c>
      <c r="N377" s="4"/>
      <c r="O377" s="4" t="s">
        <v>263</v>
      </c>
      <c r="P377" s="4"/>
      <c r="Q377" s="24"/>
      <c r="R377" s="25" t="s">
        <v>765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954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905</v>
      </c>
      <c r="M378" s="4" t="s">
        <v>149</v>
      </c>
      <c r="N378" s="6"/>
      <c r="O378" s="6" t="s">
        <v>263</v>
      </c>
      <c r="P378" s="6"/>
      <c r="Q378" s="27"/>
      <c r="R378" s="28" t="s">
        <v>765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956</v>
      </c>
      <c r="B379" s="2" t="s">
        <v>836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941</v>
      </c>
      <c r="M379" s="6" t="s">
        <v>149</v>
      </c>
      <c r="N379" s="6"/>
      <c r="O379" s="6" t="s">
        <v>263</v>
      </c>
      <c r="P379" s="6"/>
      <c r="Q379" s="27"/>
      <c r="R379" s="28" t="s">
        <v>765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958</v>
      </c>
      <c r="B380" s="2" t="s">
        <v>836</v>
      </c>
      <c r="C380" s="21">
        <v>1.5</v>
      </c>
      <c r="D380" s="6">
        <v>1100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905</v>
      </c>
      <c r="M380" s="4" t="s">
        <v>960</v>
      </c>
      <c r="N380" s="4"/>
      <c r="O380" s="4" t="s">
        <v>263</v>
      </c>
      <c r="P380" s="4"/>
      <c r="Q380" s="24"/>
      <c r="R380" s="25" t="s">
        <v>765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961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850</v>
      </c>
      <c r="H381" s="6"/>
      <c r="I381" s="6"/>
      <c r="J381" s="6">
        <v>30</v>
      </c>
      <c r="K381" s="21"/>
      <c r="L381" s="21" t="s">
        <v>905</v>
      </c>
      <c r="M381" s="4" t="s">
        <v>774</v>
      </c>
      <c r="N381" s="6"/>
      <c r="O381" s="6" t="s">
        <v>263</v>
      </c>
      <c r="P381" s="6"/>
      <c r="Q381" s="27"/>
      <c r="R381" s="28" t="s">
        <v>765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962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963</v>
      </c>
      <c r="H382" s="6"/>
      <c r="I382" s="6"/>
      <c r="J382" s="6">
        <v>31</v>
      </c>
      <c r="K382" s="21"/>
      <c r="L382" s="21" t="s">
        <v>905</v>
      </c>
      <c r="M382" s="6"/>
      <c r="N382" s="6"/>
      <c r="O382" s="6"/>
      <c r="P382" s="6"/>
      <c r="Q382" s="27"/>
      <c r="R382" s="28" t="s">
        <v>765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964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913</v>
      </c>
      <c r="H383" s="6"/>
      <c r="I383" s="6"/>
      <c r="J383" s="6">
        <v>30</v>
      </c>
      <c r="K383" s="21"/>
      <c r="L383" s="21" t="s">
        <v>905</v>
      </c>
      <c r="M383" s="6" t="s">
        <v>934</v>
      </c>
      <c r="N383" s="6"/>
      <c r="O383" s="6" t="s">
        <v>263</v>
      </c>
      <c r="P383" s="6"/>
      <c r="Q383" s="27"/>
      <c r="R383" s="28" t="s">
        <v>765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344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909</v>
      </c>
      <c r="H384" s="6"/>
      <c r="I384" s="6"/>
      <c r="J384" s="6">
        <v>30</v>
      </c>
      <c r="K384" s="21"/>
      <c r="L384" s="21" t="s">
        <v>881</v>
      </c>
      <c r="M384" s="6" t="s">
        <v>149</v>
      </c>
      <c r="N384" s="6"/>
      <c r="O384" s="6" t="s">
        <v>263</v>
      </c>
      <c r="P384" s="6"/>
      <c r="Q384" s="27"/>
      <c r="R384" s="28" t="s">
        <v>765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965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843</v>
      </c>
      <c r="H385" s="4"/>
      <c r="I385" s="6" t="s">
        <v>761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765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488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966</v>
      </c>
      <c r="H386" s="6"/>
      <c r="I386" s="6"/>
      <c r="J386" s="6">
        <v>30</v>
      </c>
      <c r="K386" s="21"/>
      <c r="L386" s="21" t="s">
        <v>905</v>
      </c>
      <c r="M386" s="6" t="s">
        <v>149</v>
      </c>
      <c r="N386" s="6"/>
      <c r="O386" s="6" t="s">
        <v>263</v>
      </c>
      <c r="P386" s="6"/>
      <c r="Q386" s="27"/>
      <c r="R386" s="28" t="s">
        <v>765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337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967</v>
      </c>
      <c r="H387" s="6"/>
      <c r="I387" s="6"/>
      <c r="J387" s="6">
        <v>30</v>
      </c>
      <c r="K387" s="21"/>
      <c r="L387" s="21" t="s">
        <v>881</v>
      </c>
      <c r="M387" s="4" t="s">
        <v>968</v>
      </c>
      <c r="N387" s="6"/>
      <c r="O387" s="6" t="s">
        <v>263</v>
      </c>
      <c r="P387" s="6"/>
      <c r="Q387" s="27"/>
      <c r="R387" s="28" t="s">
        <v>765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969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938</v>
      </c>
      <c r="H388" s="6"/>
      <c r="I388" s="6"/>
      <c r="J388" s="6">
        <v>30</v>
      </c>
      <c r="K388" s="21"/>
      <c r="L388" s="21" t="s">
        <v>905</v>
      </c>
      <c r="M388" s="6" t="s">
        <v>378</v>
      </c>
      <c r="N388" s="6"/>
      <c r="O388" s="6" t="s">
        <v>263</v>
      </c>
      <c r="P388" s="6"/>
      <c r="Q388" s="27"/>
      <c r="R388" s="28" t="s">
        <v>765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970</v>
      </c>
      <c r="B389" s="2" t="s">
        <v>836</v>
      </c>
      <c r="C389" s="21">
        <v>1.5</v>
      </c>
      <c r="D389" s="23">
        <v>1030</v>
      </c>
      <c r="E389" s="23"/>
      <c r="F389" s="28"/>
      <c r="G389" s="3" t="s">
        <v>897</v>
      </c>
      <c r="H389" s="6"/>
      <c r="I389" s="6" t="s">
        <v>773</v>
      </c>
      <c r="J389" s="6">
        <v>69</v>
      </c>
      <c r="K389" s="21">
        <v>19</v>
      </c>
      <c r="L389" s="21" t="s">
        <v>260</v>
      </c>
      <c r="M389" s="6" t="s">
        <v>861</v>
      </c>
      <c r="N389" s="6" t="s">
        <v>898</v>
      </c>
      <c r="O389" s="6" t="s">
        <v>263</v>
      </c>
      <c r="P389" s="6"/>
      <c r="Q389" s="27"/>
      <c r="R389" s="28" t="s">
        <v>765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971</v>
      </c>
      <c r="B390" s="2" t="s">
        <v>836</v>
      </c>
      <c r="C390" s="21">
        <v>1.5</v>
      </c>
      <c r="D390" s="23">
        <v>1200</v>
      </c>
      <c r="E390" s="23"/>
      <c r="F390" s="28"/>
      <c r="G390" s="3" t="s">
        <v>897</v>
      </c>
      <c r="H390" s="6"/>
      <c r="I390" s="6" t="s">
        <v>761</v>
      </c>
      <c r="J390" s="6">
        <v>69</v>
      </c>
      <c r="K390" s="21">
        <v>18</v>
      </c>
      <c r="L390" s="21" t="s">
        <v>260</v>
      </c>
      <c r="M390" s="6" t="s">
        <v>861</v>
      </c>
      <c r="N390" s="6" t="s">
        <v>898</v>
      </c>
      <c r="O390" s="6" t="s">
        <v>263</v>
      </c>
      <c r="P390" s="6"/>
      <c r="Q390" s="27"/>
      <c r="R390" s="28" t="s">
        <v>765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972</v>
      </c>
      <c r="B391" s="2" t="s">
        <v>836</v>
      </c>
      <c r="C391" s="21">
        <v>1.5</v>
      </c>
      <c r="D391" s="23">
        <v>755</v>
      </c>
      <c r="E391" s="23"/>
      <c r="F391" s="28"/>
      <c r="G391" s="3" t="s">
        <v>927</v>
      </c>
      <c r="H391" s="4"/>
      <c r="I391" s="4"/>
      <c r="J391" s="4">
        <v>63</v>
      </c>
      <c r="K391" s="5"/>
      <c r="L391" s="5" t="s">
        <v>928</v>
      </c>
      <c r="M391" s="4" t="s">
        <v>929</v>
      </c>
      <c r="N391" s="4"/>
      <c r="O391" s="4" t="s">
        <v>263</v>
      </c>
      <c r="P391" s="4"/>
      <c r="Q391" s="24"/>
      <c r="R391" s="25" t="s">
        <v>765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973</v>
      </c>
      <c r="B392" s="2" t="s">
        <v>836</v>
      </c>
      <c r="C392" s="21">
        <v>1.2</v>
      </c>
      <c r="D392" s="6">
        <v>1200</v>
      </c>
      <c r="E392" s="23"/>
      <c r="F392" s="28"/>
      <c r="G392" s="3" t="s">
        <v>974</v>
      </c>
      <c r="H392" s="6"/>
      <c r="I392" s="6"/>
      <c r="J392" s="6">
        <v>30</v>
      </c>
      <c r="K392" s="21"/>
      <c r="L392" s="21" t="s">
        <v>905</v>
      </c>
      <c r="M392" s="6" t="s">
        <v>929</v>
      </c>
      <c r="N392" s="6"/>
      <c r="O392" s="6" t="s">
        <v>263</v>
      </c>
      <c r="P392" s="6"/>
      <c r="Q392" s="27"/>
      <c r="R392" s="28" t="s">
        <v>765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975</v>
      </c>
      <c r="B393" s="2" t="s">
        <v>836</v>
      </c>
      <c r="C393" s="21">
        <v>1.5</v>
      </c>
      <c r="D393" s="23">
        <v>1200</v>
      </c>
      <c r="E393" s="23"/>
      <c r="F393" s="28"/>
      <c r="G393" s="3" t="s">
        <v>897</v>
      </c>
      <c r="H393" s="6"/>
      <c r="I393" s="6" t="s">
        <v>761</v>
      </c>
      <c r="J393" s="6">
        <v>69</v>
      </c>
      <c r="K393" s="21">
        <v>18</v>
      </c>
      <c r="L393" s="21" t="s">
        <v>260</v>
      </c>
      <c r="M393" s="6" t="s">
        <v>861</v>
      </c>
      <c r="N393" s="6" t="s">
        <v>898</v>
      </c>
      <c r="O393" s="6" t="s">
        <v>263</v>
      </c>
      <c r="P393" s="6"/>
      <c r="Q393" s="27"/>
      <c r="R393" s="28" t="s">
        <v>765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466</v>
      </c>
      <c r="B394" s="2" t="s">
        <v>836</v>
      </c>
      <c r="C394" s="21">
        <v>1.5</v>
      </c>
      <c r="D394" s="6">
        <v>1200</v>
      </c>
      <c r="E394" s="23"/>
      <c r="F394" s="28"/>
      <c r="G394" s="3" t="s">
        <v>976</v>
      </c>
      <c r="H394" s="4"/>
      <c r="I394" s="4"/>
      <c r="J394" s="4">
        <v>30</v>
      </c>
      <c r="K394" s="5"/>
      <c r="L394" s="5" t="s">
        <v>905</v>
      </c>
      <c r="M394" s="4" t="s">
        <v>149</v>
      </c>
      <c r="N394" s="4"/>
      <c r="O394" s="4" t="s">
        <v>263</v>
      </c>
      <c r="P394" s="4"/>
      <c r="Q394" s="24"/>
      <c r="R394" s="25" t="s">
        <v>765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977</v>
      </c>
      <c r="B395" s="2" t="s">
        <v>836</v>
      </c>
      <c r="C395" s="21">
        <v>1.5</v>
      </c>
      <c r="D395" s="23">
        <v>1200</v>
      </c>
      <c r="E395" s="23"/>
      <c r="F395" s="28"/>
      <c r="G395" s="3" t="s">
        <v>897</v>
      </c>
      <c r="H395" s="6"/>
      <c r="I395" s="6" t="s">
        <v>761</v>
      </c>
      <c r="J395" s="6">
        <v>69</v>
      </c>
      <c r="K395" s="21">
        <v>18</v>
      </c>
      <c r="L395" s="21" t="s">
        <v>260</v>
      </c>
      <c r="M395" s="6" t="s">
        <v>861</v>
      </c>
      <c r="N395" s="6" t="s">
        <v>898</v>
      </c>
      <c r="O395" s="6" t="s">
        <v>263</v>
      </c>
      <c r="P395" s="6"/>
      <c r="Q395" s="27"/>
      <c r="R395" s="28" t="s">
        <v>765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499</v>
      </c>
      <c r="B396" s="2" t="s">
        <v>836</v>
      </c>
      <c r="C396" s="21">
        <v>1.06</v>
      </c>
      <c r="D396" s="6">
        <v>1000</v>
      </c>
      <c r="E396" s="23"/>
      <c r="F396" s="28"/>
      <c r="G396" s="3" t="s">
        <v>974</v>
      </c>
      <c r="H396" s="6"/>
      <c r="I396" s="6"/>
      <c r="J396" s="6">
        <v>30</v>
      </c>
      <c r="K396" s="21"/>
      <c r="L396" s="21" t="s">
        <v>905</v>
      </c>
      <c r="M396" s="6" t="s">
        <v>149</v>
      </c>
      <c r="N396" s="6"/>
      <c r="O396" s="6" t="s">
        <v>263</v>
      </c>
      <c r="P396" s="6"/>
      <c r="Q396" s="27"/>
      <c r="R396" s="28" t="s">
        <v>765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978</v>
      </c>
      <c r="B397" s="2" t="s">
        <v>836</v>
      </c>
      <c r="C397" s="21">
        <v>1.5</v>
      </c>
      <c r="D397" s="23">
        <v>490</v>
      </c>
      <c r="E397" s="23"/>
      <c r="F397" s="28"/>
      <c r="G397" s="3" t="s">
        <v>927</v>
      </c>
      <c r="H397" s="4"/>
      <c r="I397" s="4"/>
      <c r="J397" s="4">
        <v>63</v>
      </c>
      <c r="K397" s="5"/>
      <c r="L397" s="5" t="s">
        <v>928</v>
      </c>
      <c r="M397" s="4" t="s">
        <v>929</v>
      </c>
      <c r="N397" s="4"/>
      <c r="O397" s="4" t="s">
        <v>263</v>
      </c>
      <c r="P397" s="4"/>
      <c r="Q397" s="24"/>
      <c r="R397" s="25" t="s">
        <v>765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979</v>
      </c>
      <c r="B398" s="2" t="s">
        <v>836</v>
      </c>
      <c r="C398" s="21">
        <v>1.2</v>
      </c>
      <c r="D398" s="6">
        <v>1150</v>
      </c>
      <c r="E398" s="23"/>
      <c r="F398" s="28"/>
      <c r="G398" s="3" t="s">
        <v>980</v>
      </c>
      <c r="H398" s="6"/>
      <c r="I398" s="6"/>
      <c r="J398" s="6">
        <v>30</v>
      </c>
      <c r="K398" s="21"/>
      <c r="L398" s="21" t="s">
        <v>905</v>
      </c>
      <c r="M398" s="6" t="s">
        <v>929</v>
      </c>
      <c r="N398" s="6"/>
      <c r="O398" s="6" t="s">
        <v>263</v>
      </c>
      <c r="P398" s="6"/>
      <c r="Q398" s="27"/>
      <c r="R398" s="28" t="s">
        <v>765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981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822</v>
      </c>
      <c r="H399" s="6"/>
      <c r="I399" s="6"/>
      <c r="J399" s="6">
        <v>30</v>
      </c>
      <c r="K399" s="21"/>
      <c r="L399" s="21" t="s">
        <v>905</v>
      </c>
      <c r="M399" s="6" t="s">
        <v>378</v>
      </c>
      <c r="N399" s="6"/>
      <c r="O399" s="6" t="s">
        <v>263</v>
      </c>
      <c r="P399" s="6"/>
      <c r="Q399" s="27"/>
      <c r="R399" s="28" t="s">
        <v>765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982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909</v>
      </c>
      <c r="H400" s="4"/>
      <c r="I400" s="4"/>
      <c r="J400" s="4">
        <v>30</v>
      </c>
      <c r="K400" s="5"/>
      <c r="L400" s="5" t="s">
        <v>905</v>
      </c>
      <c r="M400" s="4" t="s">
        <v>149</v>
      </c>
      <c r="N400" s="4"/>
      <c r="O400" s="4" t="s">
        <v>263</v>
      </c>
      <c r="P400" s="4"/>
      <c r="Q400" s="24"/>
      <c r="R400" s="25" t="s">
        <v>765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983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850</v>
      </c>
      <c r="H401" s="6"/>
      <c r="I401" s="6"/>
      <c r="J401" s="6">
        <v>30</v>
      </c>
      <c r="K401" s="21"/>
      <c r="L401" s="21" t="s">
        <v>905</v>
      </c>
      <c r="M401" s="4" t="s">
        <v>774</v>
      </c>
      <c r="N401" s="6"/>
      <c r="O401" s="6" t="s">
        <v>263</v>
      </c>
      <c r="P401" s="6"/>
      <c r="Q401" s="27"/>
      <c r="R401" s="28" t="s">
        <v>765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984</v>
      </c>
      <c r="B402" s="2" t="s">
        <v>836</v>
      </c>
      <c r="C402" s="21">
        <v>0.9</v>
      </c>
      <c r="D402" s="23">
        <v>1200</v>
      </c>
      <c r="E402" s="23"/>
      <c r="F402" s="28"/>
      <c r="G402" s="3" t="s">
        <v>980</v>
      </c>
      <c r="H402" s="4"/>
      <c r="I402" s="4"/>
      <c r="J402" s="4">
        <v>30</v>
      </c>
      <c r="K402" s="5"/>
      <c r="L402" s="5" t="s">
        <v>905</v>
      </c>
      <c r="M402" s="4" t="s">
        <v>929</v>
      </c>
      <c r="N402" s="4"/>
      <c r="O402" s="4" t="s">
        <v>263</v>
      </c>
      <c r="P402" s="4"/>
      <c r="Q402" s="24"/>
      <c r="R402" s="25" t="s">
        <v>765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985</v>
      </c>
      <c r="B403" s="2" t="s">
        <v>986</v>
      </c>
      <c r="C403" s="21">
        <v>1.5</v>
      </c>
      <c r="D403" s="6">
        <v>1000</v>
      </c>
      <c r="E403" s="23"/>
      <c r="F403" s="28"/>
      <c r="G403" s="3" t="s">
        <v>987</v>
      </c>
      <c r="H403" s="6"/>
      <c r="I403" s="6"/>
      <c r="J403" s="6">
        <v>30</v>
      </c>
      <c r="K403" s="21"/>
      <c r="L403" s="21" t="s">
        <v>905</v>
      </c>
      <c r="M403" s="6" t="s">
        <v>929</v>
      </c>
      <c r="N403" s="6"/>
      <c r="O403" s="6" t="s">
        <v>263</v>
      </c>
      <c r="P403" s="6"/>
      <c r="Q403" s="27"/>
      <c r="R403" s="28" t="s">
        <v>765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988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784</v>
      </c>
      <c r="H404" s="4"/>
      <c r="I404" s="6" t="s">
        <v>761</v>
      </c>
      <c r="J404" s="4">
        <v>69</v>
      </c>
      <c r="K404" s="5">
        <v>13</v>
      </c>
      <c r="L404" s="5" t="s">
        <v>58</v>
      </c>
      <c r="M404" s="4" t="s">
        <v>960</v>
      </c>
      <c r="N404" s="4"/>
      <c r="O404" s="4" t="s">
        <v>263</v>
      </c>
      <c r="P404" s="4"/>
      <c r="Q404" s="24"/>
      <c r="R404" s="25" t="s">
        <v>765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989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778</v>
      </c>
      <c r="H405" s="6"/>
      <c r="I405" s="6" t="s">
        <v>761</v>
      </c>
      <c r="J405" s="6">
        <v>69</v>
      </c>
      <c r="K405" s="21">
        <v>25</v>
      </c>
      <c r="L405" s="21" t="s">
        <v>58</v>
      </c>
      <c r="M405" s="6" t="s">
        <v>779</v>
      </c>
      <c r="N405" s="6" t="s">
        <v>872</v>
      </c>
      <c r="O405" s="6" t="s">
        <v>49</v>
      </c>
      <c r="P405" s="6"/>
      <c r="Q405" s="27"/>
      <c r="R405" s="28" t="s">
        <v>765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5">
      <c r="A406" s="3" t="s">
        <v>990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854</v>
      </c>
      <c r="H406" s="4"/>
      <c r="I406" s="4" t="s">
        <v>761</v>
      </c>
      <c r="J406" s="4">
        <v>59</v>
      </c>
      <c r="K406" s="5"/>
      <c r="L406" s="5" t="s">
        <v>905</v>
      </c>
      <c r="M406" s="4" t="s">
        <v>378</v>
      </c>
      <c r="N406" s="4"/>
      <c r="O406" s="4" t="s">
        <v>167</v>
      </c>
      <c r="P406" s="4"/>
      <c r="Q406" s="24"/>
      <c r="R406" s="25" t="s">
        <v>765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991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778</v>
      </c>
      <c r="H407" s="4"/>
      <c r="I407" s="6" t="s">
        <v>761</v>
      </c>
      <c r="J407" s="4">
        <v>69</v>
      </c>
      <c r="K407" s="5">
        <v>10</v>
      </c>
      <c r="L407" s="5" t="s">
        <v>58</v>
      </c>
      <c r="M407" s="4" t="s">
        <v>779</v>
      </c>
      <c r="N407" s="4" t="s">
        <v>992</v>
      </c>
      <c r="O407" s="4" t="s">
        <v>263</v>
      </c>
      <c r="P407" s="4"/>
      <c r="Q407" s="24"/>
      <c r="R407" s="25" t="s">
        <v>765</v>
      </c>
      <c r="S407" s="4" t="s">
        <v>765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993</v>
      </c>
      <c r="B408" s="2" t="s">
        <v>836</v>
      </c>
      <c r="C408" s="21">
        <v>0.6</v>
      </c>
      <c r="D408" s="23">
        <v>800</v>
      </c>
      <c r="E408" s="23"/>
      <c r="F408" s="28"/>
      <c r="G408" s="3" t="s">
        <v>980</v>
      </c>
      <c r="H408" s="4"/>
      <c r="I408" s="6"/>
      <c r="J408" s="4">
        <v>30</v>
      </c>
      <c r="K408" s="5"/>
      <c r="L408" s="5" t="s">
        <v>905</v>
      </c>
      <c r="M408" s="4" t="s">
        <v>149</v>
      </c>
      <c r="N408" s="4"/>
      <c r="O408" s="4" t="s">
        <v>263</v>
      </c>
      <c r="P408" s="4"/>
      <c r="Q408" s="24"/>
      <c r="R408" s="25" t="s">
        <v>765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994</v>
      </c>
      <c r="B409" s="2" t="s">
        <v>836</v>
      </c>
      <c r="C409" s="21">
        <v>1</v>
      </c>
      <c r="D409" s="23">
        <v>215</v>
      </c>
      <c r="E409" s="23"/>
      <c r="F409" s="28"/>
      <c r="G409" s="3" t="s">
        <v>974</v>
      </c>
      <c r="H409" s="6"/>
      <c r="I409" s="6"/>
      <c r="J409" s="6">
        <v>30</v>
      </c>
      <c r="K409" s="21"/>
      <c r="L409" s="21" t="s">
        <v>905</v>
      </c>
      <c r="M409" s="6" t="s">
        <v>995</v>
      </c>
      <c r="N409" s="6"/>
      <c r="O409" s="6" t="s">
        <v>263</v>
      </c>
      <c r="P409" s="6"/>
      <c r="Q409" s="27"/>
      <c r="R409" s="28" t="s">
        <v>765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996</v>
      </c>
      <c r="B410" s="2" t="s">
        <v>836</v>
      </c>
      <c r="C410" s="21">
        <v>1</v>
      </c>
      <c r="D410" s="23">
        <v>228</v>
      </c>
      <c r="E410" s="23"/>
      <c r="F410" s="28"/>
      <c r="G410" s="3" t="s">
        <v>974</v>
      </c>
      <c r="H410" s="6"/>
      <c r="I410" s="6"/>
      <c r="J410" s="6">
        <v>30</v>
      </c>
      <c r="K410" s="21"/>
      <c r="L410" s="21" t="s">
        <v>905</v>
      </c>
      <c r="M410" s="6" t="s">
        <v>995</v>
      </c>
      <c r="N410" s="6"/>
      <c r="O410" s="6" t="s">
        <v>263</v>
      </c>
      <c r="P410" s="6"/>
      <c r="Q410" s="27"/>
      <c r="R410" s="28" t="s">
        <v>765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434</v>
      </c>
      <c r="B411" s="2" t="s">
        <v>836</v>
      </c>
      <c r="C411" s="21">
        <v>1</v>
      </c>
      <c r="D411" s="23">
        <v>1200</v>
      </c>
      <c r="E411" s="23"/>
      <c r="F411" s="28"/>
      <c r="G411" s="3" t="s">
        <v>997</v>
      </c>
      <c r="H411" s="4"/>
      <c r="I411" s="6"/>
      <c r="J411" s="4">
        <v>30</v>
      </c>
      <c r="K411" s="5"/>
      <c r="L411" s="5" t="s">
        <v>905</v>
      </c>
      <c r="M411" s="4" t="s">
        <v>149</v>
      </c>
      <c r="N411" s="4"/>
      <c r="O411" s="4" t="s">
        <v>263</v>
      </c>
      <c r="P411" s="4"/>
      <c r="Q411" s="24"/>
      <c r="R411" s="25" t="s">
        <v>765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998</v>
      </c>
      <c r="B412" s="2" t="s">
        <v>836</v>
      </c>
      <c r="C412" s="21">
        <v>1.2</v>
      </c>
      <c r="D412" s="6">
        <v>1200</v>
      </c>
      <c r="E412" s="23"/>
      <c r="F412" s="28"/>
      <c r="G412" s="3" t="s">
        <v>980</v>
      </c>
      <c r="H412" s="6"/>
      <c r="I412" s="6"/>
      <c r="J412" s="6">
        <v>30</v>
      </c>
      <c r="K412" s="21"/>
      <c r="L412" s="21" t="s">
        <v>905</v>
      </c>
      <c r="M412" s="6" t="s">
        <v>149</v>
      </c>
      <c r="N412" s="6"/>
      <c r="O412" s="6" t="s">
        <v>263</v>
      </c>
      <c r="P412" s="6"/>
      <c r="Q412" s="27"/>
      <c r="R412" s="28" t="s">
        <v>765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998</v>
      </c>
      <c r="B413" s="2" t="s">
        <v>836</v>
      </c>
      <c r="C413" s="21">
        <v>1.2</v>
      </c>
      <c r="D413" s="23">
        <v>1200</v>
      </c>
      <c r="E413" s="23"/>
      <c r="F413" s="28"/>
      <c r="G413" s="3" t="s">
        <v>980</v>
      </c>
      <c r="H413" s="6"/>
      <c r="I413" s="6"/>
      <c r="J413" s="6">
        <v>30</v>
      </c>
      <c r="K413" s="21"/>
      <c r="L413" s="21" t="s">
        <v>905</v>
      </c>
      <c r="M413" s="6" t="s">
        <v>999</v>
      </c>
      <c r="N413" s="6"/>
      <c r="O413" s="6" t="s">
        <v>263</v>
      </c>
      <c r="P413" s="6"/>
      <c r="Q413" s="27"/>
      <c r="R413" s="28" t="s">
        <v>765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1000</v>
      </c>
      <c r="B414" s="2" t="s">
        <v>836</v>
      </c>
      <c r="C414" s="21">
        <v>1.25</v>
      </c>
      <c r="D414" s="6">
        <v>1200</v>
      </c>
      <c r="E414" s="23"/>
      <c r="F414" s="28"/>
      <c r="G414" s="3" t="s">
        <v>681</v>
      </c>
      <c r="H414" s="6"/>
      <c r="I414" s="6"/>
      <c r="J414" s="6">
        <v>30</v>
      </c>
      <c r="K414" s="21"/>
      <c r="L414" s="21" t="s">
        <v>905</v>
      </c>
      <c r="M414" s="6" t="s">
        <v>894</v>
      </c>
      <c r="N414" s="6"/>
      <c r="O414" s="6" t="s">
        <v>263</v>
      </c>
      <c r="P414" s="6"/>
      <c r="Q414" s="27"/>
      <c r="R414" s="28" t="s">
        <v>765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1001</v>
      </c>
      <c r="B415" s="2" t="s">
        <v>836</v>
      </c>
      <c r="C415" s="21">
        <v>1.5</v>
      </c>
      <c r="D415" s="23"/>
      <c r="E415" s="23"/>
      <c r="F415" s="77"/>
      <c r="G415" s="3" t="s">
        <v>897</v>
      </c>
      <c r="H415" s="6"/>
      <c r="I415" s="6" t="s">
        <v>773</v>
      </c>
      <c r="J415" s="6">
        <v>69</v>
      </c>
      <c r="K415" s="21">
        <v>19</v>
      </c>
      <c r="L415" s="21" t="s">
        <v>260</v>
      </c>
      <c r="M415" s="6" t="s">
        <v>861</v>
      </c>
      <c r="N415" s="6" t="s">
        <v>898</v>
      </c>
      <c r="O415" s="6" t="s">
        <v>263</v>
      </c>
      <c r="P415" s="6"/>
      <c r="Q415" s="27"/>
      <c r="R415" s="28" t="s">
        <v>765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1002</v>
      </c>
      <c r="B416" s="2" t="s">
        <v>836</v>
      </c>
      <c r="C416" s="21">
        <v>1.5</v>
      </c>
      <c r="D416" s="23">
        <v>1200</v>
      </c>
      <c r="E416" s="23"/>
      <c r="F416" s="28"/>
      <c r="G416" s="3" t="s">
        <v>897</v>
      </c>
      <c r="H416" s="6"/>
      <c r="I416" s="6" t="s">
        <v>761</v>
      </c>
      <c r="J416" s="6">
        <v>69</v>
      </c>
      <c r="K416" s="21">
        <v>18</v>
      </c>
      <c r="L416" s="21" t="s">
        <v>260</v>
      </c>
      <c r="M416" s="6" t="s">
        <v>861</v>
      </c>
      <c r="N416" s="6" t="s">
        <v>898</v>
      </c>
      <c r="O416" s="6" t="s">
        <v>263</v>
      </c>
      <c r="P416" s="6"/>
      <c r="Q416" s="27"/>
      <c r="R416" s="28" t="s">
        <v>765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1003</v>
      </c>
      <c r="B417" s="2" t="s">
        <v>836</v>
      </c>
      <c r="C417" s="21">
        <v>1.5</v>
      </c>
      <c r="D417" s="23">
        <v>1200</v>
      </c>
      <c r="E417" s="23"/>
      <c r="F417" s="28"/>
      <c r="G417" s="3" t="s">
        <v>897</v>
      </c>
      <c r="H417" s="6"/>
      <c r="I417" s="6" t="s">
        <v>761</v>
      </c>
      <c r="J417" s="6">
        <v>69</v>
      </c>
      <c r="K417" s="21">
        <v>18</v>
      </c>
      <c r="L417" s="21" t="s">
        <v>260</v>
      </c>
      <c r="M417" s="6" t="s">
        <v>861</v>
      </c>
      <c r="N417" s="6" t="s">
        <v>898</v>
      </c>
      <c r="O417" s="6" t="s">
        <v>263</v>
      </c>
      <c r="P417" s="6"/>
      <c r="Q417" s="27"/>
      <c r="R417" s="28" t="s">
        <v>765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1004</v>
      </c>
      <c r="B418" s="2" t="s">
        <v>836</v>
      </c>
      <c r="C418" s="21">
        <v>2</v>
      </c>
      <c r="D418" s="23"/>
      <c r="E418" s="23"/>
      <c r="F418" s="77"/>
      <c r="G418" s="3" t="s">
        <v>897</v>
      </c>
      <c r="H418" s="6"/>
      <c r="I418" s="6" t="s">
        <v>761</v>
      </c>
      <c r="J418" s="6">
        <v>69</v>
      </c>
      <c r="K418" s="21">
        <v>18</v>
      </c>
      <c r="L418" s="21" t="s">
        <v>260</v>
      </c>
      <c r="M418" s="6" t="s">
        <v>861</v>
      </c>
      <c r="N418" s="6" t="s">
        <v>898</v>
      </c>
      <c r="O418" s="6" t="s">
        <v>263</v>
      </c>
      <c r="P418" s="6"/>
      <c r="Q418" s="27"/>
      <c r="R418" s="28" t="s">
        <v>765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1005</v>
      </c>
      <c r="B419" s="2" t="s">
        <v>836</v>
      </c>
      <c r="C419" s="21">
        <v>1.5</v>
      </c>
      <c r="D419" s="23">
        <v>1200</v>
      </c>
      <c r="E419" s="23"/>
      <c r="F419" s="28"/>
      <c r="G419" s="3" t="s">
        <v>897</v>
      </c>
      <c r="H419" s="6"/>
      <c r="I419" s="6" t="s">
        <v>761</v>
      </c>
      <c r="J419" s="6">
        <v>69</v>
      </c>
      <c r="K419" s="21">
        <v>18</v>
      </c>
      <c r="L419" s="21" t="s">
        <v>260</v>
      </c>
      <c r="M419" s="6" t="s">
        <v>861</v>
      </c>
      <c r="N419" s="6" t="s">
        <v>898</v>
      </c>
      <c r="O419" s="6" t="s">
        <v>263</v>
      </c>
      <c r="P419" s="6"/>
      <c r="Q419" s="27"/>
      <c r="R419" s="28" t="s">
        <v>765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1006</v>
      </c>
      <c r="B420" s="2" t="s">
        <v>836</v>
      </c>
      <c r="C420" s="21">
        <v>1.5</v>
      </c>
      <c r="D420" s="6">
        <v>1200</v>
      </c>
      <c r="E420" s="23"/>
      <c r="F420" s="28"/>
      <c r="G420" s="3" t="s">
        <v>980</v>
      </c>
      <c r="H420" s="6"/>
      <c r="I420" s="6"/>
      <c r="J420" s="6">
        <v>30</v>
      </c>
      <c r="K420" s="21"/>
      <c r="L420" s="21" t="s">
        <v>905</v>
      </c>
      <c r="M420" s="6" t="s">
        <v>861</v>
      </c>
      <c r="N420" s="6"/>
      <c r="O420" s="6" t="s">
        <v>263</v>
      </c>
      <c r="P420" s="6"/>
      <c r="Q420" s="27"/>
      <c r="R420" s="28" t="s">
        <v>765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1007</v>
      </c>
      <c r="B421" s="2" t="s">
        <v>836</v>
      </c>
      <c r="C421" s="21">
        <v>1.5</v>
      </c>
      <c r="D421" s="6">
        <v>1150</v>
      </c>
      <c r="E421" s="23"/>
      <c r="F421" s="28"/>
      <c r="G421" s="3" t="s">
        <v>1008</v>
      </c>
      <c r="H421" s="6"/>
      <c r="I421" s="6"/>
      <c r="J421" s="6">
        <v>30</v>
      </c>
      <c r="K421" s="21"/>
      <c r="L421" s="21" t="s">
        <v>905</v>
      </c>
      <c r="M421" s="6" t="s">
        <v>929</v>
      </c>
      <c r="N421" s="6"/>
      <c r="O421" s="6" t="s">
        <v>263</v>
      </c>
      <c r="P421" s="6"/>
      <c r="Q421" s="27"/>
      <c r="R421" s="28" t="s">
        <v>765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1009</v>
      </c>
      <c r="B422" s="2" t="s">
        <v>836</v>
      </c>
      <c r="C422" s="21">
        <v>1.5</v>
      </c>
      <c r="D422" s="6">
        <v>1200</v>
      </c>
      <c r="E422" s="23"/>
      <c r="F422" s="28"/>
      <c r="G422" s="3" t="s">
        <v>1010</v>
      </c>
      <c r="H422" s="6"/>
      <c r="I422" s="6"/>
      <c r="J422" s="6">
        <v>30</v>
      </c>
      <c r="K422" s="21"/>
      <c r="L422" s="21" t="s">
        <v>905</v>
      </c>
      <c r="M422" s="6" t="s">
        <v>861</v>
      </c>
      <c r="N422" s="6"/>
      <c r="O422" s="6" t="s">
        <v>263</v>
      </c>
      <c r="P422" s="6"/>
      <c r="Q422" s="27"/>
      <c r="R422" s="28" t="s">
        <v>765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1011</v>
      </c>
      <c r="B423" s="2" t="s">
        <v>836</v>
      </c>
      <c r="C423" s="21">
        <v>1.5</v>
      </c>
      <c r="D423" s="6">
        <v>1300</v>
      </c>
      <c r="E423" s="23"/>
      <c r="F423" s="28"/>
      <c r="G423" s="3" t="s">
        <v>939</v>
      </c>
      <c r="H423" s="4"/>
      <c r="I423" s="6"/>
      <c r="J423" s="4">
        <v>30</v>
      </c>
      <c r="K423" s="5"/>
      <c r="L423" s="5" t="s">
        <v>905</v>
      </c>
      <c r="M423" s="4" t="s">
        <v>995</v>
      </c>
      <c r="N423" s="4"/>
      <c r="O423" s="4" t="s">
        <v>263</v>
      </c>
      <c r="P423" s="4"/>
      <c r="Q423" s="24"/>
      <c r="R423" s="25" t="s">
        <v>765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1012</v>
      </c>
      <c r="B424" s="2" t="s">
        <v>986</v>
      </c>
      <c r="C424" s="21">
        <v>1.5</v>
      </c>
      <c r="D424" s="6">
        <v>1300</v>
      </c>
      <c r="E424" s="23"/>
      <c r="F424" s="28"/>
      <c r="G424" s="3" t="s">
        <v>987</v>
      </c>
      <c r="H424" s="4"/>
      <c r="I424" s="6"/>
      <c r="J424" s="4">
        <v>30</v>
      </c>
      <c r="K424" s="5"/>
      <c r="L424" s="5" t="s">
        <v>905</v>
      </c>
      <c r="M424" s="4" t="s">
        <v>774</v>
      </c>
      <c r="N424" s="4"/>
      <c r="O424" s="4" t="s">
        <v>263</v>
      </c>
      <c r="P424" s="4"/>
      <c r="Q424" s="24"/>
      <c r="R424" s="25" t="s">
        <v>765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1013</v>
      </c>
      <c r="B425" s="2" t="s">
        <v>836</v>
      </c>
      <c r="C425" s="21">
        <v>1.9</v>
      </c>
      <c r="D425" s="6">
        <v>1100</v>
      </c>
      <c r="E425" s="23"/>
      <c r="F425" s="28"/>
      <c r="G425" s="3" t="s">
        <v>1014</v>
      </c>
      <c r="H425" s="6"/>
      <c r="I425" s="6"/>
      <c r="J425" s="6">
        <v>30</v>
      </c>
      <c r="K425" s="21"/>
      <c r="L425" s="21" t="s">
        <v>905</v>
      </c>
      <c r="M425" s="6" t="s">
        <v>861</v>
      </c>
      <c r="N425" s="6"/>
      <c r="O425" s="6" t="s">
        <v>263</v>
      </c>
      <c r="P425" s="6"/>
      <c r="Q425" s="27"/>
      <c r="R425" s="28" t="s">
        <v>765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1015</v>
      </c>
      <c r="B426" s="2" t="s">
        <v>836</v>
      </c>
      <c r="C426" s="21">
        <v>1.9</v>
      </c>
      <c r="D426" s="6">
        <v>1200</v>
      </c>
      <c r="E426" s="23"/>
      <c r="F426" s="28"/>
      <c r="G426" s="3" t="s">
        <v>1014</v>
      </c>
      <c r="H426" s="6"/>
      <c r="I426" s="6"/>
      <c r="J426" s="6">
        <v>30</v>
      </c>
      <c r="K426" s="21"/>
      <c r="L426" s="21" t="s">
        <v>905</v>
      </c>
      <c r="M426" s="6" t="s">
        <v>929</v>
      </c>
      <c r="N426" s="6"/>
      <c r="O426" s="6" t="s">
        <v>263</v>
      </c>
      <c r="P426" s="6"/>
      <c r="Q426" s="27"/>
      <c r="R426" s="28" t="s">
        <v>765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1016</v>
      </c>
      <c r="B427" s="2" t="s">
        <v>836</v>
      </c>
      <c r="C427" s="21">
        <v>1.9</v>
      </c>
      <c r="D427" s="6">
        <v>1100</v>
      </c>
      <c r="E427" s="23"/>
      <c r="F427" s="28"/>
      <c r="G427" s="3" t="s">
        <v>1014</v>
      </c>
      <c r="H427" s="6"/>
      <c r="I427" s="6"/>
      <c r="J427" s="6">
        <v>30</v>
      </c>
      <c r="K427" s="21"/>
      <c r="L427" s="21" t="s">
        <v>905</v>
      </c>
      <c r="M427" s="6" t="s">
        <v>929</v>
      </c>
      <c r="N427" s="6"/>
      <c r="O427" s="6" t="s">
        <v>263</v>
      </c>
      <c r="P427" s="6"/>
      <c r="Q427" s="27"/>
      <c r="R427" s="28" t="s">
        <v>765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1017</v>
      </c>
      <c r="B428" s="2" t="s">
        <v>836</v>
      </c>
      <c r="C428" s="21">
        <v>1.9</v>
      </c>
      <c r="D428" s="6">
        <v>1100</v>
      </c>
      <c r="E428" s="23"/>
      <c r="F428" s="28"/>
      <c r="G428" s="3" t="s">
        <v>1018</v>
      </c>
      <c r="H428" s="6"/>
      <c r="I428" s="6"/>
      <c r="J428" s="6">
        <v>30</v>
      </c>
      <c r="K428" s="21"/>
      <c r="L428" s="21" t="s">
        <v>905</v>
      </c>
      <c r="M428" s="4" t="s">
        <v>929</v>
      </c>
      <c r="N428" s="6"/>
      <c r="O428" s="6" t="s">
        <v>263</v>
      </c>
      <c r="P428" s="6"/>
      <c r="Q428" s="27"/>
      <c r="R428" s="28" t="s">
        <v>765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1019</v>
      </c>
      <c r="B429" s="2" t="s">
        <v>836</v>
      </c>
      <c r="C429" s="21">
        <v>1.9</v>
      </c>
      <c r="D429" s="23">
        <v>1200</v>
      </c>
      <c r="E429" s="23"/>
      <c r="F429" s="28"/>
      <c r="G429" s="3" t="s">
        <v>1014</v>
      </c>
      <c r="H429" s="6"/>
      <c r="I429" s="6"/>
      <c r="J429" s="6">
        <v>30</v>
      </c>
      <c r="K429" s="21"/>
      <c r="L429" s="21" t="s">
        <v>905</v>
      </c>
      <c r="M429" s="6" t="s">
        <v>774</v>
      </c>
      <c r="N429" s="6"/>
      <c r="O429" s="6" t="s">
        <v>263</v>
      </c>
      <c r="P429" s="6"/>
      <c r="Q429" s="27"/>
      <c r="R429" s="28" t="s">
        <v>765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1020</v>
      </c>
      <c r="B430" s="2" t="s">
        <v>986</v>
      </c>
      <c r="C430" s="21">
        <v>2</v>
      </c>
      <c r="D430" s="6">
        <v>1050</v>
      </c>
      <c r="E430" s="23"/>
      <c r="F430" s="28"/>
      <c r="G430" s="3" t="s">
        <v>1021</v>
      </c>
      <c r="H430" s="4"/>
      <c r="I430" s="4"/>
      <c r="J430" s="4">
        <v>30</v>
      </c>
      <c r="K430" s="5"/>
      <c r="L430" s="5" t="s">
        <v>905</v>
      </c>
      <c r="M430" s="4" t="s">
        <v>929</v>
      </c>
      <c r="N430" s="4"/>
      <c r="O430" s="4" t="s">
        <v>263</v>
      </c>
      <c r="P430" s="4"/>
      <c r="Q430" s="24"/>
      <c r="R430" s="25" t="s">
        <v>765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1022</v>
      </c>
      <c r="B431" s="2" t="s">
        <v>836</v>
      </c>
      <c r="C431" s="21">
        <v>2</v>
      </c>
      <c r="D431" s="23" t="s">
        <v>1023</v>
      </c>
      <c r="E431" s="23"/>
      <c r="F431" s="28"/>
      <c r="G431" s="3" t="s">
        <v>1024</v>
      </c>
      <c r="H431" s="6"/>
      <c r="I431" s="6"/>
      <c r="J431" s="6">
        <v>30</v>
      </c>
      <c r="K431" s="21"/>
      <c r="L431" s="21" t="s">
        <v>905</v>
      </c>
      <c r="M431" s="6" t="s">
        <v>968</v>
      </c>
      <c r="N431" s="6"/>
      <c r="O431" s="6" t="s">
        <v>263</v>
      </c>
      <c r="P431" s="6"/>
      <c r="Q431" s="27"/>
      <c r="R431" s="28" t="s">
        <v>765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653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909</v>
      </c>
      <c r="H432" s="4"/>
      <c r="I432" s="4"/>
      <c r="J432" s="4">
        <v>30</v>
      </c>
      <c r="K432" s="5"/>
      <c r="L432" s="5" t="s">
        <v>905</v>
      </c>
      <c r="M432" s="4" t="s">
        <v>891</v>
      </c>
      <c r="N432" s="4"/>
      <c r="O432" s="4" t="s">
        <v>263</v>
      </c>
      <c r="P432" s="4"/>
      <c r="Q432" s="24"/>
      <c r="R432" s="25" t="s">
        <v>765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1025</v>
      </c>
      <c r="B433" s="2" t="s">
        <v>836</v>
      </c>
      <c r="C433" s="21">
        <v>2</v>
      </c>
      <c r="D433" s="6">
        <v>1200</v>
      </c>
      <c r="E433" s="23"/>
      <c r="F433" s="28"/>
      <c r="G433" s="3" t="s">
        <v>1026</v>
      </c>
      <c r="H433" s="4"/>
      <c r="I433" s="4"/>
      <c r="J433" s="4">
        <v>30</v>
      </c>
      <c r="K433" s="5"/>
      <c r="L433" s="5" t="s">
        <v>905</v>
      </c>
      <c r="M433" s="4" t="s">
        <v>774</v>
      </c>
      <c r="N433" s="4"/>
      <c r="O433" s="4" t="s">
        <v>263</v>
      </c>
      <c r="P433" s="4"/>
      <c r="Q433" s="24"/>
      <c r="R433" s="25" t="s">
        <v>765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1027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913</v>
      </c>
      <c r="H434" s="6"/>
      <c r="I434" s="6"/>
      <c r="J434" s="6">
        <v>30</v>
      </c>
      <c r="K434" s="21"/>
      <c r="L434" s="21" t="s">
        <v>905</v>
      </c>
      <c r="M434" s="6" t="s">
        <v>378</v>
      </c>
      <c r="N434" s="6"/>
      <c r="O434" s="6" t="s">
        <v>263</v>
      </c>
      <c r="P434" s="6"/>
      <c r="Q434" s="27"/>
      <c r="R434" s="28" t="s">
        <v>765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1028</v>
      </c>
      <c r="B435" s="2" t="s">
        <v>836</v>
      </c>
      <c r="C435" s="21">
        <v>2.25</v>
      </c>
      <c r="D435" s="6">
        <v>1200</v>
      </c>
      <c r="E435" s="23"/>
      <c r="F435" s="28"/>
      <c r="G435" s="3" t="s">
        <v>1029</v>
      </c>
      <c r="H435" s="4"/>
      <c r="I435" s="6"/>
      <c r="J435" s="4">
        <v>30</v>
      </c>
      <c r="K435" s="5"/>
      <c r="L435" s="5" t="s">
        <v>905</v>
      </c>
      <c r="M435" s="4" t="s">
        <v>149</v>
      </c>
      <c r="N435" s="4"/>
      <c r="O435" s="4" t="s">
        <v>263</v>
      </c>
      <c r="P435" s="4"/>
      <c r="Q435" s="24"/>
      <c r="R435" s="25" t="s">
        <v>765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1030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1031</v>
      </c>
      <c r="H436" s="6"/>
      <c r="I436" s="6"/>
      <c r="J436" s="6">
        <v>30</v>
      </c>
      <c r="K436" s="21"/>
      <c r="L436" s="21" t="s">
        <v>905</v>
      </c>
      <c r="M436" s="6" t="s">
        <v>894</v>
      </c>
      <c r="N436" s="6"/>
      <c r="O436" s="6" t="s">
        <v>263</v>
      </c>
      <c r="P436" s="6"/>
      <c r="Q436" s="27"/>
      <c r="R436" s="28" t="s">
        <v>765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1032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967</v>
      </c>
      <c r="H437" s="6"/>
      <c r="I437" s="6"/>
      <c r="J437" s="6">
        <v>30</v>
      </c>
      <c r="K437" s="21"/>
      <c r="L437" s="21" t="s">
        <v>905</v>
      </c>
      <c r="M437" s="6" t="s">
        <v>149</v>
      </c>
      <c r="N437" s="6"/>
      <c r="O437" s="6" t="s">
        <v>263</v>
      </c>
      <c r="P437" s="6"/>
      <c r="Q437" s="27"/>
      <c r="R437" s="28" t="s">
        <v>765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418</v>
      </c>
      <c r="B438" s="2" t="s">
        <v>55</v>
      </c>
      <c r="C438" s="21">
        <v>2.5</v>
      </c>
      <c r="D438" s="23" t="s">
        <v>1033</v>
      </c>
      <c r="E438" s="23"/>
      <c r="F438" s="28"/>
      <c r="G438" s="3" t="s">
        <v>1034</v>
      </c>
      <c r="H438" s="6"/>
      <c r="I438" s="6"/>
      <c r="J438" s="6">
        <v>30</v>
      </c>
      <c r="K438" s="21"/>
      <c r="L438" s="21" t="s">
        <v>905</v>
      </c>
      <c r="M438" s="6" t="s">
        <v>968</v>
      </c>
      <c r="N438" s="6"/>
      <c r="O438" s="6" t="s">
        <v>263</v>
      </c>
      <c r="P438" s="6"/>
      <c r="Q438" s="27"/>
      <c r="R438" s="28" t="s">
        <v>765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755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967</v>
      </c>
      <c r="H439" s="6"/>
      <c r="I439" s="6"/>
      <c r="J439" s="6">
        <v>30</v>
      </c>
      <c r="K439" s="21"/>
      <c r="L439" s="21" t="s">
        <v>905</v>
      </c>
      <c r="M439" s="6" t="s">
        <v>929</v>
      </c>
      <c r="N439" s="6"/>
      <c r="O439" s="6" t="s">
        <v>263</v>
      </c>
      <c r="P439" s="6"/>
      <c r="Q439" s="27"/>
      <c r="R439" s="28" t="s">
        <v>765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1035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909</v>
      </c>
      <c r="H440" s="4"/>
      <c r="I440" s="4"/>
      <c r="J440" s="4">
        <v>30</v>
      </c>
      <c r="K440" s="5"/>
      <c r="L440" s="5" t="s">
        <v>905</v>
      </c>
      <c r="M440" s="4" t="s">
        <v>774</v>
      </c>
      <c r="N440" s="4"/>
      <c r="O440" s="4" t="s">
        <v>263</v>
      </c>
      <c r="P440" s="4"/>
      <c r="Q440" s="24"/>
      <c r="R440" s="25" t="s">
        <v>765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1036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923</v>
      </c>
      <c r="H441" s="4"/>
      <c r="I441" s="4"/>
      <c r="J441" s="4">
        <v>30</v>
      </c>
      <c r="K441" s="5"/>
      <c r="L441" s="5" t="s">
        <v>905</v>
      </c>
      <c r="M441" s="4" t="s">
        <v>960</v>
      </c>
      <c r="N441" s="4"/>
      <c r="O441" s="4" t="s">
        <v>263</v>
      </c>
      <c r="P441" s="4"/>
      <c r="Q441" s="24"/>
      <c r="R441" s="25" t="s">
        <v>765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1037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1038</v>
      </c>
      <c r="H442" s="6"/>
      <c r="I442" s="6"/>
      <c r="J442" s="6">
        <v>30</v>
      </c>
      <c r="K442" s="21"/>
      <c r="L442" s="21" t="s">
        <v>905</v>
      </c>
      <c r="M442" s="6" t="s">
        <v>894</v>
      </c>
      <c r="N442" s="6"/>
      <c r="O442" s="6" t="s">
        <v>263</v>
      </c>
      <c r="P442" s="6"/>
      <c r="Q442" s="27"/>
      <c r="R442" s="28" t="s">
        <v>765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1039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974</v>
      </c>
      <c r="H443" s="6"/>
      <c r="I443" s="6"/>
      <c r="J443" s="6">
        <v>30</v>
      </c>
      <c r="K443" s="21"/>
      <c r="L443" s="21" t="s">
        <v>905</v>
      </c>
      <c r="M443" s="6" t="s">
        <v>861</v>
      </c>
      <c r="N443" s="6"/>
      <c r="O443" s="6" t="s">
        <v>263</v>
      </c>
      <c r="P443" s="6"/>
      <c r="Q443" s="27"/>
      <c r="R443" s="28" t="s">
        <v>765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1040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1041</v>
      </c>
      <c r="H444" s="6"/>
      <c r="I444" s="6"/>
      <c r="J444" s="6">
        <v>30</v>
      </c>
      <c r="K444" s="21"/>
      <c r="L444" s="21" t="s">
        <v>905</v>
      </c>
      <c r="M444" s="6" t="s">
        <v>149</v>
      </c>
      <c r="N444" s="6"/>
      <c r="O444" s="6" t="s">
        <v>263</v>
      </c>
      <c r="P444" s="6"/>
      <c r="Q444" s="27"/>
      <c r="R444" s="28" t="s">
        <v>765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1042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850</v>
      </c>
      <c r="H445" s="6"/>
      <c r="I445" s="6"/>
      <c r="J445" s="6">
        <v>30</v>
      </c>
      <c r="K445" s="21"/>
      <c r="L445" s="21" t="s">
        <v>905</v>
      </c>
      <c r="M445" s="6" t="s">
        <v>934</v>
      </c>
      <c r="N445" s="6"/>
      <c r="O445" s="6" t="s">
        <v>263</v>
      </c>
      <c r="P445" s="6"/>
      <c r="Q445" s="27"/>
      <c r="R445" s="28" t="s">
        <v>765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1043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909</v>
      </c>
      <c r="H446" s="4"/>
      <c r="I446" s="6"/>
      <c r="J446" s="4">
        <v>30</v>
      </c>
      <c r="K446" s="5"/>
      <c r="L446" s="5" t="s">
        <v>905</v>
      </c>
      <c r="M446" s="4" t="s">
        <v>774</v>
      </c>
      <c r="N446" s="4"/>
      <c r="O446" s="4" t="s">
        <v>263</v>
      </c>
      <c r="P446" s="4"/>
      <c r="Q446" s="24"/>
      <c r="R446" s="25" t="s">
        <v>765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664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765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1044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967</v>
      </c>
      <c r="H448" s="6"/>
      <c r="I448" s="6"/>
      <c r="J448" s="6">
        <v>30</v>
      </c>
      <c r="K448" s="21"/>
      <c r="L448" s="21" t="s">
        <v>905</v>
      </c>
      <c r="M448" s="6" t="s">
        <v>929</v>
      </c>
      <c r="N448" s="6"/>
      <c r="O448" s="6" t="s">
        <v>263</v>
      </c>
      <c r="P448" s="6"/>
      <c r="Q448" s="27"/>
      <c r="R448" s="28" t="s">
        <v>765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1045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967</v>
      </c>
      <c r="H449" s="6"/>
      <c r="I449" s="6"/>
      <c r="J449" s="6">
        <v>30</v>
      </c>
      <c r="K449" s="21"/>
      <c r="L449" s="21" t="s">
        <v>905</v>
      </c>
      <c r="M449" s="6" t="s">
        <v>861</v>
      </c>
      <c r="N449" s="6"/>
      <c r="O449" s="6" t="s">
        <v>263</v>
      </c>
      <c r="P449" s="6"/>
      <c r="Q449" s="27"/>
      <c r="R449" s="28" t="s">
        <v>765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1046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913</v>
      </c>
      <c r="H450" s="4"/>
      <c r="I450" s="6"/>
      <c r="J450" s="4">
        <v>30</v>
      </c>
      <c r="K450" s="5"/>
      <c r="L450" s="5" t="s">
        <v>905</v>
      </c>
      <c r="M450" s="4" t="s">
        <v>127</v>
      </c>
      <c r="N450" s="4"/>
      <c r="O450" s="4" t="s">
        <v>263</v>
      </c>
      <c r="P450" s="4"/>
      <c r="Q450" s="24"/>
      <c r="R450" s="25" t="s">
        <v>765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1047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939</v>
      </c>
      <c r="H451" s="6"/>
      <c r="I451" s="6"/>
      <c r="J451" s="6">
        <v>30</v>
      </c>
      <c r="K451" s="21"/>
      <c r="L451" s="21" t="s">
        <v>905</v>
      </c>
      <c r="M451" s="6" t="s">
        <v>861</v>
      </c>
      <c r="N451" s="6"/>
      <c r="O451" s="6" t="s">
        <v>263</v>
      </c>
      <c r="P451" s="6"/>
      <c r="Q451" s="27"/>
      <c r="R451" s="28" t="s">
        <v>765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1048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917</v>
      </c>
      <c r="H452" s="4"/>
      <c r="I452" s="6"/>
      <c r="J452" s="4">
        <v>30</v>
      </c>
      <c r="K452" s="5"/>
      <c r="L452" s="5" t="s">
        <v>905</v>
      </c>
      <c r="M452" s="4" t="s">
        <v>149</v>
      </c>
      <c r="N452" s="4"/>
      <c r="O452" s="4" t="s">
        <v>263</v>
      </c>
      <c r="P452" s="4"/>
      <c r="Q452" s="24"/>
      <c r="R452" s="25" t="s">
        <v>765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1049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850</v>
      </c>
      <c r="H453" s="4"/>
      <c r="I453" s="6"/>
      <c r="J453" s="4">
        <v>30</v>
      </c>
      <c r="K453" s="5"/>
      <c r="L453" s="5" t="s">
        <v>905</v>
      </c>
      <c r="M453" s="4" t="s">
        <v>774</v>
      </c>
      <c r="N453" s="4"/>
      <c r="O453" s="4" t="s">
        <v>263</v>
      </c>
      <c r="P453" s="4"/>
      <c r="Q453" s="24"/>
      <c r="R453" s="25" t="s">
        <v>765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1050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974</v>
      </c>
      <c r="H454" s="4"/>
      <c r="I454" s="6"/>
      <c r="J454" s="4">
        <v>30</v>
      </c>
      <c r="K454" s="5"/>
      <c r="L454" s="5" t="s">
        <v>905</v>
      </c>
      <c r="M454" s="4" t="s">
        <v>968</v>
      </c>
      <c r="N454" s="4"/>
      <c r="O454" s="4" t="s">
        <v>263</v>
      </c>
      <c r="P454" s="4"/>
      <c r="Q454" s="24"/>
      <c r="R454" s="25" t="s">
        <v>765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1051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923</v>
      </c>
      <c r="H455" s="6"/>
      <c r="I455" s="6"/>
      <c r="J455" s="6">
        <v>30</v>
      </c>
      <c r="K455" s="21"/>
      <c r="L455" s="21" t="s">
        <v>905</v>
      </c>
      <c r="M455" s="6" t="s">
        <v>149</v>
      </c>
      <c r="N455" s="6"/>
      <c r="O455" s="6" t="s">
        <v>263</v>
      </c>
      <c r="P455" s="6"/>
      <c r="Q455" s="27"/>
      <c r="R455" s="28" t="s">
        <v>765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1052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854</v>
      </c>
      <c r="H456" s="4"/>
      <c r="I456" s="6"/>
      <c r="J456" s="4">
        <v>30</v>
      </c>
      <c r="K456" s="5"/>
      <c r="L456" s="5" t="s">
        <v>905</v>
      </c>
      <c r="M456" s="4" t="s">
        <v>149</v>
      </c>
      <c r="N456" s="4"/>
      <c r="O456" s="4" t="s">
        <v>263</v>
      </c>
      <c r="P456" s="4"/>
      <c r="Q456" s="24"/>
      <c r="R456" s="25" t="s">
        <v>765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1053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893</v>
      </c>
      <c r="H457" s="6"/>
      <c r="I457" s="6"/>
      <c r="J457" s="6">
        <v>30</v>
      </c>
      <c r="K457" s="21"/>
      <c r="L457" s="21" t="s">
        <v>905</v>
      </c>
      <c r="M457" s="6" t="s">
        <v>378</v>
      </c>
      <c r="N457" s="6"/>
      <c r="O457" s="6" t="s">
        <v>263</v>
      </c>
      <c r="P457" s="6"/>
      <c r="Q457" s="27"/>
      <c r="R457" s="28" t="s">
        <v>765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1054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967</v>
      </c>
      <c r="H458" s="4"/>
      <c r="I458" s="4"/>
      <c r="J458" s="4">
        <v>30</v>
      </c>
      <c r="K458" s="5"/>
      <c r="L458" s="5" t="s">
        <v>905</v>
      </c>
      <c r="M458" s="4" t="s">
        <v>929</v>
      </c>
      <c r="N458" s="4"/>
      <c r="O458" s="4" t="s">
        <v>263</v>
      </c>
      <c r="P458" s="4"/>
      <c r="Q458" s="24"/>
      <c r="R458" s="25" t="s">
        <v>765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1055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1056</v>
      </c>
      <c r="H459" s="4"/>
      <c r="I459" s="6"/>
      <c r="J459" s="4">
        <v>30</v>
      </c>
      <c r="K459" s="5"/>
      <c r="L459" s="5" t="s">
        <v>905</v>
      </c>
      <c r="M459" s="4" t="s">
        <v>774</v>
      </c>
      <c r="N459" s="4"/>
      <c r="O459" s="4" t="s">
        <v>263</v>
      </c>
      <c r="P459" s="4"/>
      <c r="Q459" s="24"/>
      <c r="R459" s="25" t="s">
        <v>765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1057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967</v>
      </c>
      <c r="H460" s="4"/>
      <c r="I460" s="4"/>
      <c r="J460" s="4">
        <v>30</v>
      </c>
      <c r="K460" s="5"/>
      <c r="L460" s="5" t="s">
        <v>905</v>
      </c>
      <c r="M460" s="4" t="s">
        <v>929</v>
      </c>
      <c r="N460" s="4"/>
      <c r="O460" s="4" t="s">
        <v>263</v>
      </c>
      <c r="P460" s="4"/>
      <c r="Q460" s="24"/>
      <c r="R460" s="25" t="s">
        <v>765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1058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967</v>
      </c>
      <c r="H461" s="4"/>
      <c r="I461" s="4"/>
      <c r="J461" s="4">
        <v>30</v>
      </c>
      <c r="K461" s="5"/>
      <c r="L461" s="5" t="s">
        <v>905</v>
      </c>
      <c r="M461" s="4" t="s">
        <v>891</v>
      </c>
      <c r="N461" s="4"/>
      <c r="O461" s="4" t="s">
        <v>263</v>
      </c>
      <c r="P461" s="4"/>
      <c r="Q461" s="24"/>
      <c r="R461" s="25" t="s">
        <v>765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1059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967</v>
      </c>
      <c r="H462" s="6"/>
      <c r="I462" s="6"/>
      <c r="J462" s="6">
        <v>30</v>
      </c>
      <c r="K462" s="21"/>
      <c r="L462" s="21" t="s">
        <v>905</v>
      </c>
      <c r="M462" s="6" t="s">
        <v>968</v>
      </c>
      <c r="N462" s="6"/>
      <c r="O462" s="6" t="s">
        <v>263</v>
      </c>
      <c r="P462" s="6"/>
      <c r="Q462" s="27"/>
      <c r="R462" s="28" t="s">
        <v>765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1060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792</v>
      </c>
      <c r="H463" s="6"/>
      <c r="I463" s="6" t="s">
        <v>761</v>
      </c>
      <c r="J463" s="6">
        <v>59</v>
      </c>
      <c r="K463" s="21"/>
      <c r="L463" s="21" t="s">
        <v>905</v>
      </c>
      <c r="M463" s="6" t="s">
        <v>779</v>
      </c>
      <c r="N463" s="6" t="s">
        <v>793</v>
      </c>
      <c r="O463" s="6" t="s">
        <v>263</v>
      </c>
      <c r="P463" s="6"/>
      <c r="Q463" s="27"/>
      <c r="R463" s="28" t="s">
        <v>765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1061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974</v>
      </c>
      <c r="H464" s="6"/>
      <c r="I464" s="6"/>
      <c r="J464" s="6">
        <v>30</v>
      </c>
      <c r="K464" s="21"/>
      <c r="L464" s="21" t="s">
        <v>905</v>
      </c>
      <c r="M464" s="6" t="s">
        <v>968</v>
      </c>
      <c r="N464" s="6"/>
      <c r="O464" s="6" t="s">
        <v>263</v>
      </c>
      <c r="P464" s="6"/>
      <c r="Q464" s="27"/>
      <c r="R464" s="28" t="s">
        <v>765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1062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913</v>
      </c>
      <c r="H465" s="6"/>
      <c r="I465" s="6"/>
      <c r="J465" s="6">
        <v>30</v>
      </c>
      <c r="K465" s="21"/>
      <c r="L465" s="21" t="s">
        <v>905</v>
      </c>
      <c r="M465" s="6" t="s">
        <v>968</v>
      </c>
      <c r="N465" s="6"/>
      <c r="O465" s="6" t="s">
        <v>263</v>
      </c>
      <c r="P465" s="6"/>
      <c r="Q465" s="27"/>
      <c r="R465" s="28" t="s">
        <v>765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1063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909</v>
      </c>
      <c r="H466" s="6"/>
      <c r="I466" s="6"/>
      <c r="J466" s="6">
        <v>30</v>
      </c>
      <c r="K466" s="21"/>
      <c r="L466" s="21" t="s">
        <v>905</v>
      </c>
      <c r="M466" s="6" t="s">
        <v>149</v>
      </c>
      <c r="N466" s="6"/>
      <c r="O466" s="6" t="s">
        <v>263</v>
      </c>
      <c r="P466" s="6"/>
      <c r="Q466" s="27"/>
      <c r="R466" s="28" t="s">
        <v>765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1064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1041</v>
      </c>
      <c r="H467" s="6"/>
      <c r="I467" s="6"/>
      <c r="J467" s="6">
        <v>30</v>
      </c>
      <c r="K467" s="21"/>
      <c r="L467" s="21" t="s">
        <v>905</v>
      </c>
      <c r="M467" s="6" t="s">
        <v>894</v>
      </c>
      <c r="N467" s="6"/>
      <c r="O467" s="6" t="s">
        <v>263</v>
      </c>
      <c r="P467" s="6"/>
      <c r="Q467" s="27"/>
      <c r="R467" s="28" t="s">
        <v>765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1065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1066</v>
      </c>
      <c r="H468" s="6"/>
      <c r="I468" s="6"/>
      <c r="J468" s="6">
        <v>30</v>
      </c>
      <c r="K468" s="21"/>
      <c r="L468" s="21" t="s">
        <v>905</v>
      </c>
      <c r="M468" s="6" t="s">
        <v>929</v>
      </c>
      <c r="N468" s="6"/>
      <c r="O468" s="6" t="s">
        <v>263</v>
      </c>
      <c r="P468" s="6"/>
      <c r="Q468" s="27"/>
      <c r="R468" s="28" t="s">
        <v>765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1067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949</v>
      </c>
      <c r="H469" s="6"/>
      <c r="I469" s="6"/>
      <c r="J469" s="6">
        <v>30</v>
      </c>
      <c r="K469" s="21"/>
      <c r="L469" s="21" t="s">
        <v>905</v>
      </c>
      <c r="M469" s="6" t="s">
        <v>968</v>
      </c>
      <c r="N469" s="6"/>
      <c r="O469" s="6" t="s">
        <v>263</v>
      </c>
      <c r="P469" s="6"/>
      <c r="Q469" s="27"/>
      <c r="R469" s="28" t="s">
        <v>765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1068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905</v>
      </c>
      <c r="M470" s="6" t="s">
        <v>968</v>
      </c>
      <c r="N470" s="6"/>
      <c r="O470" s="6" t="s">
        <v>263</v>
      </c>
      <c r="P470" s="6"/>
      <c r="Q470" s="27"/>
      <c r="R470" s="28" t="s">
        <v>765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1069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913</v>
      </c>
      <c r="H471" s="6"/>
      <c r="I471" s="6"/>
      <c r="J471" s="6">
        <v>30</v>
      </c>
      <c r="K471" s="5"/>
      <c r="L471" s="5" t="s">
        <v>905</v>
      </c>
      <c r="M471" s="6" t="s">
        <v>929</v>
      </c>
      <c r="N471" s="6"/>
      <c r="O471" s="6" t="s">
        <v>263</v>
      </c>
      <c r="P471" s="6"/>
      <c r="Q471" s="27"/>
      <c r="R471" s="28" t="s">
        <v>765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1070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900</v>
      </c>
      <c r="H472" s="6"/>
      <c r="I472" s="6"/>
      <c r="J472" s="6">
        <v>30</v>
      </c>
      <c r="K472" s="21"/>
      <c r="L472" s="21" t="s">
        <v>905</v>
      </c>
      <c r="M472" s="4" t="s">
        <v>774</v>
      </c>
      <c r="N472" s="6"/>
      <c r="O472" s="6" t="s">
        <v>263</v>
      </c>
      <c r="P472" s="6"/>
      <c r="Q472" s="27"/>
      <c r="R472" s="28" t="s">
        <v>765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1071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1072</v>
      </c>
      <c r="H473" s="4"/>
      <c r="I473" s="4"/>
      <c r="J473" s="4">
        <v>30</v>
      </c>
      <c r="K473" s="5"/>
      <c r="L473" s="5" t="s">
        <v>905</v>
      </c>
      <c r="M473" s="4" t="s">
        <v>774</v>
      </c>
      <c r="N473" s="4"/>
      <c r="O473" s="4" t="s">
        <v>263</v>
      </c>
      <c r="P473" s="4"/>
      <c r="Q473" s="24"/>
      <c r="R473" s="25" t="s">
        <v>765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1073</v>
      </c>
      <c r="B474" s="2" t="s">
        <v>55</v>
      </c>
      <c r="C474" s="21">
        <v>8</v>
      </c>
      <c r="D474" s="23" t="s">
        <v>1074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905</v>
      </c>
      <c r="M474" s="6" t="s">
        <v>929</v>
      </c>
      <c r="N474" s="6"/>
      <c r="O474" s="6" t="s">
        <v>263</v>
      </c>
      <c r="P474" s="6"/>
      <c r="Q474" s="27"/>
      <c r="R474" s="28" t="s">
        <v>765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1075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681</v>
      </c>
      <c r="H475" s="6"/>
      <c r="I475" s="6"/>
      <c r="J475" s="6">
        <v>30</v>
      </c>
      <c r="K475" s="21"/>
      <c r="L475" s="21" t="s">
        <v>905</v>
      </c>
      <c r="M475" s="6" t="s">
        <v>861</v>
      </c>
      <c r="N475" s="6"/>
      <c r="O475" s="6" t="s">
        <v>263</v>
      </c>
      <c r="P475" s="6"/>
      <c r="Q475" s="27"/>
      <c r="R475" s="28" t="s">
        <v>765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1076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1077</v>
      </c>
      <c r="H476" s="4"/>
      <c r="I476" s="4"/>
      <c r="J476" s="4">
        <v>30</v>
      </c>
      <c r="K476" s="5"/>
      <c r="L476" s="5" t="s">
        <v>905</v>
      </c>
      <c r="M476" s="4" t="s">
        <v>149</v>
      </c>
      <c r="N476" s="4"/>
      <c r="O476" s="4" t="s">
        <v>263</v>
      </c>
      <c r="P476" s="4"/>
      <c r="Q476" s="24"/>
      <c r="R476" s="25" t="s">
        <v>765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1078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869</v>
      </c>
      <c r="H477" s="4"/>
      <c r="I477" s="4" t="s">
        <v>761</v>
      </c>
      <c r="J477" s="4">
        <v>59</v>
      </c>
      <c r="K477" s="5"/>
      <c r="L477" s="5" t="s">
        <v>260</v>
      </c>
      <c r="M477" s="4" t="s">
        <v>870</v>
      </c>
      <c r="N477" s="4"/>
      <c r="O477" s="4" t="s">
        <v>263</v>
      </c>
      <c r="P477" s="4"/>
      <c r="Q477" s="24"/>
      <c r="R477" s="25" t="s">
        <v>765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1079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841</v>
      </c>
      <c r="H478" s="4"/>
      <c r="I478" s="4" t="s">
        <v>761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765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1080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841</v>
      </c>
      <c r="H479" s="4"/>
      <c r="I479" s="4" t="s">
        <v>761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765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1081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1066</v>
      </c>
      <c r="H480" s="6"/>
      <c r="I480" s="6"/>
      <c r="J480" s="6">
        <v>30</v>
      </c>
      <c r="K480" s="21"/>
      <c r="L480" s="21" t="s">
        <v>905</v>
      </c>
      <c r="M480" s="6" t="s">
        <v>861</v>
      </c>
      <c r="N480" s="6"/>
      <c r="O480" s="6" t="s">
        <v>263</v>
      </c>
      <c r="P480" s="6"/>
      <c r="Q480" s="27"/>
      <c r="R480" s="28" t="s">
        <v>765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1082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882</v>
      </c>
      <c r="H481" s="6"/>
      <c r="I481" s="6"/>
      <c r="J481" s="6">
        <v>30</v>
      </c>
      <c r="K481" s="21"/>
      <c r="L481" s="21" t="s">
        <v>905</v>
      </c>
      <c r="M481" s="4" t="s">
        <v>774</v>
      </c>
      <c r="N481" s="6"/>
      <c r="O481" s="6" t="s">
        <v>263</v>
      </c>
      <c r="P481" s="6"/>
      <c r="Q481" s="27"/>
      <c r="R481" s="28" t="s">
        <v>765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1083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974</v>
      </c>
      <c r="H482" s="6"/>
      <c r="I482" s="6"/>
      <c r="J482" s="6">
        <v>30</v>
      </c>
      <c r="K482" s="21"/>
      <c r="L482" s="21" t="s">
        <v>905</v>
      </c>
      <c r="M482" s="6" t="s">
        <v>779</v>
      </c>
      <c r="N482" s="6"/>
      <c r="O482" s="6" t="s">
        <v>263</v>
      </c>
      <c r="P482" s="6"/>
      <c r="Q482" s="27"/>
      <c r="R482" s="28" t="s">
        <v>765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1084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843</v>
      </c>
      <c r="H483" s="4"/>
      <c r="I483" s="4" t="s">
        <v>761</v>
      </c>
      <c r="J483" s="4">
        <v>59</v>
      </c>
      <c r="K483" s="5"/>
      <c r="L483" s="5" t="s">
        <v>881</v>
      </c>
      <c r="M483" s="4" t="s">
        <v>915</v>
      </c>
      <c r="N483" s="4"/>
      <c r="O483" s="4" t="s">
        <v>263</v>
      </c>
      <c r="P483" s="4"/>
      <c r="Q483" s="24"/>
      <c r="R483" s="25" t="s">
        <v>765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1085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843</v>
      </c>
      <c r="H484" s="4"/>
      <c r="I484" s="4" t="s">
        <v>761</v>
      </c>
      <c r="J484" s="4">
        <v>59</v>
      </c>
      <c r="K484" s="5"/>
      <c r="L484" s="5" t="s">
        <v>881</v>
      </c>
      <c r="M484" s="4" t="s">
        <v>915</v>
      </c>
      <c r="N484" s="4"/>
      <c r="O484" s="4" t="s">
        <v>263</v>
      </c>
      <c r="P484" s="4"/>
      <c r="Q484" s="24"/>
      <c r="R484" s="25" t="s">
        <v>765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1086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917</v>
      </c>
      <c r="H485" s="4"/>
      <c r="I485" s="6"/>
      <c r="J485" s="4">
        <v>30</v>
      </c>
      <c r="K485" s="5"/>
      <c r="L485" s="5" t="s">
        <v>905</v>
      </c>
      <c r="M485" s="4" t="s">
        <v>378</v>
      </c>
      <c r="N485" s="4"/>
      <c r="O485" s="4" t="s">
        <v>263</v>
      </c>
      <c r="P485" s="4"/>
      <c r="Q485" s="24"/>
      <c r="R485" s="25" t="s">
        <v>765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1087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917</v>
      </c>
      <c r="H486" s="4"/>
      <c r="I486" s="4"/>
      <c r="J486" s="4">
        <v>30</v>
      </c>
      <c r="K486" s="5"/>
      <c r="L486" s="5" t="s">
        <v>905</v>
      </c>
      <c r="M486" s="4" t="s">
        <v>149</v>
      </c>
      <c r="N486" s="4"/>
      <c r="O486" s="4" t="s">
        <v>263</v>
      </c>
      <c r="P486" s="4"/>
      <c r="Q486" s="24"/>
      <c r="R486" s="25" t="s">
        <v>765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1088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1089</v>
      </c>
      <c r="H487" s="4"/>
      <c r="I487" s="4"/>
      <c r="J487" s="4">
        <v>30</v>
      </c>
      <c r="K487" s="5"/>
      <c r="L487" s="5" t="s">
        <v>905</v>
      </c>
      <c r="M487" s="4" t="s">
        <v>774</v>
      </c>
      <c r="N487" s="4"/>
      <c r="O487" s="4" t="s">
        <v>263</v>
      </c>
      <c r="P487" s="4"/>
      <c r="Q487" s="24"/>
      <c r="R487" s="25" t="s">
        <v>765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1090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917</v>
      </c>
      <c r="H488" s="4"/>
      <c r="I488" s="4"/>
      <c r="J488" s="4">
        <v>30</v>
      </c>
      <c r="K488" s="5"/>
      <c r="L488" s="5" t="s">
        <v>905</v>
      </c>
      <c r="M488" s="4" t="s">
        <v>774</v>
      </c>
      <c r="N488" s="4"/>
      <c r="O488" s="4" t="s">
        <v>263</v>
      </c>
      <c r="P488" s="4"/>
      <c r="Q488" s="24"/>
      <c r="R488" s="25" t="s">
        <v>765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1091</v>
      </c>
      <c r="B489" s="2" t="s">
        <v>836</v>
      </c>
      <c r="C489" s="21">
        <v>1.5</v>
      </c>
      <c r="D489" s="23">
        <v>490</v>
      </c>
      <c r="E489" s="23"/>
      <c r="F489" s="28"/>
      <c r="G489" s="3" t="s">
        <v>927</v>
      </c>
      <c r="H489" s="6"/>
      <c r="I489" s="6"/>
      <c r="J489" s="6">
        <v>63</v>
      </c>
      <c r="K489" s="21"/>
      <c r="L489" s="21" t="s">
        <v>928</v>
      </c>
      <c r="M489" s="6" t="s">
        <v>929</v>
      </c>
      <c r="N489" s="6"/>
      <c r="O489" s="6" t="s">
        <v>263</v>
      </c>
      <c r="P489" s="6"/>
      <c r="Q489" s="27"/>
      <c r="R489" s="28" t="s">
        <v>765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1092</v>
      </c>
      <c r="B490" s="2" t="s">
        <v>836</v>
      </c>
      <c r="C490" s="21">
        <v>1.5</v>
      </c>
      <c r="D490" s="23">
        <v>755</v>
      </c>
      <c r="E490" s="23"/>
      <c r="F490" s="28"/>
      <c r="G490" s="3" t="s">
        <v>927</v>
      </c>
      <c r="H490" s="6"/>
      <c r="I490" s="6"/>
      <c r="J490" s="6">
        <v>63</v>
      </c>
      <c r="K490" s="21"/>
      <c r="L490" s="21" t="s">
        <v>928</v>
      </c>
      <c r="M490" s="6" t="s">
        <v>929</v>
      </c>
      <c r="N490" s="6"/>
      <c r="O490" s="6" t="s">
        <v>263</v>
      </c>
      <c r="P490" s="6"/>
      <c r="Q490" s="27"/>
      <c r="R490" s="28" t="s">
        <v>765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1093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772</v>
      </c>
      <c r="H491" s="6"/>
      <c r="I491" s="6" t="s">
        <v>761</v>
      </c>
      <c r="J491" s="6">
        <v>59</v>
      </c>
      <c r="K491" s="21">
        <v>32</v>
      </c>
      <c r="L491" s="21" t="s">
        <v>58</v>
      </c>
      <c r="M491" s="6" t="s">
        <v>1094</v>
      </c>
      <c r="N491" s="6" t="s">
        <v>1094</v>
      </c>
      <c r="O491" s="6" t="s">
        <v>263</v>
      </c>
      <c r="P491" s="6"/>
      <c r="Q491" s="27"/>
      <c r="R491" s="28" t="s">
        <v>765</v>
      </c>
      <c r="S491" s="6" t="s">
        <v>765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473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1095</v>
      </c>
      <c r="H492" s="6"/>
      <c r="I492" s="6"/>
      <c r="J492" s="6">
        <v>32</v>
      </c>
      <c r="K492" s="21"/>
      <c r="L492" s="21" t="s">
        <v>905</v>
      </c>
      <c r="M492" s="6"/>
      <c r="N492" s="6"/>
      <c r="O492" s="6"/>
      <c r="P492" s="6"/>
      <c r="Q492" s="27"/>
      <c r="R492" s="28" t="s">
        <v>765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1096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1097</v>
      </c>
      <c r="N493" s="4"/>
      <c r="O493" s="4"/>
      <c r="P493" s="4"/>
      <c r="Q493" s="24"/>
      <c r="R493" s="25" t="s">
        <v>765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1098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1097</v>
      </c>
      <c r="N494" s="6"/>
      <c r="O494" s="6"/>
      <c r="P494" s="6"/>
      <c r="Q494" s="27"/>
      <c r="R494" s="28" t="s">
        <v>765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1099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1097</v>
      </c>
      <c r="N495" s="6"/>
      <c r="O495" s="6"/>
      <c r="P495" s="6"/>
      <c r="Q495" s="27"/>
      <c r="R495" s="28" t="s">
        <v>765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1100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1097</v>
      </c>
      <c r="N496" s="6"/>
      <c r="O496" s="6"/>
      <c r="P496" s="6"/>
      <c r="Q496" s="27"/>
      <c r="R496" s="28" t="s">
        <v>765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1101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1097</v>
      </c>
      <c r="N497" s="6"/>
      <c r="O497" s="6"/>
      <c r="P497" s="6"/>
      <c r="Q497" s="27"/>
      <c r="R497" s="28" t="s">
        <v>765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hidden="1" x14ac:dyDescent="0.35">
      <c r="A498" s="19" t="s">
        <v>1102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1103</v>
      </c>
      <c r="G498" s="20" t="s">
        <v>1104</v>
      </c>
      <c r="H498" s="6"/>
      <c r="I498" s="6" t="s">
        <v>1105</v>
      </c>
      <c r="J498" s="6">
        <v>90</v>
      </c>
      <c r="K498" s="21">
        <v>10</v>
      </c>
      <c r="L498" s="21" t="s">
        <v>1106</v>
      </c>
      <c r="M498" s="6" t="s">
        <v>261</v>
      </c>
      <c r="N498" s="6" t="s">
        <v>1107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1108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5">
      <c r="A499" s="19" t="s">
        <v>1109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1110</v>
      </c>
      <c r="G499" s="20" t="s">
        <v>1111</v>
      </c>
      <c r="H499" s="6"/>
      <c r="I499" s="6" t="s">
        <v>1112</v>
      </c>
      <c r="J499" s="6">
        <v>59</v>
      </c>
      <c r="K499" s="21">
        <v>4</v>
      </c>
      <c r="L499" s="21" t="s">
        <v>1106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1113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idden="1" x14ac:dyDescent="0.35">
      <c r="A500" s="19" t="s">
        <v>1114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1115</v>
      </c>
      <c r="G500" s="20" t="s">
        <v>1116</v>
      </c>
      <c r="H500" s="6"/>
      <c r="I500" s="6" t="s">
        <v>1117</v>
      </c>
      <c r="J500" s="6">
        <v>60</v>
      </c>
      <c r="K500" s="21"/>
      <c r="L500" s="21" t="s">
        <v>1118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1119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idden="1" x14ac:dyDescent="0.35">
      <c r="A501" s="19" t="s">
        <v>1120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1121</v>
      </c>
      <c r="G501" s="20" t="s">
        <v>1111</v>
      </c>
      <c r="H501" s="6"/>
      <c r="I501" s="6" t="s">
        <v>1112</v>
      </c>
      <c r="J501" s="6">
        <v>59</v>
      </c>
      <c r="K501" s="21">
        <v>3</v>
      </c>
      <c r="L501" s="21" t="s">
        <v>1106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1122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" hidden="1" x14ac:dyDescent="0.35">
      <c r="A502" s="19" t="s">
        <v>1123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1110</v>
      </c>
      <c r="G502" s="20" t="s">
        <v>1111</v>
      </c>
      <c r="H502" s="6"/>
      <c r="I502" s="6" t="s">
        <v>1117</v>
      </c>
      <c r="J502" s="6">
        <v>69</v>
      </c>
      <c r="K502" s="21">
        <v>5</v>
      </c>
      <c r="L502" s="21" t="s">
        <v>1106</v>
      </c>
      <c r="M502" s="6" t="s">
        <v>261</v>
      </c>
      <c r="N502" s="6" t="s">
        <v>1124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1125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idden="1" x14ac:dyDescent="0.35">
      <c r="A503" s="19" t="s">
        <v>1126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1127</v>
      </c>
      <c r="H503" s="6"/>
      <c r="I503" s="6" t="s">
        <v>1128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1129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idden="1" x14ac:dyDescent="0.35">
      <c r="A504" s="19" t="s">
        <v>1130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1131</v>
      </c>
      <c r="G504" s="20" t="s">
        <v>1111</v>
      </c>
      <c r="H504" s="6"/>
      <c r="I504" s="6" t="s">
        <v>1112</v>
      </c>
      <c r="J504" s="6">
        <v>69</v>
      </c>
      <c r="K504" s="21"/>
      <c r="L504" s="21" t="s">
        <v>1132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5">
      <c r="A505" s="19" t="s">
        <v>1133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1110</v>
      </c>
      <c r="G505" s="20" t="s">
        <v>1134</v>
      </c>
      <c r="H505" s="6"/>
      <c r="I505" s="6" t="s">
        <v>1112</v>
      </c>
      <c r="J505" s="6">
        <v>59</v>
      </c>
      <c r="K505" s="21">
        <v>1.8</v>
      </c>
      <c r="L505" s="21" t="s">
        <v>1106</v>
      </c>
      <c r="M505" s="6" t="s">
        <v>261</v>
      </c>
      <c r="N505" s="6" t="s">
        <v>1135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1136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idden="1" x14ac:dyDescent="0.35">
      <c r="A506" s="19" t="s">
        <v>1137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1115</v>
      </c>
      <c r="G506" s="20" t="s">
        <v>1138</v>
      </c>
      <c r="H506" s="6"/>
      <c r="I506" s="6" t="s">
        <v>1112</v>
      </c>
      <c r="J506" s="6">
        <v>59</v>
      </c>
      <c r="K506" s="21">
        <v>7</v>
      </c>
      <c r="L506" s="21" t="s">
        <v>1106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1139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5">
      <c r="A507" s="19" t="s">
        <v>1140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1141</v>
      </c>
      <c r="H507" s="6"/>
      <c r="I507" s="6" t="s">
        <v>1112</v>
      </c>
      <c r="J507" s="6">
        <v>59</v>
      </c>
      <c r="K507" s="21">
        <v>9</v>
      </c>
      <c r="L507" s="21" t="s">
        <v>1106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1142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idden="1" x14ac:dyDescent="0.35">
      <c r="A508" s="19" t="s">
        <v>1143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1144</v>
      </c>
      <c r="G508" s="20" t="s">
        <v>1111</v>
      </c>
      <c r="H508" s="6"/>
      <c r="I508" s="6" t="s">
        <v>1117</v>
      </c>
      <c r="J508" s="6">
        <v>60</v>
      </c>
      <c r="K508" s="21"/>
      <c r="L508" s="21" t="s">
        <v>1118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5">
      <c r="A509" s="19" t="s">
        <v>1145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1146</v>
      </c>
      <c r="G509" s="20" t="s">
        <v>1134</v>
      </c>
      <c r="H509" s="6"/>
      <c r="I509" s="6" t="s">
        <v>1112</v>
      </c>
      <c r="J509" s="6">
        <v>59</v>
      </c>
      <c r="K509" s="21">
        <v>1.5</v>
      </c>
      <c r="L509" s="21" t="s">
        <v>1106</v>
      </c>
      <c r="M509" s="6" t="s">
        <v>261</v>
      </c>
      <c r="N509" s="6" t="s">
        <v>1135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1147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idden="1" x14ac:dyDescent="0.35">
      <c r="A510" s="19" t="s">
        <v>1148</v>
      </c>
      <c r="B510" s="21" t="s">
        <v>42</v>
      </c>
      <c r="C510" s="21">
        <v>1.8</v>
      </c>
      <c r="D510" s="23">
        <v>466</v>
      </c>
      <c r="E510" s="23"/>
      <c r="F510" s="23" t="s">
        <v>1121</v>
      </c>
      <c r="G510" s="20" t="s">
        <v>1111</v>
      </c>
      <c r="H510" s="6"/>
      <c r="I510" s="6" t="s">
        <v>1112</v>
      </c>
      <c r="J510" s="6">
        <v>59</v>
      </c>
      <c r="K510" s="21">
        <v>1.8</v>
      </c>
      <c r="L510" s="21" t="s">
        <v>1106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idden="1" x14ac:dyDescent="0.35">
      <c r="A511" s="19" t="s">
        <v>1149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1138</v>
      </c>
      <c r="H511" s="6"/>
      <c r="I511" s="6" t="s">
        <v>1117</v>
      </c>
      <c r="J511" s="6">
        <v>60</v>
      </c>
      <c r="K511" s="21"/>
      <c r="L511" s="21" t="s">
        <v>851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5">
      <c r="A512" s="19" t="s">
        <v>1150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1146</v>
      </c>
      <c r="G512" s="20" t="s">
        <v>1151</v>
      </c>
      <c r="H512" s="6"/>
      <c r="I512" s="6" t="s">
        <v>1117</v>
      </c>
      <c r="J512" s="6">
        <v>69</v>
      </c>
      <c r="K512" s="21">
        <v>9</v>
      </c>
      <c r="L512" s="21" t="s">
        <v>1106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1152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1153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1146</v>
      </c>
      <c r="G513" s="20" t="s">
        <v>116</v>
      </c>
      <c r="H513" s="6"/>
      <c r="I513" s="6" t="s">
        <v>1117</v>
      </c>
      <c r="J513" s="6">
        <v>69</v>
      </c>
      <c r="K513" s="21">
        <v>9</v>
      </c>
      <c r="L513" s="21" t="s">
        <v>1106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1154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1155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1146</v>
      </c>
      <c r="G514" s="20" t="s">
        <v>1156</v>
      </c>
      <c r="H514" s="6"/>
      <c r="I514" s="6" t="s">
        <v>1112</v>
      </c>
      <c r="J514" s="6">
        <v>59</v>
      </c>
      <c r="K514" s="21">
        <v>3.5</v>
      </c>
      <c r="L514" s="21" t="s">
        <v>1106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1157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5">
      <c r="A515" s="19" t="s">
        <v>1158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734</v>
      </c>
      <c r="H515" s="6"/>
      <c r="I515" s="6" t="s">
        <v>1112</v>
      </c>
      <c r="J515" s="6">
        <v>59</v>
      </c>
      <c r="K515" s="21">
        <v>3.5</v>
      </c>
      <c r="L515" s="21" t="s">
        <v>1106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1159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5">
      <c r="A516" s="19" t="s">
        <v>1160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1141</v>
      </c>
      <c r="H516" s="6"/>
      <c r="I516" s="6" t="s">
        <v>1112</v>
      </c>
      <c r="J516" s="6">
        <v>59</v>
      </c>
      <c r="K516" s="21">
        <v>5</v>
      </c>
      <c r="L516" s="21" t="s">
        <v>1106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1161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" hidden="1" x14ac:dyDescent="0.35">
      <c r="A517" s="19" t="s">
        <v>409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1121</v>
      </c>
      <c r="G517" s="20" t="s">
        <v>527</v>
      </c>
      <c r="H517" s="6"/>
      <c r="I517" s="6" t="s">
        <v>1162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1163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1164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1139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1139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1165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1166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1167</v>
      </c>
      <c r="G520" s="20" t="s">
        <v>1168</v>
      </c>
      <c r="H520" s="6"/>
      <c r="I520" s="6" t="s">
        <v>1169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1170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5">
      <c r="A521" s="19" t="s">
        <v>1171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1172</v>
      </c>
      <c r="H521" s="6"/>
      <c r="I521" s="6" t="s">
        <v>1112</v>
      </c>
      <c r="J521" s="6">
        <v>59</v>
      </c>
      <c r="K521" s="21">
        <v>3</v>
      </c>
      <c r="L521" s="21" t="s">
        <v>1106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" hidden="1" x14ac:dyDescent="0.35">
      <c r="A522" s="19" t="s">
        <v>1173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1138</v>
      </c>
      <c r="H522" s="6"/>
      <c r="I522" s="6" t="s">
        <v>1117</v>
      </c>
      <c r="J522" s="6">
        <v>69</v>
      </c>
      <c r="K522" s="21">
        <v>4.5</v>
      </c>
      <c r="L522" s="21" t="s">
        <v>1106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1174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1175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1176</v>
      </c>
      <c r="H523" s="6"/>
      <c r="I523" s="6" t="s">
        <v>1112</v>
      </c>
      <c r="J523" s="6">
        <v>59</v>
      </c>
      <c r="K523" s="21">
        <v>26</v>
      </c>
      <c r="L523" s="21" t="s">
        <v>58</v>
      </c>
      <c r="M523" s="6" t="s">
        <v>1177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1178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1179</v>
      </c>
      <c r="G524" s="20" t="s">
        <v>1180</v>
      </c>
      <c r="H524" s="6"/>
      <c r="I524" s="6" t="s">
        <v>1117</v>
      </c>
      <c r="J524" s="6">
        <v>69</v>
      </c>
      <c r="K524" s="21">
        <v>1.7</v>
      </c>
      <c r="L524" s="21" t="s">
        <v>1106</v>
      </c>
      <c r="M524" s="6" t="s">
        <v>261</v>
      </c>
      <c r="N524" s="6" t="s">
        <v>1124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1181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5">
      <c r="A525" s="19" t="s">
        <v>1182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1183</v>
      </c>
      <c r="H525" s="6"/>
      <c r="I525" s="6"/>
      <c r="J525" s="6">
        <v>120</v>
      </c>
      <c r="K525" s="21"/>
      <c r="L525" s="21" t="s">
        <v>1184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1185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1179</v>
      </c>
      <c r="G526" s="20" t="s">
        <v>1186</v>
      </c>
      <c r="H526" s="6"/>
      <c r="I526" s="6" t="s">
        <v>1117</v>
      </c>
      <c r="J526" s="6">
        <v>69</v>
      </c>
      <c r="K526" s="21">
        <v>2</v>
      </c>
      <c r="L526" s="21" t="s">
        <v>1106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1187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5">
      <c r="A527" s="19" t="s">
        <v>1188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1189</v>
      </c>
      <c r="G527" s="20" t="s">
        <v>1116</v>
      </c>
      <c r="H527" s="6"/>
      <c r="I527" s="6" t="s">
        <v>1117</v>
      </c>
      <c r="J527" s="6">
        <v>69</v>
      </c>
      <c r="K527" s="21">
        <v>1.8</v>
      </c>
      <c r="L527" s="21" t="s">
        <v>1106</v>
      </c>
      <c r="M527" s="6" t="s">
        <v>261</v>
      </c>
      <c r="N527" s="6" t="s">
        <v>1124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1190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1191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734</v>
      </c>
      <c r="H528" s="6"/>
      <c r="I528" s="6" t="s">
        <v>1112</v>
      </c>
      <c r="J528" s="6">
        <v>59</v>
      </c>
      <c r="K528" s="21">
        <v>1.6</v>
      </c>
      <c r="L528" s="21" t="s">
        <v>1106</v>
      </c>
      <c r="M528" s="6" t="s">
        <v>261</v>
      </c>
      <c r="N528" s="6" t="s">
        <v>1124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1192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" hidden="1" x14ac:dyDescent="0.35">
      <c r="A529" s="19" t="s">
        <v>1193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1176</v>
      </c>
      <c r="H529" s="6"/>
      <c r="I529" s="6" t="s">
        <v>1112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1194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5">
      <c r="A530" s="19" t="s">
        <v>733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1195</v>
      </c>
      <c r="H530" s="6"/>
      <c r="I530" s="6" t="s">
        <v>1117</v>
      </c>
      <c r="J530" s="6">
        <v>60</v>
      </c>
      <c r="K530" s="21"/>
      <c r="L530" s="21" t="s">
        <v>1106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1196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1189</v>
      </c>
      <c r="G531" s="20" t="s">
        <v>1197</v>
      </c>
      <c r="H531" s="6"/>
      <c r="I531" s="6" t="s">
        <v>1117</v>
      </c>
      <c r="J531" s="6">
        <v>60</v>
      </c>
      <c r="K531" s="21"/>
      <c r="L531" s="21" t="s">
        <v>851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1198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5">
      <c r="A532" s="19" t="s">
        <v>1199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1200</v>
      </c>
      <c r="H532" s="6"/>
      <c r="I532" s="6" t="s">
        <v>1112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1201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1176</v>
      </c>
      <c r="H533" s="6"/>
      <c r="I533" s="6" t="s">
        <v>1117</v>
      </c>
      <c r="J533" s="6">
        <v>69</v>
      </c>
      <c r="K533" s="21">
        <v>26</v>
      </c>
      <c r="L533" s="21" t="s">
        <v>58</v>
      </c>
      <c r="M533" s="6" t="s">
        <v>1177</v>
      </c>
      <c r="N533" s="6" t="s">
        <v>1202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1203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1204</v>
      </c>
      <c r="G534" s="20" t="s">
        <v>1205</v>
      </c>
      <c r="H534" s="6"/>
      <c r="I534" s="6" t="s">
        <v>1117</v>
      </c>
      <c r="J534" s="6">
        <v>69</v>
      </c>
      <c r="K534" s="21">
        <v>2</v>
      </c>
      <c r="L534" s="21" t="s">
        <v>1106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1206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5">
      <c r="A535" s="19" t="s">
        <v>1207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1189</v>
      </c>
      <c r="G535" s="20" t="s">
        <v>1197</v>
      </c>
      <c r="H535" s="6"/>
      <c r="I535" s="6" t="s">
        <v>1117</v>
      </c>
      <c r="J535" s="6">
        <v>60</v>
      </c>
      <c r="K535" s="21"/>
      <c r="L535" s="21" t="s">
        <v>851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1208</v>
      </c>
      <c r="B536" s="21" t="s">
        <v>81</v>
      </c>
      <c r="C536" s="21">
        <v>2.5</v>
      </c>
      <c r="D536" s="23">
        <v>1000</v>
      </c>
      <c r="E536" s="23"/>
      <c r="F536" s="23" t="s">
        <v>1204</v>
      </c>
      <c r="G536" s="20" t="s">
        <v>1209</v>
      </c>
      <c r="H536" s="6"/>
      <c r="I536" s="6" t="s">
        <v>1117</v>
      </c>
      <c r="J536" s="6">
        <v>69</v>
      </c>
      <c r="K536" s="21">
        <v>1.7</v>
      </c>
      <c r="L536" s="21" t="s">
        <v>1106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744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1210</v>
      </c>
      <c r="H537" s="6"/>
      <c r="I537" s="6" t="s">
        <v>1112</v>
      </c>
      <c r="J537" s="6">
        <v>59</v>
      </c>
      <c r="K537" s="21">
        <v>5</v>
      </c>
      <c r="L537" s="21" t="s">
        <v>1106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1211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5">
      <c r="A538" s="19" t="s">
        <v>1212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1172</v>
      </c>
      <c r="H538" s="6"/>
      <c r="I538" s="6" t="s">
        <v>1117</v>
      </c>
      <c r="J538" s="6">
        <v>60</v>
      </c>
      <c r="K538" s="21"/>
      <c r="L538" s="21" t="s">
        <v>851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1213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5">
      <c r="A539" s="19" t="s">
        <v>1214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1215</v>
      </c>
      <c r="H539" s="6"/>
      <c r="I539" s="6" t="s">
        <v>1117</v>
      </c>
      <c r="J539" s="6">
        <v>69</v>
      </c>
      <c r="K539" s="21">
        <v>2</v>
      </c>
      <c r="L539" s="21" t="s">
        <v>1106</v>
      </c>
      <c r="M539" s="6" t="s">
        <v>261</v>
      </c>
      <c r="N539" s="6" t="s">
        <v>1124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1216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5">
      <c r="A540" s="19" t="s">
        <v>1217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1218</v>
      </c>
      <c r="H540" s="6"/>
      <c r="I540" s="6" t="s">
        <v>1112</v>
      </c>
      <c r="J540" s="6">
        <v>59</v>
      </c>
      <c r="K540" s="21">
        <v>28</v>
      </c>
      <c r="L540" s="21" t="s">
        <v>58</v>
      </c>
      <c r="M540" s="6" t="s">
        <v>1177</v>
      </c>
      <c r="N540" s="6" t="s">
        <v>1219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729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1195</v>
      </c>
      <c r="H541" s="6"/>
      <c r="I541" s="6" t="s">
        <v>1117</v>
      </c>
      <c r="J541" s="6">
        <v>60</v>
      </c>
      <c r="K541" s="21"/>
      <c r="L541" s="21" t="s">
        <v>1106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1220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1209</v>
      </c>
      <c r="H542" s="6"/>
      <c r="I542" s="6" t="s">
        <v>1112</v>
      </c>
      <c r="J542" s="6">
        <v>59</v>
      </c>
      <c r="K542" s="21">
        <v>1.9</v>
      </c>
      <c r="L542" s="21" t="s">
        <v>1106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1221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5">
      <c r="A543" s="19" t="s">
        <v>1222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1223</v>
      </c>
      <c r="H543" s="6"/>
      <c r="I543" s="6" t="s">
        <v>1112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1224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1179</v>
      </c>
      <c r="G544" s="20" t="s">
        <v>1225</v>
      </c>
      <c r="H544" s="6"/>
      <c r="I544" s="6" t="s">
        <v>1117</v>
      </c>
      <c r="J544" s="6">
        <v>69</v>
      </c>
      <c r="K544" s="21">
        <v>1.1000000000000001</v>
      </c>
      <c r="L544" s="21" t="s">
        <v>1106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1226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5">
      <c r="A545" s="19" t="s">
        <v>1227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734</v>
      </c>
      <c r="H545" s="6"/>
      <c r="I545" s="6" t="s">
        <v>1117</v>
      </c>
      <c r="J545" s="6">
        <v>69</v>
      </c>
      <c r="K545" s="21">
        <v>1.3</v>
      </c>
      <c r="L545" s="21" t="s">
        <v>1106</v>
      </c>
      <c r="M545" s="6" t="s">
        <v>261</v>
      </c>
      <c r="N545" s="6" t="s">
        <v>1124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1228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5">
      <c r="A546" s="19" t="s">
        <v>1229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1179</v>
      </c>
      <c r="G546" s="20" t="s">
        <v>1225</v>
      </c>
      <c r="H546" s="6"/>
      <c r="I546" s="6" t="s">
        <v>1117</v>
      </c>
      <c r="J546" s="6">
        <v>69</v>
      </c>
      <c r="K546" s="21">
        <v>1.1000000000000001</v>
      </c>
      <c r="L546" s="21" t="s">
        <v>1106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1230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5">
      <c r="A547" s="19" t="s">
        <v>1231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1200</v>
      </c>
      <c r="H547" s="6"/>
      <c r="I547" s="6" t="s">
        <v>1117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1232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1179</v>
      </c>
      <c r="G548" s="20" t="s">
        <v>1233</v>
      </c>
      <c r="H548" s="6"/>
      <c r="I548" s="6" t="s">
        <v>1117</v>
      </c>
      <c r="J548" s="6">
        <v>69</v>
      </c>
      <c r="K548" s="21">
        <v>1.5</v>
      </c>
      <c r="L548" s="21" t="s">
        <v>1106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1234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5">
      <c r="A549" s="19" t="s">
        <v>1235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1176</v>
      </c>
      <c r="H549" s="6"/>
      <c r="I549" s="6" t="s">
        <v>1117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1236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1237</v>
      </c>
      <c r="H550" s="6"/>
      <c r="I550" s="6" t="s">
        <v>1117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1238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453</v>
      </c>
      <c r="H551" s="6"/>
      <c r="I551" s="6" t="s">
        <v>1117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748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1117</v>
      </c>
      <c r="J552" s="6">
        <v>69</v>
      </c>
      <c r="K552" s="21">
        <v>1</v>
      </c>
      <c r="L552" s="21" t="s">
        <v>1106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1239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1240</v>
      </c>
      <c r="G553" s="20" t="s">
        <v>1241</v>
      </c>
      <c r="H553" s="6"/>
      <c r="I553" s="6" t="s">
        <v>1117</v>
      </c>
      <c r="J553" s="6">
        <v>69</v>
      </c>
      <c r="K553" s="21">
        <v>1.6</v>
      </c>
      <c r="L553" s="21" t="s">
        <v>1106</v>
      </c>
      <c r="M553" s="6" t="s">
        <v>261</v>
      </c>
      <c r="N553" s="6" t="s">
        <v>1124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1242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5">
      <c r="A554" s="19" t="s">
        <v>1243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1176</v>
      </c>
      <c r="H554" s="6"/>
      <c r="I554" s="6" t="s">
        <v>1112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1244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1233</v>
      </c>
      <c r="H555" s="6"/>
      <c r="I555" s="6" t="s">
        <v>1117</v>
      </c>
      <c r="J555" s="6">
        <v>69</v>
      </c>
      <c r="K555" s="21">
        <v>1.5</v>
      </c>
      <c r="L555" s="21" t="s">
        <v>1106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1245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1246</v>
      </c>
      <c r="H556" s="6"/>
      <c r="I556" s="6" t="s">
        <v>1117</v>
      </c>
      <c r="J556" s="6">
        <v>60</v>
      </c>
      <c r="K556" s="21">
        <v>2.5</v>
      </c>
      <c r="L556" s="21" t="s">
        <v>1106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1247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5">
      <c r="A557" s="19" t="s">
        <v>1248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1237</v>
      </c>
      <c r="H557" s="6"/>
      <c r="I557" s="6" t="s">
        <v>1112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1249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1250</v>
      </c>
      <c r="H558" s="6"/>
      <c r="I558" s="6" t="s">
        <v>1117</v>
      </c>
      <c r="J558" s="6">
        <v>69</v>
      </c>
      <c r="K558" s="21">
        <v>1.3</v>
      </c>
      <c r="L558" s="21" t="s">
        <v>1106</v>
      </c>
      <c r="M558" s="6" t="s">
        <v>261</v>
      </c>
      <c r="N558" s="6" t="s">
        <v>1124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1251</v>
      </c>
      <c r="B559" s="21" t="s">
        <v>42</v>
      </c>
      <c r="C559" s="21">
        <v>2</v>
      </c>
      <c r="D559" s="23"/>
      <c r="E559" s="23"/>
      <c r="F559" s="23" t="s">
        <v>1179</v>
      </c>
      <c r="G559" s="20" t="s">
        <v>1141</v>
      </c>
      <c r="H559" s="6"/>
      <c r="I559" s="6" t="s">
        <v>1117</v>
      </c>
      <c r="J559" s="6">
        <v>69</v>
      </c>
      <c r="K559" s="21">
        <v>1.1000000000000001</v>
      </c>
      <c r="L559" s="21" t="s">
        <v>1106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1252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1240</v>
      </c>
      <c r="G560" s="20" t="s">
        <v>1253</v>
      </c>
      <c r="H560" s="6"/>
      <c r="I560" s="6" t="s">
        <v>1117</v>
      </c>
      <c r="J560" s="6">
        <v>60</v>
      </c>
      <c r="K560" s="21"/>
      <c r="L560" s="21" t="s">
        <v>851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1254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5">
      <c r="A561" s="19" t="s">
        <v>601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602</v>
      </c>
      <c r="H561" s="6"/>
      <c r="I561" s="6" t="s">
        <v>1112</v>
      </c>
      <c r="J561" s="6">
        <v>59</v>
      </c>
      <c r="K561" s="21">
        <v>28</v>
      </c>
      <c r="L561" s="21" t="s">
        <v>58</v>
      </c>
      <c r="M561" s="6" t="s">
        <v>1177</v>
      </c>
      <c r="N561" s="6" t="s">
        <v>1219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1255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734</v>
      </c>
      <c r="H562" s="6"/>
      <c r="I562" s="6" t="s">
        <v>1112</v>
      </c>
      <c r="J562" s="6">
        <v>59</v>
      </c>
      <c r="K562" s="21">
        <v>1.5</v>
      </c>
      <c r="L562" s="21" t="s">
        <v>1106</v>
      </c>
      <c r="M562" s="6" t="s">
        <v>261</v>
      </c>
      <c r="N562" s="6" t="s">
        <v>1124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1256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5">
      <c r="A563" s="19" t="s">
        <v>1257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1258</v>
      </c>
      <c r="H563" s="6"/>
      <c r="I563" s="6" t="s">
        <v>1117</v>
      </c>
      <c r="J563" s="6">
        <v>60</v>
      </c>
      <c r="K563" s="21">
        <v>2</v>
      </c>
      <c r="L563" s="21" t="s">
        <v>1106</v>
      </c>
      <c r="M563" s="6" t="s">
        <v>261</v>
      </c>
      <c r="N563" s="6" t="s">
        <v>1259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1257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5">
      <c r="A564" s="19" t="s">
        <v>1260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1261</v>
      </c>
      <c r="H564" s="6"/>
      <c r="I564" s="6" t="s">
        <v>1117</v>
      </c>
      <c r="J564" s="6">
        <v>60</v>
      </c>
      <c r="K564" s="21"/>
      <c r="L564" s="21" t="s">
        <v>1106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1262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5">
      <c r="A565" s="19" t="s">
        <v>1263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1264</v>
      </c>
      <c r="H565" s="6"/>
      <c r="I565" s="6" t="s">
        <v>1117</v>
      </c>
      <c r="J565" s="6">
        <v>60</v>
      </c>
      <c r="K565" s="21"/>
      <c r="L565" s="21" t="s">
        <v>851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1265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1266</v>
      </c>
      <c r="H566" s="6"/>
      <c r="I566" s="6" t="s">
        <v>1117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1202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1267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1268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1269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1270</v>
      </c>
      <c r="H568" s="6"/>
      <c r="I568" s="6" t="s">
        <v>1117</v>
      </c>
      <c r="J568" s="6">
        <v>69</v>
      </c>
      <c r="K568" s="21">
        <v>1</v>
      </c>
      <c r="L568" s="21" t="s">
        <v>1106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1271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1179</v>
      </c>
      <c r="G569" s="20" t="s">
        <v>1272</v>
      </c>
      <c r="H569" s="6"/>
      <c r="I569" s="6" t="s">
        <v>1117</v>
      </c>
      <c r="J569" s="6">
        <v>69</v>
      </c>
      <c r="K569" s="21">
        <v>0.5</v>
      </c>
      <c r="L569" s="21" t="s">
        <v>1106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1273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5">
      <c r="A570" s="19" t="s">
        <v>1274</v>
      </c>
      <c r="B570" s="21" t="s">
        <v>42</v>
      </c>
      <c r="C570" s="21">
        <v>1.5</v>
      </c>
      <c r="D570" s="23">
        <v>157</v>
      </c>
      <c r="E570" s="23"/>
      <c r="F570" s="23" t="s">
        <v>1240</v>
      </c>
      <c r="G570" s="20" t="s">
        <v>1264</v>
      </c>
      <c r="H570" s="6"/>
      <c r="I570" s="6" t="s">
        <v>1117</v>
      </c>
      <c r="J570" s="6">
        <v>60</v>
      </c>
      <c r="K570" s="21"/>
      <c r="L570" s="21" t="s">
        <v>851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1275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1141</v>
      </c>
      <c r="H571" s="6"/>
      <c r="I571" s="6" t="s">
        <v>1112</v>
      </c>
      <c r="J571" s="6">
        <v>59</v>
      </c>
      <c r="K571" s="21">
        <v>1</v>
      </c>
      <c r="L571" s="21" t="s">
        <v>1106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1276</v>
      </c>
      <c r="B572" s="21" t="s">
        <v>42</v>
      </c>
      <c r="C572" s="21">
        <v>1.2</v>
      </c>
      <c r="D572" s="23">
        <v>325</v>
      </c>
      <c r="E572" s="23"/>
      <c r="F572" s="23" t="s">
        <v>1240</v>
      </c>
      <c r="G572" s="20" t="s">
        <v>1277</v>
      </c>
      <c r="H572" s="6"/>
      <c r="I572" s="6" t="s">
        <v>1117</v>
      </c>
      <c r="J572" s="6">
        <v>60</v>
      </c>
      <c r="K572" s="21"/>
      <c r="L572" s="21" t="s">
        <v>1118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1278</v>
      </c>
      <c r="B573" s="21" t="s">
        <v>42</v>
      </c>
      <c r="C573" s="21">
        <v>2</v>
      </c>
      <c r="D573" s="23">
        <v>1000</v>
      </c>
      <c r="E573" s="23"/>
      <c r="F573" s="23" t="s">
        <v>1179</v>
      </c>
      <c r="G573" s="20" t="s">
        <v>1279</v>
      </c>
      <c r="H573" s="6"/>
      <c r="I573" s="6" t="s">
        <v>1117</v>
      </c>
      <c r="J573" s="6">
        <v>69</v>
      </c>
      <c r="K573" s="21">
        <v>0.5</v>
      </c>
      <c r="L573" s="21" t="s">
        <v>1106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1280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1281</v>
      </c>
      <c r="H574" s="6"/>
      <c r="I574" s="6" t="s">
        <v>1112</v>
      </c>
      <c r="J574" s="6">
        <v>59</v>
      </c>
      <c r="K574" s="21">
        <v>32</v>
      </c>
      <c r="L574" s="21" t="s">
        <v>58</v>
      </c>
      <c r="M574" s="6" t="s">
        <v>1177</v>
      </c>
      <c r="N574" s="6" t="s">
        <v>1282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1283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1284</v>
      </c>
      <c r="H575" s="6"/>
      <c r="I575" s="6" t="s">
        <v>1112</v>
      </c>
      <c r="J575" s="6">
        <v>69</v>
      </c>
      <c r="K575" s="21">
        <v>26</v>
      </c>
      <c r="L575" s="21" t="s">
        <v>58</v>
      </c>
      <c r="M575" s="6" t="s">
        <v>1177</v>
      </c>
      <c r="N575" s="6" t="s">
        <v>1282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1285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1286</v>
      </c>
      <c r="H576" s="6"/>
      <c r="I576" s="6" t="s">
        <v>1117</v>
      </c>
      <c r="J576" s="6">
        <v>60</v>
      </c>
      <c r="K576" s="21">
        <v>0.5</v>
      </c>
      <c r="L576" s="21" t="s">
        <v>1106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1287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1288</v>
      </c>
      <c r="H577" s="6"/>
      <c r="I577" s="6" t="s">
        <v>1117</v>
      </c>
      <c r="J577" s="6">
        <v>60</v>
      </c>
      <c r="K577" s="21">
        <v>0.5</v>
      </c>
      <c r="L577" s="21" t="s">
        <v>1106</v>
      </c>
      <c r="M577" s="6" t="s">
        <v>261</v>
      </c>
      <c r="N577" s="6" t="s">
        <v>1259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1289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1138</v>
      </c>
      <c r="H578" s="6"/>
      <c r="I578" s="6" t="s">
        <v>1117</v>
      </c>
      <c r="J578" s="6">
        <v>69</v>
      </c>
      <c r="K578" s="21">
        <v>0.5</v>
      </c>
      <c r="L578" s="21" t="s">
        <v>1106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1290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1291</v>
      </c>
      <c r="H579" s="6"/>
      <c r="I579" s="6" t="s">
        <v>1112</v>
      </c>
      <c r="J579" s="6">
        <v>59</v>
      </c>
      <c r="K579" s="21">
        <v>1</v>
      </c>
      <c r="L579" s="21" t="s">
        <v>1106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1292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1172</v>
      </c>
      <c r="H580" s="6"/>
      <c r="I580" s="6" t="s">
        <v>1112</v>
      </c>
      <c r="J580" s="6">
        <v>59</v>
      </c>
      <c r="K580" s="21">
        <v>0.6</v>
      </c>
      <c r="L580" s="21" t="s">
        <v>1106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1293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1294</v>
      </c>
      <c r="H581" s="6"/>
      <c r="I581" s="6" t="s">
        <v>1112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1202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1295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1296</v>
      </c>
      <c r="H582" s="6"/>
      <c r="I582" s="6" t="s">
        <v>1117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1202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1297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1298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1299</v>
      </c>
      <c r="H584" s="6"/>
      <c r="I584" s="6" t="s">
        <v>773</v>
      </c>
      <c r="J584" s="6">
        <v>60</v>
      </c>
      <c r="K584" s="21">
        <v>24</v>
      </c>
      <c r="L584" s="21" t="s">
        <v>377</v>
      </c>
      <c r="M584" s="6" t="s">
        <v>226</v>
      </c>
      <c r="N584" s="6" t="s">
        <v>1202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1300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453</v>
      </c>
      <c r="H585" s="6"/>
      <c r="I585" s="6" t="s">
        <v>1117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1202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1301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1302</v>
      </c>
      <c r="H586" s="6"/>
      <c r="I586" s="6" t="s">
        <v>1117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1202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1303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1304</v>
      </c>
      <c r="H587" s="6"/>
      <c r="I587" s="6"/>
      <c r="J587" s="6">
        <v>30</v>
      </c>
      <c r="K587" s="21"/>
      <c r="L587" s="21" t="s">
        <v>377</v>
      </c>
      <c r="M587" s="6" t="s">
        <v>226</v>
      </c>
      <c r="N587" s="6" t="s">
        <v>1202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321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1305</v>
      </c>
      <c r="H588" s="6"/>
      <c r="I588" s="6" t="s">
        <v>773</v>
      </c>
      <c r="J588" s="6">
        <v>60</v>
      </c>
      <c r="K588" s="21"/>
      <c r="L588" s="21" t="s">
        <v>377</v>
      </c>
      <c r="M588" s="6" t="s">
        <v>226</v>
      </c>
      <c r="N588" s="6" t="s">
        <v>1202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1306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1307</v>
      </c>
      <c r="H589" s="6"/>
      <c r="I589" s="6" t="s">
        <v>1117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1202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1308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1309</v>
      </c>
      <c r="H590" s="6"/>
      <c r="I590" s="6" t="s">
        <v>1117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1202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x14ac:dyDescent="0.35">
      <c r="A591" s="22" t="s">
        <v>1310</v>
      </c>
      <c r="B591" s="2"/>
      <c r="C591" s="21">
        <v>15</v>
      </c>
      <c r="D591" s="23"/>
      <c r="E591" s="23"/>
      <c r="F591" s="23"/>
      <c r="G591" s="3" t="s">
        <v>1311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1312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1313</v>
      </c>
      <c r="AK591" s="65">
        <v>0</v>
      </c>
      <c r="AL591" s="1"/>
      <c r="AM591" s="1"/>
      <c r="AN591" s="81"/>
      <c r="AO591" s="81"/>
    </row>
    <row r="592" spans="1:41" s="26" customFormat="1" x14ac:dyDescent="0.35">
      <c r="A592" s="22" t="s">
        <v>1314</v>
      </c>
      <c r="B592" s="2"/>
      <c r="C592" s="21">
        <v>4</v>
      </c>
      <c r="D592" s="23"/>
      <c r="E592" s="23"/>
      <c r="F592" s="23"/>
      <c r="G592" s="3" t="s">
        <v>287</v>
      </c>
      <c r="H592" s="6"/>
      <c r="I592" s="6"/>
      <c r="J592" s="6"/>
      <c r="K592" s="21"/>
      <c r="L592" s="21" t="s">
        <v>1315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x14ac:dyDescent="0.35">
      <c r="A593" s="22" t="s">
        <v>1316</v>
      </c>
      <c r="B593" s="2"/>
      <c r="C593" s="21">
        <v>35</v>
      </c>
      <c r="D593" s="23"/>
      <c r="E593" s="23"/>
      <c r="F593" s="23"/>
      <c r="G593" s="3" t="s">
        <v>1311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x14ac:dyDescent="0.35">
      <c r="A594" s="22" t="s">
        <v>1317</v>
      </c>
      <c r="B594" s="2"/>
      <c r="C594" s="21">
        <v>3</v>
      </c>
      <c r="D594" s="23"/>
      <c r="E594" s="23"/>
      <c r="F594" s="23"/>
      <c r="G594" s="3" t="s">
        <v>287</v>
      </c>
      <c r="H594" s="4"/>
      <c r="I594" s="6"/>
      <c r="J594" s="4"/>
      <c r="K594" s="5"/>
      <c r="L594" s="5" t="s">
        <v>1315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x14ac:dyDescent="0.35">
      <c r="A595" s="22" t="s">
        <v>658</v>
      </c>
      <c r="B595" s="2"/>
      <c r="C595" s="21">
        <v>2</v>
      </c>
      <c r="D595" s="23"/>
      <c r="E595" s="23"/>
      <c r="F595" s="23"/>
      <c r="G595" s="3" t="s">
        <v>1318</v>
      </c>
      <c r="H595" s="6"/>
      <c r="I595" s="6"/>
      <c r="J595" s="6"/>
      <c r="K595" s="21"/>
      <c r="L595" s="5" t="s">
        <v>1319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x14ac:dyDescent="0.35">
      <c r="A596" s="22" t="s">
        <v>1320</v>
      </c>
      <c r="B596" s="2"/>
      <c r="C596" s="21">
        <v>10</v>
      </c>
      <c r="D596" s="23"/>
      <c r="E596" s="23"/>
      <c r="F596" s="23"/>
      <c r="G596" s="3" t="s">
        <v>772</v>
      </c>
      <c r="H596" s="6"/>
      <c r="I596" s="6"/>
      <c r="J596" s="6"/>
      <c r="K596" s="21"/>
      <c r="L596" s="21" t="s">
        <v>1319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x14ac:dyDescent="0.35">
      <c r="A597" s="22" t="s">
        <v>1321</v>
      </c>
      <c r="B597" s="2"/>
      <c r="C597" s="21">
        <v>3</v>
      </c>
      <c r="D597" s="23"/>
      <c r="E597" s="23"/>
      <c r="F597" s="23"/>
      <c r="G597" s="3" t="s">
        <v>287</v>
      </c>
      <c r="H597" s="4"/>
      <c r="I597" s="6"/>
      <c r="J597" s="4"/>
      <c r="K597" s="5"/>
      <c r="L597" s="5" t="s">
        <v>1315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x14ac:dyDescent="0.35">
      <c r="A598" s="22" t="s">
        <v>1322</v>
      </c>
      <c r="B598" s="2"/>
      <c r="C598" s="21">
        <v>12.5</v>
      </c>
      <c r="D598" s="23"/>
      <c r="E598" s="23"/>
      <c r="F598" s="23"/>
      <c r="G598" s="3" t="s">
        <v>830</v>
      </c>
      <c r="H598" s="6"/>
      <c r="I598" s="6"/>
      <c r="J598" s="6"/>
      <c r="K598" s="21"/>
      <c r="L598" s="21" t="s">
        <v>1323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x14ac:dyDescent="0.35">
      <c r="A599" s="22" t="s">
        <v>1324</v>
      </c>
      <c r="B599" s="2"/>
      <c r="C599" s="21">
        <v>40</v>
      </c>
      <c r="D599" s="23"/>
      <c r="E599" s="23"/>
      <c r="F599" s="23"/>
      <c r="G599" s="3" t="s">
        <v>1311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x14ac:dyDescent="0.35">
      <c r="A600" s="22" t="s">
        <v>1325</v>
      </c>
      <c r="B600" s="2"/>
      <c r="C600" s="21">
        <v>4.75</v>
      </c>
      <c r="D600" s="23"/>
      <c r="E600" s="23"/>
      <c r="F600" s="23"/>
      <c r="G600" s="3" t="s">
        <v>830</v>
      </c>
      <c r="H600" s="6"/>
      <c r="I600" s="6"/>
      <c r="J600" s="6"/>
      <c r="K600" s="21"/>
      <c r="L600" s="21" t="s">
        <v>1326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x14ac:dyDescent="0.35">
      <c r="A601" s="22" t="s">
        <v>1327</v>
      </c>
      <c r="B601" s="2"/>
      <c r="C601" s="21">
        <v>6</v>
      </c>
      <c r="D601" s="23"/>
      <c r="E601" s="23"/>
      <c r="F601" s="23"/>
      <c r="G601" s="3" t="s">
        <v>830</v>
      </c>
      <c r="H601" s="6"/>
      <c r="I601" s="6"/>
      <c r="J601" s="6"/>
      <c r="K601" s="21"/>
      <c r="L601" s="21" t="s">
        <v>1319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x14ac:dyDescent="0.35">
      <c r="A602" s="22" t="s">
        <v>877</v>
      </c>
      <c r="B602" s="2"/>
      <c r="C602" s="21">
        <v>3.5</v>
      </c>
      <c r="D602" s="23"/>
      <c r="E602" s="23"/>
      <c r="F602" s="23"/>
      <c r="G602" s="3" t="s">
        <v>351</v>
      </c>
      <c r="H602" s="4"/>
      <c r="I602" s="6"/>
      <c r="J602" s="4"/>
      <c r="K602" s="5"/>
      <c r="L602" s="5" t="s">
        <v>1326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x14ac:dyDescent="0.35">
      <c r="A603" s="22" t="s">
        <v>1328</v>
      </c>
      <c r="B603" s="2"/>
      <c r="C603" s="21">
        <v>6</v>
      </c>
      <c r="D603" s="23"/>
      <c r="E603" s="23"/>
      <c r="F603" s="23"/>
      <c r="G603" s="3" t="s">
        <v>830</v>
      </c>
      <c r="H603" s="6"/>
      <c r="I603" s="6"/>
      <c r="J603" s="6"/>
      <c r="K603" s="21"/>
      <c r="L603" s="21" t="s">
        <v>1319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x14ac:dyDescent="0.35">
      <c r="A604" s="22" t="s">
        <v>1329</v>
      </c>
      <c r="B604" s="2"/>
      <c r="C604" s="21">
        <v>2</v>
      </c>
      <c r="D604" s="23"/>
      <c r="E604" s="23"/>
      <c r="F604" s="23"/>
      <c r="G604" s="3" t="s">
        <v>1330</v>
      </c>
      <c r="H604" s="4"/>
      <c r="I604" s="6"/>
      <c r="J604" s="4"/>
      <c r="K604" s="5"/>
      <c r="L604" s="5" t="s">
        <v>1326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x14ac:dyDescent="0.35">
      <c r="A605" s="22" t="s">
        <v>666</v>
      </c>
      <c r="B605" s="2"/>
      <c r="C605" s="21">
        <v>3</v>
      </c>
      <c r="D605" s="23"/>
      <c r="E605" s="23"/>
      <c r="F605" s="23"/>
      <c r="G605" s="3" t="s">
        <v>830</v>
      </c>
      <c r="H605" s="4"/>
      <c r="I605" s="6"/>
      <c r="J605" s="4"/>
      <c r="K605" s="5"/>
      <c r="L605" s="5" t="s">
        <v>1326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x14ac:dyDescent="0.35">
      <c r="A606" s="22" t="s">
        <v>298</v>
      </c>
      <c r="B606" s="2"/>
      <c r="C606" s="21">
        <v>3</v>
      </c>
      <c r="D606" s="23"/>
      <c r="E606" s="23"/>
      <c r="F606" s="23" t="s">
        <v>300</v>
      </c>
      <c r="G606" s="3" t="s">
        <v>1331</v>
      </c>
      <c r="H606" s="6"/>
      <c r="I606" s="6"/>
      <c r="J606" s="6"/>
      <c r="K606" s="21"/>
      <c r="L606" s="21" t="s">
        <v>1326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x14ac:dyDescent="0.35">
      <c r="A607" s="22" t="s">
        <v>1332</v>
      </c>
      <c r="B607" s="2"/>
      <c r="C607" s="21">
        <v>25</v>
      </c>
      <c r="D607" s="23"/>
      <c r="E607" s="23"/>
      <c r="F607" s="23"/>
      <c r="G607" s="3" t="s">
        <v>1311</v>
      </c>
      <c r="H607" s="6"/>
      <c r="I607" s="6"/>
      <c r="J607" s="6"/>
      <c r="K607" s="21"/>
      <c r="L607" s="21" t="s">
        <v>1326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x14ac:dyDescent="0.35">
      <c r="A608" s="22" t="s">
        <v>1333</v>
      </c>
      <c r="B608" s="2"/>
      <c r="C608" s="21">
        <v>6.3</v>
      </c>
      <c r="D608" s="23"/>
      <c r="E608" s="23"/>
      <c r="F608" s="23"/>
      <c r="G608" s="3" t="s">
        <v>830</v>
      </c>
      <c r="H608" s="6"/>
      <c r="I608" s="6"/>
      <c r="J608" s="6"/>
      <c r="K608" s="21"/>
      <c r="L608" s="21" t="s">
        <v>1319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x14ac:dyDescent="0.35">
      <c r="A609" s="22" t="s">
        <v>399</v>
      </c>
      <c r="B609" s="2"/>
      <c r="C609" s="21">
        <v>4</v>
      </c>
      <c r="D609" s="23"/>
      <c r="E609" s="23"/>
      <c r="F609" s="23"/>
      <c r="G609" s="3" t="s">
        <v>830</v>
      </c>
      <c r="H609" s="4"/>
      <c r="I609" s="6"/>
      <c r="J609" s="4"/>
      <c r="K609" s="5"/>
      <c r="L609" s="5" t="s">
        <v>1319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x14ac:dyDescent="0.35">
      <c r="A610" s="22" t="s">
        <v>391</v>
      </c>
      <c r="B610" s="2"/>
      <c r="C610" s="21">
        <v>4.75</v>
      </c>
      <c r="D610" s="23"/>
      <c r="E610" s="23"/>
      <c r="F610" s="23"/>
      <c r="G610" s="3" t="s">
        <v>351</v>
      </c>
      <c r="H610" s="6"/>
      <c r="I610" s="6"/>
      <c r="J610" s="6"/>
      <c r="K610" s="21"/>
      <c r="L610" s="21" t="s">
        <v>1326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x14ac:dyDescent="0.35">
      <c r="A611" s="22" t="s">
        <v>1334</v>
      </c>
      <c r="B611" s="2"/>
      <c r="C611" s="21">
        <v>8</v>
      </c>
      <c r="D611" s="23"/>
      <c r="E611" s="23"/>
      <c r="F611" s="23"/>
      <c r="G611" s="3" t="s">
        <v>830</v>
      </c>
      <c r="H611" s="4"/>
      <c r="I611" s="4"/>
      <c r="J611" s="4"/>
      <c r="K611" s="5"/>
      <c r="L611" s="5" t="s">
        <v>1323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x14ac:dyDescent="0.35">
      <c r="A612" s="22" t="s">
        <v>1335</v>
      </c>
      <c r="B612" s="2"/>
      <c r="C612" s="21">
        <v>6</v>
      </c>
      <c r="D612" s="23"/>
      <c r="E612" s="23"/>
      <c r="F612" s="23"/>
      <c r="G612" s="3" t="s">
        <v>830</v>
      </c>
      <c r="H612" s="6"/>
      <c r="I612" s="6"/>
      <c r="J612" s="6"/>
      <c r="K612" s="21"/>
      <c r="L612" s="21" t="s">
        <v>1323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x14ac:dyDescent="0.35">
      <c r="A613" s="22" t="s">
        <v>1336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1326</v>
      </c>
      <c r="M613" s="4" t="s">
        <v>1337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x14ac:dyDescent="0.35">
      <c r="A614" s="22" t="s">
        <v>1338</v>
      </c>
      <c r="B614" s="2"/>
      <c r="C614" s="21">
        <v>9.5</v>
      </c>
      <c r="D614" s="23"/>
      <c r="E614" s="23"/>
      <c r="F614" s="23"/>
      <c r="G614" s="3" t="s">
        <v>830</v>
      </c>
      <c r="H614" s="6"/>
      <c r="I614" s="6"/>
      <c r="J614" s="6"/>
      <c r="K614" s="21"/>
      <c r="L614" s="21" t="s">
        <v>1323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x14ac:dyDescent="0.35">
      <c r="A615" s="22" t="s">
        <v>683</v>
      </c>
      <c r="B615" s="2"/>
      <c r="C615" s="21">
        <v>5</v>
      </c>
      <c r="D615" s="23"/>
      <c r="E615" s="23"/>
      <c r="F615" s="23"/>
      <c r="G615" s="3" t="s">
        <v>351</v>
      </c>
      <c r="H615" s="6"/>
      <c r="I615" s="6"/>
      <c r="J615" s="6"/>
      <c r="K615" s="21"/>
      <c r="L615" s="21" t="s">
        <v>1326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x14ac:dyDescent="0.35">
      <c r="A616" s="22" t="s">
        <v>1339</v>
      </c>
      <c r="B616" s="2"/>
      <c r="C616" s="21">
        <v>15.75</v>
      </c>
      <c r="D616" s="23"/>
      <c r="E616" s="23"/>
      <c r="F616" s="23"/>
      <c r="G616" s="3" t="s">
        <v>1340</v>
      </c>
      <c r="H616" s="6"/>
      <c r="I616" s="6"/>
      <c r="J616" s="6"/>
      <c r="K616" s="21"/>
      <c r="L616" s="21" t="s">
        <v>1319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x14ac:dyDescent="0.35">
      <c r="A617" s="22" t="s">
        <v>1341</v>
      </c>
      <c r="B617" s="2"/>
      <c r="C617" s="21">
        <v>4.75</v>
      </c>
      <c r="D617" s="23"/>
      <c r="E617" s="23"/>
      <c r="F617" s="23"/>
      <c r="G617" s="3" t="s">
        <v>1342</v>
      </c>
      <c r="H617" s="6"/>
      <c r="I617" s="6"/>
      <c r="J617" s="6"/>
      <c r="K617" s="21"/>
      <c r="L617" s="21" t="s">
        <v>1319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x14ac:dyDescent="0.35">
      <c r="A618" s="22" t="s">
        <v>889</v>
      </c>
      <c r="B618" s="2"/>
      <c r="C618" s="21">
        <v>3</v>
      </c>
      <c r="D618" s="23"/>
      <c r="E618" s="23"/>
      <c r="F618" s="23"/>
      <c r="G618" s="3" t="s">
        <v>1343</v>
      </c>
      <c r="H618" s="6"/>
      <c r="I618" s="6"/>
      <c r="J618" s="6"/>
      <c r="K618" s="21"/>
      <c r="L618" s="21" t="s">
        <v>1326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x14ac:dyDescent="0.35">
      <c r="A619" s="22" t="s">
        <v>914</v>
      </c>
      <c r="B619" s="2"/>
      <c r="C619" s="21">
        <v>9.5</v>
      </c>
      <c r="D619" s="23"/>
      <c r="E619" s="23"/>
      <c r="F619" s="23"/>
      <c r="G619" s="3" t="s">
        <v>830</v>
      </c>
      <c r="H619" s="4"/>
      <c r="I619" s="4"/>
      <c r="J619" s="4"/>
      <c r="K619" s="5"/>
      <c r="L619" s="5" t="s">
        <v>1319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x14ac:dyDescent="0.35">
      <c r="A620" s="22" t="s">
        <v>886</v>
      </c>
      <c r="B620" s="2"/>
      <c r="C620" s="21">
        <v>8</v>
      </c>
      <c r="D620" s="23"/>
      <c r="E620" s="23"/>
      <c r="F620" s="23"/>
      <c r="G620" s="3" t="s">
        <v>830</v>
      </c>
      <c r="H620" s="6"/>
      <c r="I620" s="6"/>
      <c r="J620" s="6"/>
      <c r="K620" s="21"/>
      <c r="L620" s="21" t="s">
        <v>1319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x14ac:dyDescent="0.35">
      <c r="A621" s="22" t="s">
        <v>1344</v>
      </c>
      <c r="B621" s="2"/>
      <c r="C621" s="21">
        <v>4.75</v>
      </c>
      <c r="D621" s="23"/>
      <c r="E621" s="23"/>
      <c r="F621" s="23"/>
      <c r="G621" s="3" t="s">
        <v>830</v>
      </c>
      <c r="H621" s="6"/>
      <c r="I621" s="6"/>
      <c r="J621" s="6"/>
      <c r="K621" s="21"/>
      <c r="L621" s="21" t="s">
        <v>1319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x14ac:dyDescent="0.35">
      <c r="A622" s="22" t="s">
        <v>1345</v>
      </c>
      <c r="B622" s="2"/>
      <c r="C622" s="21">
        <v>3.75</v>
      </c>
      <c r="D622" s="23"/>
      <c r="E622" s="23"/>
      <c r="F622" s="23"/>
      <c r="G622" s="3" t="s">
        <v>1346</v>
      </c>
      <c r="H622" s="6"/>
      <c r="I622" s="6"/>
      <c r="J622" s="6"/>
      <c r="K622" s="21"/>
      <c r="L622" s="21" t="s">
        <v>1326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x14ac:dyDescent="0.35">
      <c r="A623" s="22" t="s">
        <v>868</v>
      </c>
      <c r="B623" s="2"/>
      <c r="C623" s="21">
        <v>8</v>
      </c>
      <c r="D623" s="23"/>
      <c r="E623" s="23"/>
      <c r="F623" s="23"/>
      <c r="G623" s="3" t="s">
        <v>351</v>
      </c>
      <c r="H623" s="6"/>
      <c r="I623" s="6"/>
      <c r="J623" s="6"/>
      <c r="K623" s="21"/>
      <c r="L623" s="21" t="s">
        <v>1319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x14ac:dyDescent="0.35">
      <c r="A624" s="22" t="s">
        <v>1347</v>
      </c>
      <c r="B624" s="2"/>
      <c r="C624" s="21">
        <v>2</v>
      </c>
      <c r="D624" s="23"/>
      <c r="E624" s="23"/>
      <c r="F624" s="23"/>
      <c r="G624" s="3" t="s">
        <v>1330</v>
      </c>
      <c r="H624" s="6"/>
      <c r="I624" s="6"/>
      <c r="J624" s="6"/>
      <c r="K624" s="21"/>
      <c r="L624" s="5" t="s">
        <v>1319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x14ac:dyDescent="0.35">
      <c r="A625" s="22" t="s">
        <v>1348</v>
      </c>
      <c r="B625" s="2"/>
      <c r="C625" s="21">
        <v>3.75</v>
      </c>
      <c r="D625" s="23"/>
      <c r="E625" s="23"/>
      <c r="F625" s="23"/>
      <c r="G625" s="3" t="s">
        <v>1349</v>
      </c>
      <c r="H625" s="4"/>
      <c r="I625" s="6"/>
      <c r="J625" s="4"/>
      <c r="K625" s="5"/>
      <c r="L625" s="5" t="s">
        <v>1350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x14ac:dyDescent="0.35">
      <c r="A626" s="22" t="s">
        <v>426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1326</v>
      </c>
      <c r="M626" s="4" t="s">
        <v>1337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1351</v>
      </c>
      <c r="B627" s="2"/>
      <c r="C627" s="21">
        <v>30</v>
      </c>
      <c r="D627" s="23"/>
      <c r="E627" s="23"/>
      <c r="F627" s="23"/>
      <c r="G627" s="3" t="s">
        <v>1311</v>
      </c>
      <c r="H627" s="6"/>
      <c r="I627" s="6"/>
      <c r="J627" s="6"/>
      <c r="K627" s="21"/>
      <c r="L627" s="21" t="s">
        <v>1326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x14ac:dyDescent="0.35">
      <c r="A628" s="22" t="s">
        <v>924</v>
      </c>
      <c r="B628" s="2"/>
      <c r="C628" s="21">
        <v>4</v>
      </c>
      <c r="D628" s="23"/>
      <c r="E628" s="23"/>
      <c r="F628" s="23"/>
      <c r="G628" s="3" t="s">
        <v>1352</v>
      </c>
      <c r="H628" s="4"/>
      <c r="I628" s="6"/>
      <c r="J628" s="4"/>
      <c r="K628" s="5"/>
      <c r="L628" s="5" t="s">
        <v>1326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x14ac:dyDescent="0.35">
      <c r="A629" s="22" t="s">
        <v>1353</v>
      </c>
      <c r="B629" s="2"/>
      <c r="C629" s="21">
        <v>2</v>
      </c>
      <c r="D629" s="23"/>
      <c r="E629" s="23"/>
      <c r="F629" s="23"/>
      <c r="G629" s="3" t="s">
        <v>830</v>
      </c>
      <c r="H629" s="6"/>
      <c r="I629" s="6"/>
      <c r="J629" s="6"/>
      <c r="K629" s="21"/>
      <c r="L629" s="21" t="s">
        <v>1326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x14ac:dyDescent="0.35">
      <c r="A630" s="22" t="s">
        <v>901</v>
      </c>
      <c r="B630" s="2"/>
      <c r="C630" s="21">
        <v>1.5</v>
      </c>
      <c r="D630" s="23"/>
      <c r="E630" s="23"/>
      <c r="F630" s="23"/>
      <c r="G630" s="3" t="s">
        <v>1354</v>
      </c>
      <c r="H630" s="6"/>
      <c r="I630" s="6"/>
      <c r="J630" s="6"/>
      <c r="K630" s="21"/>
      <c r="L630" s="5" t="s">
        <v>1319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x14ac:dyDescent="0.35">
      <c r="A631" s="22" t="s">
        <v>1355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1326</v>
      </c>
      <c r="M631" s="4" t="s">
        <v>1337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x14ac:dyDescent="0.35">
      <c r="A632" s="22" t="s">
        <v>1356</v>
      </c>
      <c r="B632" s="2"/>
      <c r="C632" s="21">
        <v>4</v>
      </c>
      <c r="D632" s="23"/>
      <c r="E632" s="23"/>
      <c r="F632" s="23"/>
      <c r="G632" s="3" t="s">
        <v>1357</v>
      </c>
      <c r="H632" s="6"/>
      <c r="I632" s="6"/>
      <c r="J632" s="6"/>
      <c r="K632" s="21"/>
      <c r="L632" s="21" t="s">
        <v>1326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x14ac:dyDescent="0.35">
      <c r="A633" s="22" t="s">
        <v>1358</v>
      </c>
      <c r="B633" s="2"/>
      <c r="C633" s="21">
        <v>9.5</v>
      </c>
      <c r="D633" s="23"/>
      <c r="E633" s="23"/>
      <c r="F633" s="23"/>
      <c r="G633" s="3" t="s">
        <v>830</v>
      </c>
      <c r="H633" s="6"/>
      <c r="I633" s="6"/>
      <c r="J633" s="6"/>
      <c r="K633" s="21"/>
      <c r="L633" s="21" t="s">
        <v>1323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x14ac:dyDescent="0.35">
      <c r="A634" s="22" t="s">
        <v>1359</v>
      </c>
      <c r="B634" s="2"/>
      <c r="C634" s="21">
        <v>45</v>
      </c>
      <c r="D634" s="23"/>
      <c r="E634" s="23"/>
      <c r="F634" s="23"/>
      <c r="G634" s="3" t="s">
        <v>1311</v>
      </c>
      <c r="H634" s="6"/>
      <c r="I634" s="6"/>
      <c r="J634" s="6"/>
      <c r="K634" s="21"/>
      <c r="L634" s="5" t="s">
        <v>1326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x14ac:dyDescent="0.35">
      <c r="A635" s="22" t="s">
        <v>1360</v>
      </c>
      <c r="B635" s="2"/>
      <c r="C635" s="21">
        <v>4.75</v>
      </c>
      <c r="D635" s="23"/>
      <c r="E635" s="23"/>
      <c r="F635" s="23"/>
      <c r="G635" s="3" t="s">
        <v>830</v>
      </c>
      <c r="H635" s="6"/>
      <c r="I635" s="6"/>
      <c r="J635" s="6"/>
      <c r="K635" s="21"/>
      <c r="L635" s="21" t="s">
        <v>1319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x14ac:dyDescent="0.35">
      <c r="A636" s="22" t="s">
        <v>1361</v>
      </c>
      <c r="B636" s="2"/>
      <c r="C636" s="21">
        <v>3</v>
      </c>
      <c r="D636" s="23"/>
      <c r="E636" s="23"/>
      <c r="F636" s="23"/>
      <c r="G636" s="3" t="s">
        <v>1318</v>
      </c>
      <c r="H636" s="6"/>
      <c r="I636" s="6"/>
      <c r="J636" s="6"/>
      <c r="K636" s="21"/>
      <c r="L636" s="21" t="s">
        <v>1319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x14ac:dyDescent="0.35">
      <c r="A637" s="22" t="s">
        <v>1362</v>
      </c>
      <c r="B637" s="2"/>
      <c r="C637" s="21">
        <v>9.75</v>
      </c>
      <c r="D637" s="23"/>
      <c r="E637" s="23"/>
      <c r="F637" s="23"/>
      <c r="G637" s="3" t="s">
        <v>1363</v>
      </c>
      <c r="H637" s="6"/>
      <c r="I637" s="6"/>
      <c r="J637" s="6"/>
      <c r="K637" s="21"/>
      <c r="L637" s="21" t="s">
        <v>1319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x14ac:dyDescent="0.35">
      <c r="A638" s="22" t="s">
        <v>1364</v>
      </c>
      <c r="B638" s="2"/>
      <c r="C638" s="21">
        <v>12.25</v>
      </c>
      <c r="D638" s="23"/>
      <c r="E638" s="23"/>
      <c r="F638" s="23"/>
      <c r="G638" s="3" t="s">
        <v>1340</v>
      </c>
      <c r="H638" s="6"/>
      <c r="I638" s="6"/>
      <c r="J638" s="6"/>
      <c r="K638" s="21"/>
      <c r="L638" s="21" t="s">
        <v>1319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x14ac:dyDescent="0.35">
      <c r="A639" s="22" t="s">
        <v>1365</v>
      </c>
      <c r="B639" s="2"/>
      <c r="C639" s="21">
        <v>1.9</v>
      </c>
      <c r="D639" s="23"/>
      <c r="E639" s="23"/>
      <c r="F639" s="23"/>
      <c r="G639" s="3" t="s">
        <v>1330</v>
      </c>
      <c r="H639" s="4"/>
      <c r="I639" s="6"/>
      <c r="J639" s="4"/>
      <c r="K639" s="5"/>
      <c r="L639" s="5" t="s">
        <v>1326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x14ac:dyDescent="0.35">
      <c r="A640" s="22" t="s">
        <v>1366</v>
      </c>
      <c r="B640" s="2"/>
      <c r="C640" s="21">
        <v>2</v>
      </c>
      <c r="D640" s="23"/>
      <c r="E640" s="23"/>
      <c r="F640" s="23"/>
      <c r="G640" s="3" t="s">
        <v>830</v>
      </c>
      <c r="H640" s="6"/>
      <c r="I640" s="6"/>
      <c r="J640" s="6"/>
      <c r="K640" s="21"/>
      <c r="L640" s="21" t="s">
        <v>1326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x14ac:dyDescent="0.35">
      <c r="A641" s="22" t="s">
        <v>906</v>
      </c>
      <c r="B641" s="2"/>
      <c r="C641" s="21">
        <v>6</v>
      </c>
      <c r="D641" s="23"/>
      <c r="E641" s="23"/>
      <c r="F641" s="23"/>
      <c r="G641" s="3" t="s">
        <v>1352</v>
      </c>
      <c r="H641" s="4"/>
      <c r="I641" s="6"/>
      <c r="J641" s="4"/>
      <c r="K641" s="5"/>
      <c r="L641" s="5" t="s">
        <v>1326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x14ac:dyDescent="0.35">
      <c r="A642" s="22" t="s">
        <v>965</v>
      </c>
      <c r="B642" s="2"/>
      <c r="C642" s="21">
        <v>3</v>
      </c>
      <c r="D642" s="23"/>
      <c r="E642" s="23"/>
      <c r="F642" s="23"/>
      <c r="G642" s="3" t="s">
        <v>830</v>
      </c>
      <c r="H642" s="6"/>
      <c r="I642" s="6"/>
      <c r="J642" s="6"/>
      <c r="K642" s="21"/>
      <c r="L642" s="21" t="s">
        <v>1326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x14ac:dyDescent="0.35">
      <c r="A643" s="22" t="s">
        <v>1367</v>
      </c>
      <c r="B643" s="2"/>
      <c r="C643" s="21">
        <v>5</v>
      </c>
      <c r="D643" s="23"/>
      <c r="E643" s="23"/>
      <c r="F643" s="23"/>
      <c r="G643" s="3" t="s">
        <v>1368</v>
      </c>
      <c r="H643" s="4"/>
      <c r="I643" s="6"/>
      <c r="J643" s="4"/>
      <c r="K643" s="5"/>
      <c r="L643" s="5" t="s">
        <v>1326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x14ac:dyDescent="0.35">
      <c r="A644" s="22" t="s">
        <v>1369</v>
      </c>
      <c r="B644" s="2"/>
      <c r="C644" s="21">
        <v>12.5</v>
      </c>
      <c r="D644" s="23"/>
      <c r="E644" s="23"/>
      <c r="F644" s="23"/>
      <c r="G644" s="3" t="s">
        <v>830</v>
      </c>
      <c r="H644" s="6"/>
      <c r="I644" s="6"/>
      <c r="J644" s="6"/>
      <c r="K644" s="21"/>
      <c r="L644" s="21" t="s">
        <v>1323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x14ac:dyDescent="0.35">
      <c r="A645" s="22" t="s">
        <v>883</v>
      </c>
      <c r="B645" s="2"/>
      <c r="C645" s="21">
        <v>4</v>
      </c>
      <c r="D645" s="23"/>
      <c r="E645" s="23"/>
      <c r="F645" s="23"/>
      <c r="G645" s="3" t="s">
        <v>1318</v>
      </c>
      <c r="H645" s="4"/>
      <c r="I645" s="4"/>
      <c r="J645" s="4"/>
      <c r="K645" s="5"/>
      <c r="L645" s="5" t="s">
        <v>1326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x14ac:dyDescent="0.35">
      <c r="A646" s="22" t="s">
        <v>1370</v>
      </c>
      <c r="B646" s="2"/>
      <c r="C646" s="21">
        <v>4</v>
      </c>
      <c r="D646" s="23"/>
      <c r="E646" s="23"/>
      <c r="F646" s="23"/>
      <c r="G646" s="3" t="s">
        <v>830</v>
      </c>
      <c r="H646" s="6"/>
      <c r="I646" s="6"/>
      <c r="J646" s="6"/>
      <c r="K646" s="21"/>
      <c r="L646" s="21" t="s">
        <v>1319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x14ac:dyDescent="0.35">
      <c r="A647" s="22" t="s">
        <v>948</v>
      </c>
      <c r="B647" s="2"/>
      <c r="C647" s="21">
        <v>4.75</v>
      </c>
      <c r="D647" s="23"/>
      <c r="E647" s="23"/>
      <c r="F647" s="23"/>
      <c r="G647" s="3" t="s">
        <v>1352</v>
      </c>
      <c r="H647" s="4"/>
      <c r="I647" s="6"/>
      <c r="J647" s="4"/>
      <c r="K647" s="5"/>
      <c r="L647" s="5" t="s">
        <v>1326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x14ac:dyDescent="0.35">
      <c r="A648" s="22" t="s">
        <v>1371</v>
      </c>
      <c r="B648" s="2"/>
      <c r="C648" s="21">
        <v>3</v>
      </c>
      <c r="D648" s="23"/>
      <c r="E648" s="23"/>
      <c r="F648" s="23"/>
      <c r="G648" s="3" t="s">
        <v>1357</v>
      </c>
      <c r="H648" s="6"/>
      <c r="I648" s="6"/>
      <c r="J648" s="6"/>
      <c r="K648" s="21"/>
      <c r="L648" s="5" t="s">
        <v>1372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x14ac:dyDescent="0.35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1373</v>
      </c>
      <c r="H649" s="4"/>
      <c r="I649" s="4"/>
      <c r="J649" s="4"/>
      <c r="K649" s="5"/>
      <c r="L649" s="5" t="s">
        <v>1372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x14ac:dyDescent="0.35">
      <c r="A650" s="22" t="s">
        <v>1374</v>
      </c>
      <c r="B650" s="2"/>
      <c r="C650" s="21">
        <v>2</v>
      </c>
      <c r="D650" s="23"/>
      <c r="E650" s="23"/>
      <c r="F650" s="23"/>
      <c r="G650" s="3" t="s">
        <v>1368</v>
      </c>
      <c r="H650" s="4"/>
      <c r="I650" s="6"/>
      <c r="J650" s="4"/>
      <c r="K650" s="5"/>
      <c r="L650" s="5" t="s">
        <v>1326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x14ac:dyDescent="0.35">
      <c r="A651" s="22" t="s">
        <v>1375</v>
      </c>
      <c r="B651" s="2"/>
      <c r="C651" s="21">
        <v>4</v>
      </c>
      <c r="D651" s="23"/>
      <c r="E651" s="23"/>
      <c r="F651" s="23"/>
      <c r="G651" s="3" t="s">
        <v>1318</v>
      </c>
      <c r="H651" s="4"/>
      <c r="I651" s="6"/>
      <c r="J651" s="4"/>
      <c r="K651" s="5"/>
      <c r="L651" s="5" t="s">
        <v>1326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x14ac:dyDescent="0.35">
      <c r="A652" s="22" t="s">
        <v>661</v>
      </c>
      <c r="B652" s="2"/>
      <c r="C652" s="21">
        <v>2.5</v>
      </c>
      <c r="D652" s="23"/>
      <c r="E652" s="23"/>
      <c r="F652" s="23"/>
      <c r="G652" s="3" t="s">
        <v>1318</v>
      </c>
      <c r="H652" s="4"/>
      <c r="I652" s="6"/>
      <c r="J652" s="4"/>
      <c r="K652" s="5"/>
      <c r="L652" s="5" t="s">
        <v>1319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x14ac:dyDescent="0.35">
      <c r="A653" s="22" t="s">
        <v>1376</v>
      </c>
      <c r="B653" s="2"/>
      <c r="C653" s="21">
        <v>1.2</v>
      </c>
      <c r="D653" s="23"/>
      <c r="E653" s="23"/>
      <c r="F653" s="23"/>
      <c r="G653" s="3" t="s">
        <v>1377</v>
      </c>
      <c r="H653" s="4"/>
      <c r="I653" s="6"/>
      <c r="J653" s="4"/>
      <c r="K653" s="5"/>
      <c r="L653" s="5" t="s">
        <v>1372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x14ac:dyDescent="0.35">
      <c r="A654" s="22" t="s">
        <v>1378</v>
      </c>
      <c r="B654" s="2"/>
      <c r="C654" s="21">
        <v>6</v>
      </c>
      <c r="D654" s="23"/>
      <c r="E654" s="23"/>
      <c r="F654" s="23"/>
      <c r="G654" s="3" t="s">
        <v>1342</v>
      </c>
      <c r="H654" s="6"/>
      <c r="I654" s="6"/>
      <c r="J654" s="6"/>
      <c r="K654" s="21"/>
      <c r="L654" s="21" t="s">
        <v>1319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x14ac:dyDescent="0.35">
      <c r="A655" s="22" t="s">
        <v>1379</v>
      </c>
      <c r="B655" s="2"/>
      <c r="C655" s="21">
        <v>3.75</v>
      </c>
      <c r="D655" s="23"/>
      <c r="E655" s="23"/>
      <c r="F655" s="23"/>
      <c r="G655" s="3" t="s">
        <v>1380</v>
      </c>
      <c r="H655" s="4"/>
      <c r="I655" s="6"/>
      <c r="J655" s="4"/>
      <c r="K655" s="5"/>
      <c r="L655" s="5" t="s">
        <v>1326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x14ac:dyDescent="0.35">
      <c r="A656" s="22" t="s">
        <v>1381</v>
      </c>
      <c r="B656" s="2"/>
      <c r="C656" s="21">
        <v>4</v>
      </c>
      <c r="D656" s="23"/>
      <c r="E656" s="23"/>
      <c r="F656" s="23"/>
      <c r="G656" s="3" t="s">
        <v>830</v>
      </c>
      <c r="H656" s="6"/>
      <c r="I656" s="6"/>
      <c r="J656" s="6"/>
      <c r="K656" s="21"/>
      <c r="L656" s="21" t="s">
        <v>1319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x14ac:dyDescent="0.35">
      <c r="A657" s="22" t="s">
        <v>1382</v>
      </c>
      <c r="B657" s="2"/>
      <c r="C657" s="21">
        <v>4</v>
      </c>
      <c r="D657" s="23"/>
      <c r="E657" s="23"/>
      <c r="F657" s="23"/>
      <c r="G657" s="3" t="s">
        <v>830</v>
      </c>
      <c r="H657" s="6"/>
      <c r="I657" s="6"/>
      <c r="J657" s="6"/>
      <c r="K657" s="21"/>
      <c r="L657" s="21" t="s">
        <v>1319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x14ac:dyDescent="0.35">
      <c r="A658" s="22" t="s">
        <v>1383</v>
      </c>
      <c r="B658" s="2"/>
      <c r="C658" s="21">
        <v>8</v>
      </c>
      <c r="D658" s="23"/>
      <c r="E658" s="23"/>
      <c r="F658" s="23"/>
      <c r="G658" s="3" t="s">
        <v>1342</v>
      </c>
      <c r="H658" s="4"/>
      <c r="I658" s="4"/>
      <c r="J658" s="4"/>
      <c r="K658" s="5"/>
      <c r="L658" s="5" t="s">
        <v>1319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x14ac:dyDescent="0.35">
      <c r="A659" s="22" t="s">
        <v>1384</v>
      </c>
      <c r="B659" s="2"/>
      <c r="C659" s="21">
        <v>2</v>
      </c>
      <c r="D659" s="23"/>
      <c r="E659" s="23"/>
      <c r="F659" s="77"/>
      <c r="G659" s="3" t="s">
        <v>830</v>
      </c>
      <c r="H659" s="4"/>
      <c r="I659" s="4"/>
      <c r="J659" s="4"/>
      <c r="K659" s="5"/>
      <c r="L659" s="5" t="s">
        <v>1319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x14ac:dyDescent="0.35">
      <c r="A660" s="22" t="s">
        <v>1385</v>
      </c>
      <c r="B660" s="2"/>
      <c r="C660" s="21">
        <v>0.7</v>
      </c>
      <c r="D660" s="23"/>
      <c r="E660" s="23"/>
      <c r="F660" s="77"/>
      <c r="G660" s="3" t="s">
        <v>1342</v>
      </c>
      <c r="H660" s="4"/>
      <c r="I660" s="4"/>
      <c r="J660" s="4"/>
      <c r="K660" s="5"/>
      <c r="L660" s="5" t="s">
        <v>1319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x14ac:dyDescent="0.35">
      <c r="A661" s="22" t="s">
        <v>1386</v>
      </c>
      <c r="B661" s="2"/>
      <c r="C661" s="21">
        <v>1</v>
      </c>
      <c r="D661" s="23"/>
      <c r="E661" s="23"/>
      <c r="F661" s="77"/>
      <c r="G661" s="3" t="s">
        <v>1354</v>
      </c>
      <c r="H661" s="6"/>
      <c r="I661" s="6"/>
      <c r="J661" s="6"/>
      <c r="K661" s="21"/>
      <c r="L661" s="21" t="s">
        <v>1372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x14ac:dyDescent="0.35">
      <c r="A662" s="22" t="s">
        <v>1387</v>
      </c>
      <c r="B662" s="2"/>
      <c r="C662" s="21">
        <v>1</v>
      </c>
      <c r="D662" s="23"/>
      <c r="E662" s="23"/>
      <c r="F662" s="77"/>
      <c r="G662" s="3" t="s">
        <v>830</v>
      </c>
      <c r="H662" s="6"/>
      <c r="I662" s="6"/>
      <c r="J662" s="6"/>
      <c r="K662" s="21"/>
      <c r="L662" s="21" t="s">
        <v>1319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x14ac:dyDescent="0.35">
      <c r="A663" s="22" t="s">
        <v>964</v>
      </c>
      <c r="B663" s="2"/>
      <c r="C663" s="21">
        <v>0.8</v>
      </c>
      <c r="D663" s="23"/>
      <c r="E663" s="23"/>
      <c r="F663" s="77"/>
      <c r="G663" s="3" t="s">
        <v>830</v>
      </c>
      <c r="H663" s="4"/>
      <c r="I663" s="4"/>
      <c r="J663" s="4"/>
      <c r="K663" s="5"/>
      <c r="L663" s="5" t="s">
        <v>1326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x14ac:dyDescent="0.35">
      <c r="A664" s="22" t="s">
        <v>593</v>
      </c>
      <c r="B664" s="2" t="s">
        <v>1388</v>
      </c>
      <c r="C664" s="21">
        <v>0.65</v>
      </c>
      <c r="D664" s="23">
        <v>1000</v>
      </c>
      <c r="E664" s="23" t="s">
        <v>43</v>
      </c>
      <c r="F664" s="23"/>
      <c r="G664" s="3" t="s">
        <v>591</v>
      </c>
      <c r="H664" s="4"/>
      <c r="I664" s="6"/>
      <c r="J664" s="4"/>
      <c r="K664" s="5"/>
      <c r="L664" s="5" t="s">
        <v>1389</v>
      </c>
      <c r="M664" s="4" t="s">
        <v>1337</v>
      </c>
      <c r="N664" s="4"/>
      <c r="O664" s="4"/>
      <c r="P664" s="4"/>
      <c r="Q664" s="24"/>
      <c r="R664" s="24" t="s">
        <v>90</v>
      </c>
      <c r="S664" s="6" t="s">
        <v>1390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x14ac:dyDescent="0.35">
      <c r="A665" s="22" t="s">
        <v>1391</v>
      </c>
      <c r="B665" s="2"/>
      <c r="C665" s="21">
        <v>18</v>
      </c>
      <c r="D665" s="23"/>
      <c r="E665" s="23"/>
      <c r="F665" s="23"/>
      <c r="G665" s="3" t="s">
        <v>848</v>
      </c>
      <c r="H665" s="4"/>
      <c r="I665" s="6"/>
      <c r="J665" s="4"/>
      <c r="K665" s="5"/>
      <c r="L665" s="5" t="s">
        <v>1319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x14ac:dyDescent="0.35">
      <c r="A666" s="22" t="s">
        <v>1392</v>
      </c>
      <c r="B666" s="2"/>
      <c r="C666" s="21">
        <v>1</v>
      </c>
      <c r="D666" s="23"/>
      <c r="E666" s="23"/>
      <c r="F666" s="23"/>
      <c r="G666" s="3" t="s">
        <v>1393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x14ac:dyDescent="0.35">
      <c r="A667" s="22" t="s">
        <v>1394</v>
      </c>
      <c r="B667" s="2"/>
      <c r="C667" s="21">
        <v>7.75</v>
      </c>
      <c r="D667" s="23"/>
      <c r="E667" s="23"/>
      <c r="F667" s="23"/>
      <c r="G667" s="3" t="s">
        <v>1041</v>
      </c>
      <c r="H667" s="4"/>
      <c r="I667" s="6"/>
      <c r="J667" s="4"/>
      <c r="K667" s="5"/>
      <c r="L667" s="5" t="s">
        <v>1319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x14ac:dyDescent="0.35">
      <c r="A668" s="22" t="s">
        <v>1395</v>
      </c>
      <c r="B668" s="2"/>
      <c r="C668" s="21">
        <v>2</v>
      </c>
      <c r="D668" s="23"/>
      <c r="E668" s="23"/>
      <c r="F668" s="23"/>
      <c r="G668" s="3" t="s">
        <v>1368</v>
      </c>
      <c r="H668" s="6"/>
      <c r="I668" s="6"/>
      <c r="J668" s="6"/>
      <c r="K668" s="21"/>
      <c r="L668" s="21" t="s">
        <v>1326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x14ac:dyDescent="0.35">
      <c r="A669" s="22" t="s">
        <v>1396</v>
      </c>
      <c r="B669" s="2"/>
      <c r="C669" s="21">
        <v>5</v>
      </c>
      <c r="D669" s="23"/>
      <c r="E669" s="23"/>
      <c r="F669" s="23"/>
      <c r="G669" s="3" t="s">
        <v>1368</v>
      </c>
      <c r="H669" s="6"/>
      <c r="I669" s="6"/>
      <c r="J669" s="6"/>
      <c r="K669" s="21"/>
      <c r="L669" s="21" t="s">
        <v>1326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x14ac:dyDescent="0.35">
      <c r="A670" s="22" t="s">
        <v>1397</v>
      </c>
      <c r="B670" s="2"/>
      <c r="C670" s="21">
        <v>1.9</v>
      </c>
      <c r="D670" s="23"/>
      <c r="E670" s="23"/>
      <c r="F670" s="23"/>
      <c r="G670" s="3" t="s">
        <v>1398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x14ac:dyDescent="0.35">
      <c r="A671" s="22" t="s">
        <v>1399</v>
      </c>
      <c r="B671" s="2"/>
      <c r="C671" s="21">
        <v>3</v>
      </c>
      <c r="D671" s="23"/>
      <c r="E671" s="23"/>
      <c r="F671" s="23"/>
      <c r="G671" s="3" t="s">
        <v>1400</v>
      </c>
      <c r="H671" s="6"/>
      <c r="I671" s="6"/>
      <c r="J671" s="6"/>
      <c r="K671" s="21"/>
      <c r="L671" s="5" t="s">
        <v>1326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x14ac:dyDescent="0.35">
      <c r="A672" s="22" t="s">
        <v>1401</v>
      </c>
      <c r="B672" s="2"/>
      <c r="C672" s="21">
        <v>5</v>
      </c>
      <c r="D672" s="23"/>
      <c r="E672" s="23"/>
      <c r="F672" s="23"/>
      <c r="G672" s="3" t="s">
        <v>1400</v>
      </c>
      <c r="H672" s="4"/>
      <c r="I672" s="6"/>
      <c r="J672" s="4"/>
      <c r="K672" s="5"/>
      <c r="L672" s="5" t="s">
        <v>1326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x14ac:dyDescent="0.35">
      <c r="A673" s="22" t="s">
        <v>1402</v>
      </c>
      <c r="B673" s="2"/>
      <c r="C673" s="21">
        <v>15.88</v>
      </c>
      <c r="D673" s="23"/>
      <c r="E673" s="23"/>
      <c r="F673" s="23"/>
      <c r="G673" s="3" t="s">
        <v>848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x14ac:dyDescent="0.35">
      <c r="A674" s="22" t="s">
        <v>1403</v>
      </c>
      <c r="B674" s="2"/>
      <c r="C674" s="21">
        <v>16</v>
      </c>
      <c r="D674" s="23"/>
      <c r="E674" s="23"/>
      <c r="F674" s="23"/>
      <c r="G674" s="3" t="s">
        <v>848</v>
      </c>
      <c r="H674" s="4"/>
      <c r="I674" s="6"/>
      <c r="J674" s="4"/>
      <c r="K674" s="5"/>
      <c r="L674" s="5" t="s">
        <v>1326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x14ac:dyDescent="0.35">
      <c r="A675" s="22" t="s">
        <v>1404</v>
      </c>
      <c r="B675" s="2"/>
      <c r="C675" s="21">
        <v>10</v>
      </c>
      <c r="D675" s="23"/>
      <c r="E675" s="23"/>
      <c r="F675" s="23"/>
      <c r="G675" s="3" t="s">
        <v>830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x14ac:dyDescent="0.35">
      <c r="A676" s="22" t="s">
        <v>1405</v>
      </c>
      <c r="B676" s="2"/>
      <c r="C676" s="21">
        <v>1.5</v>
      </c>
      <c r="D676" s="23"/>
      <c r="E676" s="23"/>
      <c r="F676" s="23"/>
      <c r="G676" s="3" t="s">
        <v>830</v>
      </c>
      <c r="H676" s="6"/>
      <c r="I676" s="6"/>
      <c r="J676" s="6"/>
      <c r="K676" s="21"/>
      <c r="L676" s="5" t="s">
        <v>1326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x14ac:dyDescent="0.35">
      <c r="A677" s="22" t="s">
        <v>1406</v>
      </c>
      <c r="B677" s="2"/>
      <c r="C677" s="21">
        <v>2</v>
      </c>
      <c r="D677" s="23"/>
      <c r="E677" s="23"/>
      <c r="F677" s="23"/>
      <c r="G677" s="3" t="s">
        <v>830</v>
      </c>
      <c r="H677" s="6"/>
      <c r="I677" s="6"/>
      <c r="J677" s="6"/>
      <c r="K677" s="21"/>
      <c r="L677" s="21" t="s">
        <v>1326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x14ac:dyDescent="0.35">
      <c r="A678" s="22" t="s">
        <v>1407</v>
      </c>
      <c r="B678" s="2"/>
      <c r="C678" s="21">
        <v>2</v>
      </c>
      <c r="D678" s="23"/>
      <c r="E678" s="23"/>
      <c r="F678" s="23"/>
      <c r="G678" s="3" t="s">
        <v>830</v>
      </c>
      <c r="H678" s="4"/>
      <c r="I678" s="6"/>
      <c r="J678" s="4"/>
      <c r="K678" s="5"/>
      <c r="L678" s="5" t="s">
        <v>1326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x14ac:dyDescent="0.35">
      <c r="A679" s="22" t="s">
        <v>1408</v>
      </c>
      <c r="B679" s="2"/>
      <c r="C679" s="21">
        <v>2.5</v>
      </c>
      <c r="D679" s="23"/>
      <c r="E679" s="23"/>
      <c r="F679" s="23"/>
      <c r="G679" s="3" t="s">
        <v>1318</v>
      </c>
      <c r="H679" s="4"/>
      <c r="I679" s="4"/>
      <c r="J679" s="4"/>
      <c r="K679" s="5"/>
      <c r="L679" s="5" t="s">
        <v>1319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x14ac:dyDescent="0.35">
      <c r="A680" s="22" t="s">
        <v>1409</v>
      </c>
      <c r="B680" s="2"/>
      <c r="C680" s="21">
        <v>3</v>
      </c>
      <c r="D680" s="23"/>
      <c r="E680" s="23"/>
      <c r="F680" s="23"/>
      <c r="G680" s="3" t="s">
        <v>1357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x14ac:dyDescent="0.35">
      <c r="A681" s="22" t="s">
        <v>879</v>
      </c>
      <c r="B681" s="2"/>
      <c r="C681" s="21">
        <v>3</v>
      </c>
      <c r="D681" s="23"/>
      <c r="E681" s="23"/>
      <c r="F681" s="23"/>
      <c r="G681" s="3" t="s">
        <v>1357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x14ac:dyDescent="0.35">
      <c r="A682" s="22" t="s">
        <v>1410</v>
      </c>
      <c r="B682" s="2"/>
      <c r="C682" s="21">
        <v>3</v>
      </c>
      <c r="D682" s="23"/>
      <c r="E682" s="23"/>
      <c r="F682" s="23"/>
      <c r="G682" s="3" t="s">
        <v>830</v>
      </c>
      <c r="H682" s="6"/>
      <c r="I682" s="6"/>
      <c r="J682" s="6"/>
      <c r="K682" s="21"/>
      <c r="L682" s="21" t="s">
        <v>1326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x14ac:dyDescent="0.35">
      <c r="A683" s="22" t="s">
        <v>1411</v>
      </c>
      <c r="B683" s="2"/>
      <c r="C683" s="21">
        <v>3</v>
      </c>
      <c r="D683" s="23"/>
      <c r="E683" s="23"/>
      <c r="F683" s="23"/>
      <c r="G683" s="3" t="s">
        <v>1318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x14ac:dyDescent="0.35">
      <c r="A684" s="22" t="s">
        <v>1412</v>
      </c>
      <c r="B684" s="2"/>
      <c r="C684" s="21">
        <v>3</v>
      </c>
      <c r="D684" s="23"/>
      <c r="E684" s="23"/>
      <c r="F684" s="23"/>
      <c r="G684" s="3" t="s">
        <v>1318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x14ac:dyDescent="0.35">
      <c r="A685" s="22" t="s">
        <v>1413</v>
      </c>
      <c r="B685" s="2"/>
      <c r="C685" s="21">
        <v>4</v>
      </c>
      <c r="D685" s="23"/>
      <c r="E685" s="23"/>
      <c r="F685" s="23"/>
      <c r="G685" s="3" t="s">
        <v>1331</v>
      </c>
      <c r="H685" s="6"/>
      <c r="I685" s="6"/>
      <c r="J685" s="6"/>
      <c r="K685" s="21"/>
      <c r="L685" s="21" t="s">
        <v>1372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x14ac:dyDescent="0.35">
      <c r="A686" s="22" t="s">
        <v>1414</v>
      </c>
      <c r="B686" s="2"/>
      <c r="C686" s="21">
        <v>4</v>
      </c>
      <c r="D686" s="23"/>
      <c r="E686" s="23"/>
      <c r="F686" s="23"/>
      <c r="G686" s="3" t="s">
        <v>830</v>
      </c>
      <c r="H686" s="6"/>
      <c r="I686" s="6"/>
      <c r="J686" s="6"/>
      <c r="K686" s="21"/>
      <c r="L686" s="21" t="s">
        <v>1319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x14ac:dyDescent="0.35">
      <c r="A687" s="22" t="s">
        <v>1415</v>
      </c>
      <c r="B687" s="2"/>
      <c r="C687" s="21">
        <v>4</v>
      </c>
      <c r="D687" s="23"/>
      <c r="E687" s="23"/>
      <c r="F687" s="23"/>
      <c r="G687" s="3" t="s">
        <v>830</v>
      </c>
      <c r="H687" s="4"/>
      <c r="I687" s="4"/>
      <c r="J687" s="4"/>
      <c r="K687" s="5"/>
      <c r="L687" s="5" t="s">
        <v>1319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x14ac:dyDescent="0.35">
      <c r="A688" s="22" t="s">
        <v>1416</v>
      </c>
      <c r="B688" s="2"/>
      <c r="C688" s="21">
        <v>4</v>
      </c>
      <c r="D688" s="23"/>
      <c r="E688" s="23"/>
      <c r="F688" s="23"/>
      <c r="G688" s="3" t="s">
        <v>830</v>
      </c>
      <c r="H688" s="4"/>
      <c r="I688" s="4"/>
      <c r="J688" s="4"/>
      <c r="K688" s="5"/>
      <c r="L688" s="5" t="s">
        <v>1319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x14ac:dyDescent="0.35">
      <c r="A689" s="22" t="s">
        <v>1417</v>
      </c>
      <c r="B689" s="2"/>
      <c r="C689" s="21">
        <v>4</v>
      </c>
      <c r="D689" s="23"/>
      <c r="E689" s="23"/>
      <c r="F689" s="23"/>
      <c r="G689" s="3" t="s">
        <v>830</v>
      </c>
      <c r="H689" s="6"/>
      <c r="I689" s="6"/>
      <c r="J689" s="6"/>
      <c r="K689" s="21"/>
      <c r="L689" s="21" t="s">
        <v>1319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x14ac:dyDescent="0.35">
      <c r="A690" s="22" t="s">
        <v>1418</v>
      </c>
      <c r="B690" s="2"/>
      <c r="C690" s="21">
        <v>4.75</v>
      </c>
      <c r="D690" s="23"/>
      <c r="E690" s="23"/>
      <c r="F690" s="23"/>
      <c r="G690" s="3" t="s">
        <v>830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x14ac:dyDescent="0.35">
      <c r="A691" s="22" t="s">
        <v>1419</v>
      </c>
      <c r="B691" s="2"/>
      <c r="C691" s="21">
        <v>4.75</v>
      </c>
      <c r="D691" s="23"/>
      <c r="E691" s="23"/>
      <c r="F691" s="23"/>
      <c r="G691" s="3" t="s">
        <v>830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x14ac:dyDescent="0.35">
      <c r="A692" s="22" t="s">
        <v>1420</v>
      </c>
      <c r="B692" s="2"/>
      <c r="C692" s="21">
        <v>4.75</v>
      </c>
      <c r="D692" s="23"/>
      <c r="E692" s="23"/>
      <c r="F692" s="23"/>
      <c r="G692" s="3" t="s">
        <v>830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x14ac:dyDescent="0.35">
      <c r="A693" s="22" t="s">
        <v>1421</v>
      </c>
      <c r="B693" s="2"/>
      <c r="C693" s="21">
        <v>4.75</v>
      </c>
      <c r="D693" s="23"/>
      <c r="E693" s="23"/>
      <c r="F693" s="23"/>
      <c r="G693" s="3" t="s">
        <v>1342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x14ac:dyDescent="0.35">
      <c r="A694" s="22" t="s">
        <v>1422</v>
      </c>
      <c r="B694" s="2"/>
      <c r="C694" s="21">
        <v>4.75</v>
      </c>
      <c r="D694" s="23"/>
      <c r="E694" s="23"/>
      <c r="F694" s="23"/>
      <c r="G694" s="3" t="s">
        <v>1318</v>
      </c>
      <c r="H694" s="6"/>
      <c r="I694" s="6"/>
      <c r="J694" s="6"/>
      <c r="K694" s="21"/>
      <c r="L694" s="21" t="s">
        <v>1319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x14ac:dyDescent="0.35">
      <c r="A695" s="22" t="s">
        <v>1423</v>
      </c>
      <c r="B695" s="2"/>
      <c r="C695" s="21">
        <v>4.75</v>
      </c>
      <c r="D695" s="23"/>
      <c r="E695" s="23"/>
      <c r="F695" s="23"/>
      <c r="G695" s="3" t="s">
        <v>1318</v>
      </c>
      <c r="H695" s="6"/>
      <c r="I695" s="6"/>
      <c r="J695" s="6"/>
      <c r="K695" s="21"/>
      <c r="L695" s="21" t="s">
        <v>1319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x14ac:dyDescent="0.35">
      <c r="A696" s="22" t="s">
        <v>1424</v>
      </c>
      <c r="B696" s="2"/>
      <c r="C696" s="21">
        <v>4.75</v>
      </c>
      <c r="D696" s="23"/>
      <c r="E696" s="23"/>
      <c r="F696" s="23"/>
      <c r="G696" s="3" t="s">
        <v>1318</v>
      </c>
      <c r="H696" s="6"/>
      <c r="I696" s="6"/>
      <c r="J696" s="6"/>
      <c r="K696" s="21"/>
      <c r="L696" s="21" t="s">
        <v>1319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x14ac:dyDescent="0.35">
      <c r="A697" s="22" t="s">
        <v>1060</v>
      </c>
      <c r="B697" s="2"/>
      <c r="C697" s="21">
        <v>5</v>
      </c>
      <c r="D697" s="23"/>
      <c r="E697" s="23"/>
      <c r="F697" s="23"/>
      <c r="G697" s="3" t="s">
        <v>1425</v>
      </c>
      <c r="H697" s="6"/>
      <c r="I697" s="6"/>
      <c r="J697" s="6"/>
      <c r="K697" s="21"/>
      <c r="L697" s="21" t="s">
        <v>1319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x14ac:dyDescent="0.35">
      <c r="A698" s="22" t="s">
        <v>1426</v>
      </c>
      <c r="B698" s="2"/>
      <c r="C698" s="21">
        <v>5.75</v>
      </c>
      <c r="D698" s="23"/>
      <c r="E698" s="23"/>
      <c r="F698" s="23"/>
      <c r="G698" s="3" t="s">
        <v>1349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x14ac:dyDescent="0.35">
      <c r="A699" s="22" t="s">
        <v>1427</v>
      </c>
      <c r="B699" s="2"/>
      <c r="C699" s="21">
        <v>6</v>
      </c>
      <c r="D699" s="23"/>
      <c r="E699" s="23"/>
      <c r="F699" s="23"/>
      <c r="G699" s="3" t="s">
        <v>1425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x14ac:dyDescent="0.35">
      <c r="A700" s="22" t="s">
        <v>1428</v>
      </c>
      <c r="B700" s="2"/>
      <c r="C700" s="21">
        <v>6</v>
      </c>
      <c r="D700" s="23"/>
      <c r="E700" s="23"/>
      <c r="F700" s="23"/>
      <c r="G700" s="3" t="s">
        <v>830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x14ac:dyDescent="0.35">
      <c r="A701" s="22" t="s">
        <v>1429</v>
      </c>
      <c r="B701" s="2"/>
      <c r="C701" s="21">
        <v>6</v>
      </c>
      <c r="D701" s="23"/>
      <c r="E701" s="23"/>
      <c r="F701" s="23"/>
      <c r="G701" s="3" t="s">
        <v>830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x14ac:dyDescent="0.35">
      <c r="A702" s="22" t="s">
        <v>1430</v>
      </c>
      <c r="B702" s="2"/>
      <c r="C702" s="21">
        <v>6.3</v>
      </c>
      <c r="D702" s="23"/>
      <c r="E702" s="23"/>
      <c r="F702" s="23"/>
      <c r="G702" s="3" t="s">
        <v>830</v>
      </c>
      <c r="H702" s="4"/>
      <c r="I702" s="4"/>
      <c r="J702" s="4"/>
      <c r="K702" s="5"/>
      <c r="L702" s="5" t="s">
        <v>1319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x14ac:dyDescent="0.35">
      <c r="A703" s="22" t="s">
        <v>1431</v>
      </c>
      <c r="B703" s="2"/>
      <c r="C703" s="21">
        <v>8</v>
      </c>
      <c r="D703" s="23"/>
      <c r="E703" s="23"/>
      <c r="F703" s="23"/>
      <c r="G703" s="3" t="s">
        <v>830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x14ac:dyDescent="0.35">
      <c r="A704" s="22" t="s">
        <v>1083</v>
      </c>
      <c r="B704" s="2"/>
      <c r="C704" s="21">
        <v>9.5</v>
      </c>
      <c r="D704" s="23"/>
      <c r="E704" s="23"/>
      <c r="F704" s="23"/>
      <c r="G704" s="3" t="s">
        <v>1330</v>
      </c>
      <c r="H704" s="6"/>
      <c r="I704" s="6"/>
      <c r="J704" s="6"/>
      <c r="K704" s="21"/>
      <c r="L704" s="21" t="s">
        <v>1326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x14ac:dyDescent="0.35">
      <c r="A705" s="22" t="s">
        <v>1432</v>
      </c>
      <c r="B705" s="2"/>
      <c r="C705" s="21">
        <v>9.75</v>
      </c>
      <c r="D705" s="23"/>
      <c r="E705" s="23"/>
      <c r="F705" s="23"/>
      <c r="G705" s="3" t="s">
        <v>1363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x14ac:dyDescent="0.35">
      <c r="A706" s="22" t="s">
        <v>1433</v>
      </c>
      <c r="B706" s="2"/>
      <c r="C706" s="21">
        <v>9.75</v>
      </c>
      <c r="D706" s="23"/>
      <c r="E706" s="23"/>
      <c r="F706" s="23"/>
      <c r="G706" s="3" t="s">
        <v>1363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x14ac:dyDescent="0.35">
      <c r="A707" s="22" t="s">
        <v>1434</v>
      </c>
      <c r="B707" s="2"/>
      <c r="C707" s="21">
        <v>11.75</v>
      </c>
      <c r="D707" s="23"/>
      <c r="E707" s="23"/>
      <c r="F707" s="23"/>
      <c r="G707" s="3" t="s">
        <v>772</v>
      </c>
      <c r="H707" s="6"/>
      <c r="I707" s="6"/>
      <c r="J707" s="6"/>
      <c r="K707" s="21"/>
      <c r="L707" s="21" t="s">
        <v>1319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x14ac:dyDescent="0.35">
      <c r="A708" s="22" t="s">
        <v>1435</v>
      </c>
      <c r="B708" s="2"/>
      <c r="C708" s="21">
        <v>12</v>
      </c>
      <c r="D708" s="23"/>
      <c r="E708" s="23"/>
      <c r="F708" s="23"/>
      <c r="G708" s="3" t="s">
        <v>848</v>
      </c>
      <c r="H708" s="6"/>
      <c r="I708" s="6"/>
      <c r="J708" s="6"/>
      <c r="K708" s="21"/>
      <c r="L708" s="21" t="s">
        <v>1315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x14ac:dyDescent="0.35">
      <c r="A709" s="22" t="s">
        <v>1436</v>
      </c>
      <c r="B709" s="2"/>
      <c r="C709" s="21">
        <v>1.4</v>
      </c>
      <c r="D709" s="23"/>
      <c r="E709" s="23"/>
      <c r="F709" s="23"/>
      <c r="G709" s="3" t="s">
        <v>540</v>
      </c>
      <c r="H709" s="6"/>
      <c r="I709" s="6"/>
      <c r="J709" s="6"/>
      <c r="K709" s="21"/>
      <c r="L709" s="21" t="s">
        <v>1389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x14ac:dyDescent="0.35">
      <c r="A710" s="22" t="s">
        <v>1437</v>
      </c>
      <c r="B710" s="2"/>
      <c r="C710" s="21">
        <v>1.4</v>
      </c>
      <c r="D710" s="23"/>
      <c r="E710" s="23"/>
      <c r="F710" s="23"/>
      <c r="G710" s="3" t="s">
        <v>540</v>
      </c>
      <c r="H710" s="6"/>
      <c r="I710" s="6"/>
      <c r="J710" s="6"/>
      <c r="K710" s="21"/>
      <c r="L710" s="21" t="s">
        <v>1389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1438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O710" xr:uid="{2AA437EE-405D-4A43-9EB9-23F1BEB36011}">
    <filterColumn colId="17">
      <filters>
        <filter val="Sul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1439</v>
      </c>
      <c r="B1" s="69" t="s">
        <v>1440</v>
      </c>
      <c r="C1" s="70" t="s">
        <v>1441</v>
      </c>
      <c r="D1" s="69" t="s">
        <v>1442</v>
      </c>
      <c r="E1" s="69" t="s">
        <v>1443</v>
      </c>
      <c r="F1" s="69" t="s">
        <v>1444</v>
      </c>
      <c r="H1" s="69" t="s">
        <v>1445</v>
      </c>
    </row>
    <row r="2" spans="1:8" x14ac:dyDescent="0.35">
      <c r="A2" t="s">
        <v>765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5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1081.3481019999997</v>
      </c>
      <c r="E3" s="49">
        <f t="shared" ref="E3:E5" si="0">D3/C3</f>
        <v>0.8205761364717794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5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293333.73</v>
      </c>
      <c r="H5" s="66">
        <f>SUMIFS(Controle!$AK:$AK,Controle!$AO:$AO,"Sim",Controle!$R:$R,Formulas!A5)</f>
        <v>16000</v>
      </c>
    </row>
    <row r="6" spans="1:8" x14ac:dyDescent="0.35">
      <c r="A6" s="53" t="s">
        <v>1446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3728.4532071600015</v>
      </c>
      <c r="E6" s="56">
        <f>D6/C6</f>
        <v>0.82119806975393295</v>
      </c>
      <c r="F6" s="67">
        <f t="shared" si="1"/>
        <v>801639.24083333323</v>
      </c>
      <c r="H6" s="67">
        <f>SUM(H2:H5)</f>
        <v>455663.54166666663</v>
      </c>
    </row>
    <row r="9" spans="1:8" x14ac:dyDescent="0.35">
      <c r="A9" s="69" t="s">
        <v>1447</v>
      </c>
      <c r="B9" s="69" t="s">
        <v>1448</v>
      </c>
      <c r="C9" s="69" t="s">
        <v>1449</v>
      </c>
      <c r="D9" s="69" t="s">
        <v>1450</v>
      </c>
      <c r="E9" s="69" t="s">
        <v>1451</v>
      </c>
    </row>
    <row r="10" spans="1:8" x14ac:dyDescent="0.35">
      <c r="A10" s="47" t="s">
        <v>1389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5">
      <c r="A11" s="47" t="s">
        <v>1106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762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5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5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312911.78000000003</v>
      </c>
    </row>
    <row r="15" spans="1:8" x14ac:dyDescent="0.35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1118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851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5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5">
      <c r="A20" s="47" t="s">
        <v>1132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881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377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1319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1184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339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370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5">
      <c r="A29" s="47" t="s">
        <v>276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325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888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1315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905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1323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1452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941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1350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1372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1446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798307.24083333323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microsoft.com/office/2006/documentManagement/types"/>
    <ds:schemaRef ds:uri="http://purl.org/dc/elements/1.1/"/>
    <ds:schemaRef ds:uri="http://www.w3.org/XML/1998/namespace"/>
    <ds:schemaRef ds:uri="f5ab1930-d403-4c69-b2cd-8cc48f527d10"/>
    <ds:schemaRef ds:uri="http://purl.org/dc/terms/"/>
    <ds:schemaRef ds:uri="http://purl.org/dc/dcmitype/"/>
    <ds:schemaRef ds:uri="http://schemas.microsoft.com/office/infopath/2007/PartnerControls"/>
    <ds:schemaRef ds:uri="c06ce65c-ed18-47f4-a957-afd315448c9c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Elio Pereira da Silva</cp:lastModifiedBy>
  <cp:revision/>
  <dcterms:created xsi:type="dcterms:W3CDTF">2026-01-28T19:47:17Z</dcterms:created>
  <dcterms:modified xsi:type="dcterms:W3CDTF">2026-06-19T11:48:22Z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