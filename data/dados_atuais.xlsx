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C:\Users\gabriel.souza.DELGADIADEMA\Downloads\"/>
    </mc:Choice>
  </mc:AlternateContent>
  <xr:revisionPtr revIDLastSave="0" documentId="8_{5759F119-FAB5-4931-8352-76DE5B42E428}" xr6:coauthVersionLast="47" xr6:coauthVersionMax="47" xr10:uidLastSave="{00000000-0000-0000-0000-000000000000}"/>
  <bookViews>
    <workbookView xWindow="28680" yWindow="-120" windowWidth="29040" windowHeight="15720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por tópicos]
A sua versão do Excel permite-lhe ler este comentário por tópicos. No entanto, as edições feitas ao comentário serão removidas se o ficheiro for aberto numa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<sst xmlns="http://schemas.openxmlformats.org/spreadsheetml/2006/main" count="7118" uniqueCount="1497">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</sst>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5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e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0.68370795014214703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0.48576787436869623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133836.72333333336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479111.14083333325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678.6992884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/>
  <dimension ref="A1:AO720"/>
  <sheetViews>
    <sheetView showGridLines="0" tabSelected="1" zoomScaleNormal="100" workbookViewId="0">
      <pane xSplit="1" ySplit="2" topLeftCell="B538" activePane="bottomRight" state="frozen"/>
      <selection pane="topRight" activeCell="B1" sqref="B1"/>
      <selection pane="bottomLeft" activeCell="A3" sqref="A3"/>
      <selection pane="bottomRight" activeCell="AN721" sqref="AN721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x14ac:dyDescent="0.3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x14ac:dyDescent="0.3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x14ac:dyDescent="0.3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x14ac:dyDescent="0.3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x14ac:dyDescent="0.3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/>
      <c r="AN8" s="83"/>
    </row>
    <row r="9" spans="1:40" s="26" customFormat="1" ht="20.399999999999999" x14ac:dyDescent="0.3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x14ac:dyDescent="0.3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x14ac:dyDescent="0.3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x14ac:dyDescent="0.3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/>
      <c r="AA12" s="10"/>
      <c r="AB12" s="10"/>
      <c r="AC12" s="10"/>
      <c r="AD12" s="10"/>
      <c r="AE12" s="10"/>
      <c r="AF12" s="10"/>
      <c r="AG12" s="38">
        <f t="shared" si="1"/>
        <v>0</v>
      </c>
      <c r="AH12" s="51" t="str">
        <f t="shared" si="2"/>
        <v xml:space="preserve"> </v>
      </c>
      <c r="AI12" s="64">
        <v>2</v>
      </c>
      <c r="AJ12" s="87" t="s">
        <v>110</v>
      </c>
      <c r="AK12" s="65">
        <v>0</v>
      </c>
      <c r="AL12" s="1"/>
      <c r="AM12" s="1"/>
      <c r="AN12" s="83"/>
    </row>
    <row r="13" spans="1:40" s="26" customFormat="1" ht="20.399999999999999" x14ac:dyDescent="0.3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/>
      <c r="AN13" s="83"/>
    </row>
    <row r="14" spans="1:40" s="26" customFormat="1" ht="20.399999999999999" x14ac:dyDescent="0.3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/>
      <c r="AE14" s="10"/>
      <c r="AF14" s="10" t="s">
        <v>50</v>
      </c>
      <c r="AG14" s="38">
        <f t="shared" si="1"/>
        <v>0.7142857142857143</v>
      </c>
      <c r="AH14" s="51" t="str">
        <f t="shared" si="2"/>
        <v xml:space="preserve"> </v>
      </c>
      <c r="AI14" s="64">
        <v>6</v>
      </c>
      <c r="AJ14" s="22" t="s">
        <v>117</v>
      </c>
      <c r="AK14" s="65">
        <v>0</v>
      </c>
      <c r="AL14" s="1"/>
      <c r="AM14" s="1"/>
      <c r="AN14" s="83"/>
    </row>
    <row r="15" spans="1:40" s="26" customFormat="1" x14ac:dyDescent="0.3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/>
      <c r="AJ15" s="86"/>
      <c r="AK15" s="65">
        <v>0</v>
      </c>
      <c r="AL15" s="1"/>
      <c r="AM15" s="1"/>
      <c r="AN15" s="83"/>
    </row>
    <row r="16" spans="1:40" s="26" customFormat="1" ht="30.6" x14ac:dyDescent="0.3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x14ac:dyDescent="0.3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/>
      <c r="AN17" s="83"/>
    </row>
    <row r="18" spans="1:40" s="26" customFormat="1" ht="51" x14ac:dyDescent="0.3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x14ac:dyDescent="0.3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x14ac:dyDescent="0.3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x14ac:dyDescent="0.3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x14ac:dyDescent="0.3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x14ac:dyDescent="0.3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x14ac:dyDescent="0.3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x14ac:dyDescent="0.3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x14ac:dyDescent="0.3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x14ac:dyDescent="0.3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x14ac:dyDescent="0.3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x14ac:dyDescent="0.3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x14ac:dyDescent="0.3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x14ac:dyDescent="0.3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x14ac:dyDescent="0.3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x14ac:dyDescent="0.3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x14ac:dyDescent="0.3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x14ac:dyDescent="0.3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x14ac:dyDescent="0.3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x14ac:dyDescent="0.3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x14ac:dyDescent="0.3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x14ac:dyDescent="0.3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x14ac:dyDescent="0.3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x14ac:dyDescent="0.3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x14ac:dyDescent="0.3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x14ac:dyDescent="0.3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x14ac:dyDescent="0.3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x14ac:dyDescent="0.3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x14ac:dyDescent="0.3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x14ac:dyDescent="0.3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x14ac:dyDescent="0.3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x14ac:dyDescent="0.3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x14ac:dyDescent="0.3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x14ac:dyDescent="0.3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x14ac:dyDescent="0.3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x14ac:dyDescent="0.3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x14ac:dyDescent="0.3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x14ac:dyDescent="0.3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x14ac:dyDescent="0.3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x14ac:dyDescent="0.3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x14ac:dyDescent="0.3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x14ac:dyDescent="0.3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x14ac:dyDescent="0.3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x14ac:dyDescent="0.3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x14ac:dyDescent="0.3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x14ac:dyDescent="0.3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x14ac:dyDescent="0.3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x14ac:dyDescent="0.3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x14ac:dyDescent="0.3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x14ac:dyDescent="0.3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x14ac:dyDescent="0.3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x14ac:dyDescent="0.3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x14ac:dyDescent="0.3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x14ac:dyDescent="0.3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x14ac:dyDescent="0.3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x14ac:dyDescent="0.3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x14ac:dyDescent="0.3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x14ac:dyDescent="0.3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x14ac:dyDescent="0.3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x14ac:dyDescent="0.3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x14ac:dyDescent="0.3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x14ac:dyDescent="0.3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x14ac:dyDescent="0.3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x14ac:dyDescent="0.3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x14ac:dyDescent="0.3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x14ac:dyDescent="0.3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x14ac:dyDescent="0.3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x14ac:dyDescent="0.3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x14ac:dyDescent="0.3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x14ac:dyDescent="0.3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x14ac:dyDescent="0.3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x14ac:dyDescent="0.3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x14ac:dyDescent="0.3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x14ac:dyDescent="0.3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x14ac:dyDescent="0.3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x14ac:dyDescent="0.3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x14ac:dyDescent="0.3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x14ac:dyDescent="0.3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x14ac:dyDescent="0.3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x14ac:dyDescent="0.3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x14ac:dyDescent="0.3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x14ac:dyDescent="0.3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x14ac:dyDescent="0.3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x14ac:dyDescent="0.3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x14ac:dyDescent="0.3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x14ac:dyDescent="0.3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x14ac:dyDescent="0.3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x14ac:dyDescent="0.3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x14ac:dyDescent="0.3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x14ac:dyDescent="0.3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x14ac:dyDescent="0.3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x14ac:dyDescent="0.3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x14ac:dyDescent="0.3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x14ac:dyDescent="0.3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x14ac:dyDescent="0.3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x14ac:dyDescent="0.3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x14ac:dyDescent="0.3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x14ac:dyDescent="0.3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x14ac:dyDescent="0.3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x14ac:dyDescent="0.3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x14ac:dyDescent="0.3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x14ac:dyDescent="0.3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x14ac:dyDescent="0.3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x14ac:dyDescent="0.3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x14ac:dyDescent="0.3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x14ac:dyDescent="0.3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x14ac:dyDescent="0.3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x14ac:dyDescent="0.3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x14ac:dyDescent="0.3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x14ac:dyDescent="0.3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x14ac:dyDescent="0.3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x14ac:dyDescent="0.3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x14ac:dyDescent="0.3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x14ac:dyDescent="0.3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x14ac:dyDescent="0.3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x14ac:dyDescent="0.3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x14ac:dyDescent="0.3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x14ac:dyDescent="0.3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x14ac:dyDescent="0.3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x14ac:dyDescent="0.3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x14ac:dyDescent="0.3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x14ac:dyDescent="0.3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x14ac:dyDescent="0.3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x14ac:dyDescent="0.3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x14ac:dyDescent="0.3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x14ac:dyDescent="0.3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x14ac:dyDescent="0.3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x14ac:dyDescent="0.3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x14ac:dyDescent="0.3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x14ac:dyDescent="0.3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x14ac:dyDescent="0.3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x14ac:dyDescent="0.3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x14ac:dyDescent="0.3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x14ac:dyDescent="0.3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x14ac:dyDescent="0.3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x14ac:dyDescent="0.3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x14ac:dyDescent="0.3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x14ac:dyDescent="0.3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x14ac:dyDescent="0.3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x14ac:dyDescent="0.3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x14ac:dyDescent="0.3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x14ac:dyDescent="0.3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x14ac:dyDescent="0.3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x14ac:dyDescent="0.3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x14ac:dyDescent="0.3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x14ac:dyDescent="0.3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x14ac:dyDescent="0.3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x14ac:dyDescent="0.3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x14ac:dyDescent="0.3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x14ac:dyDescent="0.3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x14ac:dyDescent="0.3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x14ac:dyDescent="0.3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x14ac:dyDescent="0.3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x14ac:dyDescent="0.3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x14ac:dyDescent="0.3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x14ac:dyDescent="0.3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x14ac:dyDescent="0.3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x14ac:dyDescent="0.3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x14ac:dyDescent="0.3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x14ac:dyDescent="0.3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x14ac:dyDescent="0.3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x14ac:dyDescent="0.3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x14ac:dyDescent="0.3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x14ac:dyDescent="0.3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x14ac:dyDescent="0.3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x14ac:dyDescent="0.3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x14ac:dyDescent="0.3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x14ac:dyDescent="0.3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x14ac:dyDescent="0.3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x14ac:dyDescent="0.3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x14ac:dyDescent="0.3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x14ac:dyDescent="0.3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x14ac:dyDescent="0.3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x14ac:dyDescent="0.3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x14ac:dyDescent="0.3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x14ac:dyDescent="0.3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x14ac:dyDescent="0.3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x14ac:dyDescent="0.3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x14ac:dyDescent="0.3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x14ac:dyDescent="0.3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x14ac:dyDescent="0.3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x14ac:dyDescent="0.3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x14ac:dyDescent="0.3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x14ac:dyDescent="0.3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x14ac:dyDescent="0.3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x14ac:dyDescent="0.3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x14ac:dyDescent="0.3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x14ac:dyDescent="0.3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x14ac:dyDescent="0.3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x14ac:dyDescent="0.3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x14ac:dyDescent="0.3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x14ac:dyDescent="0.3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x14ac:dyDescent="0.3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x14ac:dyDescent="0.3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x14ac:dyDescent="0.3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x14ac:dyDescent="0.3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x14ac:dyDescent="0.3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x14ac:dyDescent="0.3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x14ac:dyDescent="0.3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x14ac:dyDescent="0.3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x14ac:dyDescent="0.3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x14ac:dyDescent="0.3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x14ac:dyDescent="0.3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x14ac:dyDescent="0.3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x14ac:dyDescent="0.3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x14ac:dyDescent="0.3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x14ac:dyDescent="0.3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x14ac:dyDescent="0.3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x14ac:dyDescent="0.3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x14ac:dyDescent="0.3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x14ac:dyDescent="0.3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x14ac:dyDescent="0.3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x14ac:dyDescent="0.3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x14ac:dyDescent="0.3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x14ac:dyDescent="0.3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x14ac:dyDescent="0.3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x14ac:dyDescent="0.3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x14ac:dyDescent="0.3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x14ac:dyDescent="0.3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x14ac:dyDescent="0.3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x14ac:dyDescent="0.3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x14ac:dyDescent="0.3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x14ac:dyDescent="0.3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x14ac:dyDescent="0.3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x14ac:dyDescent="0.3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x14ac:dyDescent="0.3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x14ac:dyDescent="0.3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x14ac:dyDescent="0.3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x14ac:dyDescent="0.3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x14ac:dyDescent="0.3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x14ac:dyDescent="0.3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x14ac:dyDescent="0.3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x14ac:dyDescent="0.3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x14ac:dyDescent="0.3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x14ac:dyDescent="0.3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x14ac:dyDescent="0.3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x14ac:dyDescent="0.3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x14ac:dyDescent="0.3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x14ac:dyDescent="0.3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x14ac:dyDescent="0.3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x14ac:dyDescent="0.3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x14ac:dyDescent="0.3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x14ac:dyDescent="0.3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x14ac:dyDescent="0.3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x14ac:dyDescent="0.3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x14ac:dyDescent="0.3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x14ac:dyDescent="0.3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x14ac:dyDescent="0.3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x14ac:dyDescent="0.3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x14ac:dyDescent="0.3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x14ac:dyDescent="0.3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x14ac:dyDescent="0.3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x14ac:dyDescent="0.3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x14ac:dyDescent="0.3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x14ac:dyDescent="0.3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x14ac:dyDescent="0.3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x14ac:dyDescent="0.3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x14ac:dyDescent="0.3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x14ac:dyDescent="0.3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x14ac:dyDescent="0.3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x14ac:dyDescent="0.3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399999999999999" x14ac:dyDescent="0.3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" x14ac:dyDescent="0.3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x14ac:dyDescent="0.3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x14ac:dyDescent="0.3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x14ac:dyDescent="0.3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x14ac:dyDescent="0.3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x14ac:dyDescent="0.3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x14ac:dyDescent="0.3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x14ac:dyDescent="0.3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x14ac:dyDescent="0.3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x14ac:dyDescent="0.3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x14ac:dyDescent="0.3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x14ac:dyDescent="0.3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x14ac:dyDescent="0.3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x14ac:dyDescent="0.3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x14ac:dyDescent="0.3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x14ac:dyDescent="0.3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x14ac:dyDescent="0.3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x14ac:dyDescent="0.3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x14ac:dyDescent="0.3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x14ac:dyDescent="0.3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x14ac:dyDescent="0.3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x14ac:dyDescent="0.3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x14ac:dyDescent="0.3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x14ac:dyDescent="0.3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x14ac:dyDescent="0.3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x14ac:dyDescent="0.3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x14ac:dyDescent="0.3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x14ac:dyDescent="0.3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x14ac:dyDescent="0.3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x14ac:dyDescent="0.3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x14ac:dyDescent="0.3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x14ac:dyDescent="0.3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x14ac:dyDescent="0.3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x14ac:dyDescent="0.3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x14ac:dyDescent="0.3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x14ac:dyDescent="0.3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x14ac:dyDescent="0.3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x14ac:dyDescent="0.3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x14ac:dyDescent="0.3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x14ac:dyDescent="0.3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x14ac:dyDescent="0.3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x14ac:dyDescent="0.3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x14ac:dyDescent="0.3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x14ac:dyDescent="0.3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x14ac:dyDescent="0.3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x14ac:dyDescent="0.3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x14ac:dyDescent="0.3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x14ac:dyDescent="0.3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x14ac:dyDescent="0.3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x14ac:dyDescent="0.3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x14ac:dyDescent="0.3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x14ac:dyDescent="0.3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x14ac:dyDescent="0.3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x14ac:dyDescent="0.3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x14ac:dyDescent="0.3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x14ac:dyDescent="0.3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x14ac:dyDescent="0.3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x14ac:dyDescent="0.3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x14ac:dyDescent="0.3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x14ac:dyDescent="0.3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x14ac:dyDescent="0.3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x14ac:dyDescent="0.3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x14ac:dyDescent="0.3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x14ac:dyDescent="0.3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x14ac:dyDescent="0.3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x14ac:dyDescent="0.3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x14ac:dyDescent="0.3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x14ac:dyDescent="0.3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x14ac:dyDescent="0.3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x14ac:dyDescent="0.3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x14ac:dyDescent="0.3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x14ac:dyDescent="0.3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x14ac:dyDescent="0.3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x14ac:dyDescent="0.3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x14ac:dyDescent="0.3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x14ac:dyDescent="0.3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x14ac:dyDescent="0.3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x14ac:dyDescent="0.3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x14ac:dyDescent="0.3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x14ac:dyDescent="0.3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x14ac:dyDescent="0.3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x14ac:dyDescent="0.3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x14ac:dyDescent="0.3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x14ac:dyDescent="0.3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x14ac:dyDescent="0.3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x14ac:dyDescent="0.3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x14ac:dyDescent="0.3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x14ac:dyDescent="0.3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x14ac:dyDescent="0.3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x14ac:dyDescent="0.3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x14ac:dyDescent="0.3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x14ac:dyDescent="0.3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x14ac:dyDescent="0.3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x14ac:dyDescent="0.3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x14ac:dyDescent="0.3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x14ac:dyDescent="0.3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x14ac:dyDescent="0.3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x14ac:dyDescent="0.3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x14ac:dyDescent="0.3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x14ac:dyDescent="0.3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x14ac:dyDescent="0.3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x14ac:dyDescent="0.3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x14ac:dyDescent="0.3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x14ac:dyDescent="0.3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x14ac:dyDescent="0.3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x14ac:dyDescent="0.3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x14ac:dyDescent="0.3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x14ac:dyDescent="0.3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x14ac:dyDescent="0.3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x14ac:dyDescent="0.3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x14ac:dyDescent="0.3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x14ac:dyDescent="0.3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x14ac:dyDescent="0.3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x14ac:dyDescent="0.3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x14ac:dyDescent="0.3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x14ac:dyDescent="0.3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x14ac:dyDescent="0.3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x14ac:dyDescent="0.3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x14ac:dyDescent="0.3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x14ac:dyDescent="0.3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x14ac:dyDescent="0.3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x14ac:dyDescent="0.3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x14ac:dyDescent="0.3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x14ac:dyDescent="0.3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x14ac:dyDescent="0.3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x14ac:dyDescent="0.3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x14ac:dyDescent="0.3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x14ac:dyDescent="0.3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x14ac:dyDescent="0.3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x14ac:dyDescent="0.3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x14ac:dyDescent="0.3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x14ac:dyDescent="0.3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x14ac:dyDescent="0.3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x14ac:dyDescent="0.3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x14ac:dyDescent="0.3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x14ac:dyDescent="0.3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x14ac:dyDescent="0.3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x14ac:dyDescent="0.3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x14ac:dyDescent="0.3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x14ac:dyDescent="0.3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x14ac:dyDescent="0.3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x14ac:dyDescent="0.3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x14ac:dyDescent="0.3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x14ac:dyDescent="0.3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x14ac:dyDescent="0.3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x14ac:dyDescent="0.3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x14ac:dyDescent="0.3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x14ac:dyDescent="0.3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x14ac:dyDescent="0.3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x14ac:dyDescent="0.3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x14ac:dyDescent="0.3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x14ac:dyDescent="0.3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x14ac:dyDescent="0.3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x14ac:dyDescent="0.3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x14ac:dyDescent="0.3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x14ac:dyDescent="0.3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x14ac:dyDescent="0.3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x14ac:dyDescent="0.3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x14ac:dyDescent="0.3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x14ac:dyDescent="0.3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x14ac:dyDescent="0.3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x14ac:dyDescent="0.3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x14ac:dyDescent="0.3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x14ac:dyDescent="0.3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x14ac:dyDescent="0.3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x14ac:dyDescent="0.3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x14ac:dyDescent="0.3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x14ac:dyDescent="0.3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x14ac:dyDescent="0.3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x14ac:dyDescent="0.3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x14ac:dyDescent="0.3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x14ac:dyDescent="0.3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x14ac:dyDescent="0.3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x14ac:dyDescent="0.3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x14ac:dyDescent="0.3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x14ac:dyDescent="0.3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x14ac:dyDescent="0.3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x14ac:dyDescent="0.3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x14ac:dyDescent="0.3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x14ac:dyDescent="0.3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x14ac:dyDescent="0.3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x14ac:dyDescent="0.3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x14ac:dyDescent="0.3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x14ac:dyDescent="0.3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x14ac:dyDescent="0.3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x14ac:dyDescent="0.3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x14ac:dyDescent="0.3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x14ac:dyDescent="0.3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x14ac:dyDescent="0.3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x14ac:dyDescent="0.3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x14ac:dyDescent="0.3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x14ac:dyDescent="0.3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x14ac:dyDescent="0.3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x14ac:dyDescent="0.3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x14ac:dyDescent="0.3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x14ac:dyDescent="0.3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x14ac:dyDescent="0.3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x14ac:dyDescent="0.3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x14ac:dyDescent="0.3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x14ac:dyDescent="0.3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x14ac:dyDescent="0.3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x14ac:dyDescent="0.3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x14ac:dyDescent="0.3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x14ac:dyDescent="0.3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x14ac:dyDescent="0.3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x14ac:dyDescent="0.3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x14ac:dyDescent="0.3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x14ac:dyDescent="0.3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x14ac:dyDescent="0.3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x14ac:dyDescent="0.3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x14ac:dyDescent="0.3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x14ac:dyDescent="0.3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x14ac:dyDescent="0.3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x14ac:dyDescent="0.3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x14ac:dyDescent="0.3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x14ac:dyDescent="0.3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x14ac:dyDescent="0.3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x14ac:dyDescent="0.3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x14ac:dyDescent="0.3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x14ac:dyDescent="0.3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x14ac:dyDescent="0.3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x14ac:dyDescent="0.3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x14ac:dyDescent="0.3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x14ac:dyDescent="0.3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x14ac:dyDescent="0.3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x14ac:dyDescent="0.3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x14ac:dyDescent="0.3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x14ac:dyDescent="0.3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x14ac:dyDescent="0.3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x14ac:dyDescent="0.3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x14ac:dyDescent="0.3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x14ac:dyDescent="0.3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x14ac:dyDescent="0.3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x14ac:dyDescent="0.3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x14ac:dyDescent="0.3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x14ac:dyDescent="0.3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x14ac:dyDescent="0.3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x14ac:dyDescent="0.3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/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x14ac:dyDescent="0.3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x14ac:dyDescent="0.3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x14ac:dyDescent="0.3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x14ac:dyDescent="0.3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x14ac:dyDescent="0.3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x14ac:dyDescent="0.3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x14ac:dyDescent="0.3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x14ac:dyDescent="0.3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x14ac:dyDescent="0.3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x14ac:dyDescent="0.3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x14ac:dyDescent="0.3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x14ac:dyDescent="0.3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x14ac:dyDescent="0.3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x14ac:dyDescent="0.3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x14ac:dyDescent="0.3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x14ac:dyDescent="0.3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x14ac:dyDescent="0.3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x14ac:dyDescent="0.3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x14ac:dyDescent="0.3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x14ac:dyDescent="0.3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x14ac:dyDescent="0.3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x14ac:dyDescent="0.3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x14ac:dyDescent="0.3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x14ac:dyDescent="0.3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x14ac:dyDescent="0.3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x14ac:dyDescent="0.3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x14ac:dyDescent="0.3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x14ac:dyDescent="0.3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x14ac:dyDescent="0.3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x14ac:dyDescent="0.3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x14ac:dyDescent="0.3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x14ac:dyDescent="0.3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x14ac:dyDescent="0.3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x14ac:dyDescent="0.3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x14ac:dyDescent="0.3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x14ac:dyDescent="0.3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x14ac:dyDescent="0.3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x14ac:dyDescent="0.3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x14ac:dyDescent="0.3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x14ac:dyDescent="0.3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x14ac:dyDescent="0.3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x14ac:dyDescent="0.3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x14ac:dyDescent="0.3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x14ac:dyDescent="0.3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x14ac:dyDescent="0.3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x14ac:dyDescent="0.3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x14ac:dyDescent="0.3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x14ac:dyDescent="0.3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x14ac:dyDescent="0.3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x14ac:dyDescent="0.3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x14ac:dyDescent="0.3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x14ac:dyDescent="0.3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x14ac:dyDescent="0.3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x14ac:dyDescent="0.3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x14ac:dyDescent="0.3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x14ac:dyDescent="0.3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x14ac:dyDescent="0.3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x14ac:dyDescent="0.3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x14ac:dyDescent="0.3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x14ac:dyDescent="0.3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x14ac:dyDescent="0.3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x14ac:dyDescent="0.3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x14ac:dyDescent="0.3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x14ac:dyDescent="0.3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x14ac:dyDescent="0.3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x14ac:dyDescent="0.3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x14ac:dyDescent="0.3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x14ac:dyDescent="0.3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x14ac:dyDescent="0.3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x14ac:dyDescent="0.3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x14ac:dyDescent="0.3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x14ac:dyDescent="0.3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x14ac:dyDescent="0.3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x14ac:dyDescent="0.3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x14ac:dyDescent="0.3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x14ac:dyDescent="0.3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x14ac:dyDescent="0.3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x14ac:dyDescent="0.3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x14ac:dyDescent="0.3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x14ac:dyDescent="0.3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x14ac:dyDescent="0.3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x14ac:dyDescent="0.3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x14ac:dyDescent="0.3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x14ac:dyDescent="0.3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x14ac:dyDescent="0.3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x14ac:dyDescent="0.3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x14ac:dyDescent="0.3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x14ac:dyDescent="0.3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x14ac:dyDescent="0.3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x14ac:dyDescent="0.3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x14ac:dyDescent="0.3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x14ac:dyDescent="0.3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x14ac:dyDescent="0.3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x14ac:dyDescent="0.3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x14ac:dyDescent="0.3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x14ac:dyDescent="0.3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x14ac:dyDescent="0.3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x14ac:dyDescent="0.3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x14ac:dyDescent="0.3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x14ac:dyDescent="0.3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x14ac:dyDescent="0.3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x14ac:dyDescent="0.3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x14ac:dyDescent="0.3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x14ac:dyDescent="0.3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x14ac:dyDescent="0.3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x14ac:dyDescent="0.3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x14ac:dyDescent="0.3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x14ac:dyDescent="0.3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x14ac:dyDescent="0.3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x14ac:dyDescent="0.3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x14ac:dyDescent="0.3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x14ac:dyDescent="0.3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x14ac:dyDescent="0.3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x14ac:dyDescent="0.3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x14ac:dyDescent="0.3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x14ac:dyDescent="0.3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x14ac:dyDescent="0.3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x14ac:dyDescent="0.3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x14ac:dyDescent="0.3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x14ac:dyDescent="0.3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x14ac:dyDescent="0.3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x14ac:dyDescent="0.3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x14ac:dyDescent="0.3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x14ac:dyDescent="0.3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x14ac:dyDescent="0.3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x14ac:dyDescent="0.3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x14ac:dyDescent="0.3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x14ac:dyDescent="0.3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x14ac:dyDescent="0.3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x14ac:dyDescent="0.3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x14ac:dyDescent="0.3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x14ac:dyDescent="0.3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x14ac:dyDescent="0.3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x14ac:dyDescent="0.3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x14ac:dyDescent="0.3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x14ac:dyDescent="0.3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x14ac:dyDescent="0.3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x14ac:dyDescent="0.3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x14ac:dyDescent="0.3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x14ac:dyDescent="0.3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x14ac:dyDescent="0.3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x14ac:dyDescent="0.3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x14ac:dyDescent="0.3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x14ac:dyDescent="0.3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x14ac:dyDescent="0.3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x14ac:dyDescent="0.3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x14ac:dyDescent="0.3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x14ac:dyDescent="0.3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x14ac:dyDescent="0.3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x14ac:dyDescent="0.3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x14ac:dyDescent="0.3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x14ac:dyDescent="0.3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x14ac:dyDescent="0.3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x14ac:dyDescent="0.3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x14ac:dyDescent="0.3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x14ac:dyDescent="0.3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x14ac:dyDescent="0.3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x14ac:dyDescent="0.3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x14ac:dyDescent="0.3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x14ac:dyDescent="0.3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x14ac:dyDescent="0.3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x14ac:dyDescent="0.3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x14ac:dyDescent="0.3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x14ac:dyDescent="0.3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x14ac:dyDescent="0.3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x14ac:dyDescent="0.3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x14ac:dyDescent="0.3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x14ac:dyDescent="0.3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x14ac:dyDescent="0.3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x14ac:dyDescent="0.3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x14ac:dyDescent="0.3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x14ac:dyDescent="0.3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x14ac:dyDescent="0.3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x14ac:dyDescent="0.3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x14ac:dyDescent="0.3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x14ac:dyDescent="0.3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x14ac:dyDescent="0.3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x14ac:dyDescent="0.3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x14ac:dyDescent="0.3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x14ac:dyDescent="0.3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x14ac:dyDescent="0.3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x14ac:dyDescent="0.3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x14ac:dyDescent="0.3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x14ac:dyDescent="0.3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x14ac:dyDescent="0.3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x14ac:dyDescent="0.3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x14ac:dyDescent="0.3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x14ac:dyDescent="0.3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x14ac:dyDescent="0.3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x14ac:dyDescent="0.3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0" xr:uid="{2AA437EE-405D-4A43-9EB9-23F1BEB36011}"/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 x14ac:dyDescent="0.3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678.6992884</v>
      </c>
      <c r="E3" s="49">
        <f t="shared" ref="E3:E5" si="0">D3/C3</f>
        <v>0.48576787436869623</v>
      </c>
      <c r="F3" s="66">
        <f>SUMIF(Controle!$R:$R,Formulas!A3,Controle!$AK:$AK)</f>
        <v>256393.97999999995</v>
      </c>
    </row>
    <row r="4" spans="1:6" x14ac:dyDescent="0.3">
      <c r="A4" t="s">
        <v>151</v>
      </c>
      <c r="B4" s="50">
        <f>COUNTIF(Controle!$R$4:$R$711,A4)</f>
        <v>91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133836.72333333336</v>
      </c>
    </row>
    <row r="5" spans="1:6" x14ac:dyDescent="0.3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1491</v>
      </c>
      <c r="B6" s="54">
        <f>SUM(B2:B5)</f>
        <v>705</v>
      </c>
      <c r="C6" s="55">
        <f t="shared" ref="C6:F6" si="1">SUM(C2:C5)</f>
        <v>4540.5889133138935</v>
      </c>
      <c r="D6" s="55">
        <f t="shared" si="1"/>
        <v>3104.4367383600011</v>
      </c>
      <c r="E6" s="56">
        <f>D6/C6</f>
        <v>0.68370795014214703</v>
      </c>
      <c r="F6" s="67">
        <f t="shared" si="1"/>
        <v>479111.14083333325</v>
      </c>
    </row>
    <row r="9" spans="1:6" x14ac:dyDescent="0.3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 x14ac:dyDescent="0.3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schemas.microsoft.com/office/2006/metadata/properties"/>
    <ds:schemaRef ds:uri="http://schemas.microsoft.com/office/infopath/2007/PartnerControls"/>
    <ds:schemaRef ds:uri="f5ab1930-d403-4c69-b2cd-8cc48f527d10"/>
    <ds:schemaRef ds:uri="c06ce65c-ed18-47f4-a957-afd315448c9c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Gabriel Gustavo de Souza</cp:lastModifiedBy>
  <cp:revision/>
  <dcterms:created xsi:type="dcterms:W3CDTF">2026-01-28T19:47:17Z</dcterms:created>
  <dcterms:modified xsi:type="dcterms:W3CDTF">2026-05-15T12:04:40Z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