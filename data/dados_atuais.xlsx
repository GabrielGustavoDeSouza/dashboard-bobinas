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C:\Users\gabriel.souza.DELGADIADEMA\Downloads\"/>
    </mc:Choice>
  </mc:AlternateContent>
  <xr:revisionPtr revIDLastSave="0" documentId="13_ncr:1_{6560889E-6CD1-4FFD-91CF-0DEA7308CBA7}" xr6:coauthVersionLast="47" xr6:coauthVersionMax="47" xr10:uidLastSave="{00000000-0000-0000-0000-000000000000}"/>
  <bookViews>
    <workbookView xWindow="-108" yWindow="-108" windowWidth="23256" windowHeight="12456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A.Propostas!$A$5:$AM$111</definedName>
    <definedName name="_xlnm._FilterDatabase" localSheetId="2" hidden="1">Controle!$A$2:$AP$710</definedName>
    <definedName name="_xlnm._FilterDatabase" localSheetId="4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<sst xmlns="http://schemas.openxmlformats.org/spreadsheetml/2006/main" count="10556" uniqueCount="1867">
  <si>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</si>
  <si>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</si>
  <si>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</si>
  <si>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</si>
  <si>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</si>
  <si>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</si>
  <si>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</si>
  <si>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</si>
  <si>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</si>
  <si>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</si>
  <si>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</si>
  <si>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</si>
  <si>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</si>
  <si>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</si>
  <si>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</si>
  <si>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</si>
  <si>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</si>
  <si>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</si>
  <si>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</si>
  <si>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</si>
  <si>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</si>
  <si>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</si>
  <si>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</si>
  <si>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</si>
  <si>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</si>
  <si>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</si>
  <si>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</si>
  <si>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</si>
  <si>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</si>
  <si>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</si>
  <si>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</si>
  <si>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</si>
  <si>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</si>
  <si>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</si>
  <si>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</si>
  <si>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</si>
  <si>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</si>
  <si>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</si>
  <si>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</si>
  <si>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</si>
  <si>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</si>
  <si>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</si>
  <si>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</si>
  <si>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</si>
  <si>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</si>
  <si>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</si>
  <si>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</si>
  <si>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</si>
  <si>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</si>
  <si>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</si>
  <si>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</si>
  <si>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</si>
  <si>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</si>
  <si>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</si>
  <si>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</si>
  <si>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</si>
  <si>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</si>
  <si>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</si>
  <si>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</si>
  <si>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</si>
  <si>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</si>
  <si>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</si>
  <si>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</si>
  <si>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</si>
  <si>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</si>
  <si>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</si>
  <si>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</si>
  <si>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</si>
  <si>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</si>
  <si>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</si>
  <si>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</si>
  <si>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</si>
  <si>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</si>
  <si>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</si>
  <si>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</si>
  <si>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</si>
  <si>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</si>
  <si>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</si>
  <si>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</si>
  <si>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</si>
  <si>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</si>
  <si>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</si>
  <si>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</si>
  <si>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</si>
  <si>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</si>
  <si>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</si>
  <si>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</si>
  <si>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</si>
  <si>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</si>
  <si>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</si>
  <si>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</si>
  <si>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</si>
  <si>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</si>
  <si>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</si>
  <si>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</si>
  <si>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</si>
  <si>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</si>
  <si>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</si>
  <si>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</si>
  <si>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</si>
  <si>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</si>
  <si>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</si>
  <si>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</si>
  <si>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</si>
  <si>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</si>
  <si>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</si>
  <si>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</si>
  <si>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</si>
  <si>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</si>
  <si>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</si>
  <si>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</si>
  <si>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</si>
  <si>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</si>
  <si>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</si>
  <si>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</si>
  <si>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</si>
  <si>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</si>
  <si>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</si>
  <si>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</si>
  <si>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</si>
  <si>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</si>
  <si>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</si>
  <si>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</si>
  <si>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</si>
  <si>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</si>
  <si>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</si>
  <si>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</si>
  <si>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</si>
  <si>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</si>
  <si>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</si>
  <si>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</si>
  <si>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</si>
  <si>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</si>
  <si>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</si>
  <si>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</si>
  <si>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</si>
  <si>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</si>
  <si>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</si>
  <si>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</si>
  <si>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</si>
  <si>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</si>
  <si>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</si>
  <si>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</si>
  <si>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</si>
  <si>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</si>
  <si>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</si>
  <si>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</si>
  <si>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</si>
  <si>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</si>
  <si>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</si>
  <si>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</si>
  <si>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</si>
  <si>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</si>
  <si>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</si>
  <si>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</si>
  <si>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</si>
  <si>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</si>
  <si>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</si>
  <si>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</si>
  <si>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</si>
  <si>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</si>
  <si>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</si>
  <si>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</si>
  <si>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</si>
  <si>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</si>
  <si>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</si>
  <si>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</si>
  <si>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</si>
  <si>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</si>
  <si>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</si>
  <si>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</si>
  <si>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</si>
  <si>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</si>
  <si>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</si>
  <si>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</si>
  <si>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</si>
  <si>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</si>
  <si>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</si>
  <si>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</si>
  <si>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</si>
  <si>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</si>
  <si>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</si>
  <si>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</si>
  <si>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</si>
  <si>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</si>
  <si>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</si>
  <si>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</si>
  <si>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</si>
  <si>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</si>
  <si>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</si>
  <si>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</si>
  <si>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</si>
  <si>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</si>
  <si>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</si>
  <si>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</si>
  <si>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</si>
  <si>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</si>
  <si>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</si>
  <si>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</si>
  <si>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</si>
  <si>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</si>
  <si>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</si>
  <si>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</si>
  <si>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</si>
  <si>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</si>
  <si>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</si>
  <si>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</si>
  <si>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</si>
  <si>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</si>
  <si>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</si>
  <si>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</si>
  <si>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</si>
  <si>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</si>
  <si>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</si>
  <si>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</si>
  <si>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</si>
  <si>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</si>
  <si>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</si>
  <si>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</si>
  <si>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</si>
  <si>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</si>
  <si>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</si>
  <si>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</si>
  <si>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</si>
  <si>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</si>
  <si>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</si>
  <si>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</si>
  <si>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</si>
  <si>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</si>
  <si>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</si>
  <si>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</si>
  <si>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</si>
  <si>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</si>
  <si>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</si>
  <si>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</si>
  <si>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</si>
  <si>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</si>
  <si>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</si>
  <si>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</si>
  <si>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</si>
  <si>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</si>
  <si>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</si>
  <si>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</si>
  <si>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</si>
  <si>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</si>
  <si>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</si>
  <si>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</si>
  <si>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</si>
  <si>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</si>
  <si>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</si>
  <si>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</si>
  <si>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</si>
  <si>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</si>
  <si>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</si>
  <si>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</si>
  <si>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</si>
  <si>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</si>
  <si>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</si>
  <si>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</si>
  <si>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</si>
  <si>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</si>
  <si>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</si>
  <si>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</si>
  <si>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</si>
  <si>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</si>
  <si>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</si>
  <si>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</si>
  <si>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</si>
  <si>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</si>
  <si>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</si>
  <si>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</si>
  <si>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</si>
  <si>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</si>
  <si>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</si>
  <si>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</si>
  <si>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</si>
  <si>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</si>
  <si>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</si>
  <si>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</si>
  <si>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</si>
  <si>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</si>
  <si>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</si>
  <si>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</si>
  <si>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</si>
  <si>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</si>
  <si>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</si>
  <si>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</si>
  <si>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</si>
  <si>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</si>
  <si>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</si>
  <si>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</si>
  <si>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</si>
  <si>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</si>
  <si>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</si>
  <si>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</si>
  <si>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</si>
  <si>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</si>
  <si>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</si>
  <si>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</si>
  <si>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</si>
  <si>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</si>
  <si>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</si>
  <si>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</si>
  <si>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</si>
  <si>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</si>
  <si>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</si>
  <si>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</si>
  <si>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</si>
  <si>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</si>
  <si>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</si>
  <si>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</si>
  <si>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</si>
  <si>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</si>
  <si>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</si>
  <si>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</si>
  <si>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</si>
  <si>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</si>
  <si>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</si>
  <si>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</si>
  <si>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</si>
  <si>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</si>
  <si>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</si>
  <si>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</si>
  <si>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</si>
  <si>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</si>
  <si>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</si>
  <si>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</si>
  <si>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</si>
  <si>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</si>
  <si>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</si>
  <si>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</si>
  <si>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</si>
  <si>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</si>
  <si>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</si>
  <si>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</si>
  <si>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</si>
  <si>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</si>
  <si>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</si>
  <si>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</si>
  <si>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</si>
  <si>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</si>
  <si>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</si>
  <si>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</si>
  <si>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</si>
  <si>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</si>
  <si>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</si>
  <si>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</si>
  <si>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</si>
  <si>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</si>
  <si>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</si>
  <si>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</si>
  <si>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</si>
  <si>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</si>
  <si>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</si>
  <si>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</si>
  <si>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</si>
  <si>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</si>
  <si>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</si>
  <si>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</si>
  <si>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</si>
  <si>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</si>
  <si>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</si>
  <si>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</si>
  <si>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</si>
  <si>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</si>
  <si>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</si>
  <si>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</si>
  <si>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</si>
  <si>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</si>
  <si>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</si>
  <si>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</si>
  <si>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</si>
  <si>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</si>
  <si>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</si>
  <si>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</si>
  <si>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</si>
  <si>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</si>
  <si>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</si>
  <si>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</si>
  <si>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</si>
  <si>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</si>
  <si>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</si>
  <si>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</si>
  <si>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</si>
  <si>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</si>
  <si>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</si>
  <si>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</si>
  <si>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</si>
  <si>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</si>
  <si>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</si>
  <si>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</si>
  <si>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</si>
  <si>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</si>
  <si>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</si>
  <si>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</si>
  <si>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</si>
  <si>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</si>
  <si>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</si>
  <si>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</si>
  <si>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</si>
  <si>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</si>
  <si>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</si>
  <si>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</si>
  <si>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</si>
  <si>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</si>
  <si>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</si>
  <si>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</si>
  <si>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</si>
  <si>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</si>
  <si>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</si>
  <si>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</si>
  <si>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</si>
  <si>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</si>
  <si>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</si>
  <si>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</si>
  <si>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</si>
  <si>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</si>
  <si>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</si>
  <si>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</si>
  <si>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</si>
  <si>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</si>
  <si>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</si>
  <si>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</si>
  <si>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</si>
  <si>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</si>
  <si>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</si>
  <si>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</si>
  <si>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</si>
  <si>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</si>
  <si>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</si>
  <si>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</si>
  <si>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</si>
  <si>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</si>
  <si>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</si>
  <si>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</si>
  <si>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</si>
  <si>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</si>
  <si>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</si>
  <si>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</si>
  <si>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</si>
  <si>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</si>
  <si>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</si>
  <si>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</si>
  <si>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</si>
  <si>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</si>
  <si>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</si>
  <si>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</si>
  <si>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</si>
  <si>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</si>
  <si>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</si>
  <si>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</si>
  <si>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</si>
  <si>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</si>
  <si>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</si>
  <si>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</si>
  <si>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</si>
  <si>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</si>
  <si>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</si>
  <si>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</si>
  <si>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</si>
  <si>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</si>
  <si>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</si>
  <si>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</si>
  <si>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</si>
  <si>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</si>
  <si>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</si>
  <si>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</si>
  <si>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</si>
  <si>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</si>
  <si>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</si>
  <si>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</si>
  <si>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</si>
  <si>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</si>
  <si>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</si>
  <si>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</si>
  <si>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</si>
  <si>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</si>
  <si>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</si>
  <si>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</si>
  <si>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</si>
  <si>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</si>
  <si>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</si>
  <si>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</si>
  <si>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</si>
  <si>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</si>
  <si>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</si>
  <si>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</si>
  <si>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</si>
  <si>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</si>
  <si>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</si>
  <si>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</si>
  <si>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</si>
  <si>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</si>
  <si>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</si>
  <si>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</si>
  <si>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</si>
  <si>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</si>
  <si>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</si>
  <si>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</si>
  <si>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</si>
  <si>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</si>
  <si>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</si>
  <si>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</si>
  <si>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</si>
  <si>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</si>
  <si>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</si>
  <si>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</si>
  <si>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</si>
  <si>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</si>
  <si>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</si>
  <si>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</si>
  <si>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</si>
  <si>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</si>
  <si>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</si>
  <si>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</si>
  <si>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</si>
  <si>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</si>
  <si>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</si>
  <si>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</si>
  <si>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</si>
  <si>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</si>
  <si>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</si>
  <si>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</si>
  <si>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</si>
  <si>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</si>
  <si>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</si>
  <si>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</si>
  <si>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</si>
  <si>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</si>
  <si>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</si>
  <si>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</si>
  <si>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</si>
  <si>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</si>
  <si>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</si>
  <si>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</si>
  <si>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</si>
  <si>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</si>
  <si>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</si>
  <si>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</si>
  <si>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</si>
  <si>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</si>
  <si>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</si>
  <si>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</si>
  <si>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</si>
  <si>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</si>
  <si>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</si>
  <si>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</si>
  <si>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</si>
  <si>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</si>
  <si>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</si>
  <si>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</si>
  <si>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</si>
  <si>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</si>
  <si>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</si>
  <si>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</si>
  <si>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</si>
  <si>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</si>
  <si>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</si>
  <si>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</si>
  <si>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</si>
  <si>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</si>
  <si>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</si>
  <si>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</si>
  <si>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</si>
  <si>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</si>
  <si>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</si>
  <si>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</si>
  <si>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</si>
  <si>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</si>
  <si>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</si>
  <si>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</si>
  <si>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</si>
  <si>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</si>
  <si>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</si>
  <si>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</si>
  <si>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</si>
  <si>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</si>
  <si>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</si>
  <si>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</si>
  <si>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</si>
  <si>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</si>
  <si>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</si>
  <si>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</si>
  <si>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</si>
  <si>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</si>
  <si>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</si>
  <si>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</si>
  <si>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</si>
  <si>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</si>
  <si>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</si>
  <si>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</si>
  <si>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</si>
  <si>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</si>
  <si>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</si>
  <si>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</si>
  <si>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</si>
  <si>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</si>
  <si>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</si>
  <si>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</si>
  <si>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</si>
  <si>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</si>
  <si>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</si>
  <si>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</si>
  <si>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</si>
  <si>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</si>
  <si>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</si>
  <si>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</si>
  <si>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</si>
  <si>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</si>
  <si>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</si>
  <si>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</si>
  <si>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</si>
  <si>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</si>
  <si>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</si>
  <si>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</si>
  <si>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</si>
  <si>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</si>
  <si>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</si>
  <si>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</si>
  <si>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</si>
  <si>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</si>
  <si>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</si>
  <si>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</si>
  <si>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</si>
  <si>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</si>
  <si>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</si>
  <si>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</si>
  <si>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</si>
  <si>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</si>
  <si>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</si>
  <si>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</si>
  <si>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</si>
  <si>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</si>
  <si>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</si>
  <si>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</si>
  <si>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</si>
  <si>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</si>
  <si>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</si>
  <si>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</si>
  <si>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</si>
  <si>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</si>
  <si>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</si>
  <si>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</si>
  <si>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</si>
  <si>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</si>
  <si>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</si>
  <si>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</si>
  <si>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</si>
  <si>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</si>
  <si>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</si>
  <si>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</si>
  <si>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</si>
  <si>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</si>
  <si>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</si>
  <si>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</si>
  <si>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</si>
  <si>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</si>
  <si>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</si>
  <si>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</si>
  <si>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</si>
  <si>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</si>
  <si>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</si>
  <si>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</si>
  <si>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</si>
  <si>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</si>
  <si>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</si>
  <si>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</si>
  <si>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</si>
  <si>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</si>
  <si>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</si>
  <si>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</si>
  <si>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</si>
  <si>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</si>
  <si>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</si>
  <si>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</si>
  <si>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</si>
  <si>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</si>
  <si>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</si>
  <si>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</si>
  <si>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</si>
  <si>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</si>
  <si>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</si>
  <si>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</si>
  <si>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</si>
  <si>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</si>
  <si>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</si>
  <si>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</si>
  <si>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</si>
  <si>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</si>
  <si>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</si>
  <si>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</si>
  <si>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</si>
  <si>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</si>
  <si>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</si>
  <si>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</si>
  <si>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</si>
  <si>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</si>
  <si>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</si>
  <si>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</si>
  <si>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</si>
  <si>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</si>
  <si>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</si>
  <si>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</si>
  <si>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</si>
  <si>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</si>
  <si>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</si>
  <si>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</si>
  <si>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</si>
  <si>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</si>
  <si>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</si>
  <si>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</si>
  <si>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</si>
  <si>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</si>
  <si>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</si>
  <si>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</si>
  <si>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</si>
  <si>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</si>
  <si>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</si>
  <si>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</si>
  <si>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</si>
  <si>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</si>
  <si>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</si>
  <si>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</si>
  <si>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</si>
  <si>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</si>
  <si>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</si>
  <si>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</si>
  <si>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</si>
  <si>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</si>
  <si>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</si>
  <si>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</si>
  <si>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</si>
  <si>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</si>
  <si>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</si>
  <si>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</si>
  <si>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</si>
  <si>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</si>
  <si>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</si>
  <si>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</si>
  <si>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</si>
  <si>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</si>
  <si>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</si>
  <si>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</si>
  <si>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</si>
  <si>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</si>
  <si>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</si>
  <si>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</si>
  <si>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</si>
  <si>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</si>
  <si>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</si>
  <si>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</si>
  <si>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</si>
  <si>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</si>
  <si>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</si>
  <si>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</si>
  <si>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</si>
  <si>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</si>
  <si>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</si>
  <si>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</si>
  <si>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</si>
  <si>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</si>
  <si>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</si>
  <si>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</si>
  <si>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</si>
  <si>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</si>
  <si>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</si>
  <si>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</si>
  <si>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</si>
  <si>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</si>
  <si>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</si>
  <si>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</si>
  <si>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</si>
  <si>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</si>
  <si>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</si>
  <si>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</si>
  <si>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</si>
  <si>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</si>
  <si>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</si>
  <si>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</si>
  <si>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</si>
  <si>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</si>
  <si>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</si>
  <si>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</si>
  <si>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</si>
  <si>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</si>
  <si>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</si>
  <si>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</si>
  <si>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</si>
  <si>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</si>
  <si>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</si>
  <si>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</si>
  <si>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</si>
  <si>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</si>
  <si>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</si>
  <si>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</si>
  <si>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</si>
  <si>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</si>
  <si>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</si>
  <si>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</si>
  <si>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</si>
  <si>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</si>
  <si>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</si>
  <si>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</si>
  <si>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</si>
  <si>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</si>
  <si>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</si>
  <si>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</si>
  <si>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</si>
  <si>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</si>
  <si>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</si>
  <si>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</si>
  <si>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</si>
  <si>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</si>
  <si>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</si>
  <si>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</si>
  <si>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</si>
  <si>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</si>
  <si>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</si>
  <si>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</si>
  <si>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</si>
  <si>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</si>
  <si>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</si>
  <si>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</si>
  <si>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</si>
  <si>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</si>
  <si>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</si>
  <si>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</si>
  <si>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</si>
  <si>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</si>
  <si>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</si>
  <si>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</si>
  <si>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</si>
  <si>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</si>
  <si>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</si>
  <si>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</si>
  <si>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</si>
  <si>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</si>
  <si>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</si>
  <si>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</si>
  <si>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</si>
  <si>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</si>
  <si>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</si>
  <si>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</si>
  <si>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</si>
  <si>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</si>
  <si>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</si>
  <si>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</si>
  <si>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</si>
  <si>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</si>
  <si>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</si>
  <si>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</si>
  <si>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</si>
  <si>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</si>
  <si>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</si>
  <si>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</si>
  <si>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</si>
  <si>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</si>
  <si>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</si>
  <si>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</si>
  <si>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</si>
  <si>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</si>
  <si>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</si>
  <si>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</si>
  <si>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</si>
  <si>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</si>
  <si>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</si>
  <si>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</si>
  <si>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</si>
  <si>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</si>
  <si>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</si>
  <si>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</si>
  <si>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</si>
  <si>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</si>
  <si>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</si>
  <si>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</si>
  <si>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</si>
  <si>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</si>
  <si>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</si>
  <si>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</si>
  <si>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</si>
  <si>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</si>
  <si>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</si>
  <si>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</si>
  <si>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</si>
  <si>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</si>
  <si>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</si>
  <si>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</si>
  <si>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</si>
  <si>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</si>
  <si>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</si>
  <si>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</si>
  <si>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</si>
  <si>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</si>
  <si>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</si>
  <si>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</si>
  <si>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</si>
  <si>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</si>
  <si>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</si>
  <si>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</si>
  <si>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</si>
  <si>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</si>
  <si>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</si>
  <si>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</si>
  <si>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</si>
  <si>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</si>
  <si>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</si>
  <si>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</si>
  <si>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</si>
  <si>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</si>
  <si>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</si>
  <si>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</si>
  <si>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</si>
  <si>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</si>
  <si>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</si>
  <si>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</si>
  <si>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</si>
  <si>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</si>
  <si>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</si>
  <si>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</si>
  <si>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</si>
  <si>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</si>
  <si>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</si>
  <si>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</si>
  <si>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</si>
  <si>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</si>
  <si>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</si>
  <si>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</si>
  <si>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</si>
  <si>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</si>
  <si>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</si>
  <si>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</si>
  <si>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</si>
  <si>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</si>
  <si>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</si>
  <si>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</si>
  <si>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</si>
  <si>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</si>
  <si>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</si>
  <si>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</si>
  <si>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</si>
  <si>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</si>
  <si>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</si>
  <si>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</si>
  <si>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</si>
  <si>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</si>
  <si>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</si>
  <si>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</si>
  <si>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</si>
  <si>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</si>
  <si>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</si>
  <si>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</si>
  <si>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</si>
  <si>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</si>
  <si>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</si>
  <si>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</si>
  <si>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</si>
  <si>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</si>
  <si>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</si>
  <si>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</si>
  <si>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</si>
  <si>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</si>
  <si>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</si>
  <si>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</si>
  <si>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</si>
  <si>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</si>
  <si>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</si>
  <si>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</si>
  <si>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</si>
  <si>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</si>
  <si>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</si>
  <si>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</si>
  <si>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</si>
  <si>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</si>
  <si>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</si>
  <si>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</si>
  <si>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</si>
  <si>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</si>
  <si>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</si>
  <si>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</si>
  <si>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</si>
  <si>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</si>
  <si>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</si>
  <si>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</si>
  <si>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</si>
  <si>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</si>
  <si>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</si>
  <si>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</si>
  <si>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</si>
  <si>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</si>
  <si>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</si>
  <si>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</si>
  <si>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</si>
  <si>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</si>
  <si>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</si>
  <si>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</si>
  <si>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</si>
  <si>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</si>
  <si>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</si>
  <si>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</si>
  <si>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</si>
  <si>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</si>
  <si>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</si>
  <si>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</si>
  <si>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</si>
  <si>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</si>
  <si>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</si>
  <si>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</si>
  <si>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</si>
  <si>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</si>
  <si>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</si>
  <si>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</si>
  <si>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</si>
  <si>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</si>
  <si>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</si>
  <si>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</si>
  <si>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</si>
  <si>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</si>
  <si>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</si>
  <si>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</si>
  <si>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</si>
  <si>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</si>
  <si>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</si>
  <si>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</si>
  <si>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</si>
  <si>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</si>
  <si>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</si>
  <si>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</si>
  <si>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</si>
  <si>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</si>
  <si>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</si>
  <si>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</si>
  <si>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</si>
  <si>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</si>
  <si>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</si>
  <si>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</si>
  <si>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</si>
  <si>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</si>
  <si>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</si>
  <si>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</si>
  <si>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</si>
  <si>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</si>
  <si>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</si>
  <si>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</si>
  <si>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</si>
  <si>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</si>
  <si>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</si>
  <si>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</si>
  <si>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</si>
  <si>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</si>
  <si>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</si>
  <si>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</si>
  <si>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</si>
  <si>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</si>
  <si>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</si>
  <si>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</si>
  <si>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</si>
  <si>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</si>
  <si>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</si>
  <si>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</si>
  <si>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</si>
  <si>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</si>
  <si>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</si>
  <si>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</si>
  <si>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</si>
  <si>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</si>
  <si>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</si>
  <si>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</si>
  <si>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</si>
  <si>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</si>
  <si>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</si>
  <si>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</si>
  <si>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</si>
  <si>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</si>
  <si>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</si>
  <si>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</si>
  <si>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</si>
  <si>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</si>
  <si>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</si>
  <si>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</si>
  <si>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</si>
  <si>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</si>
  <si>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</si>
  <si>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</si>
  <si>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</si>
  <si>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</si>
  <si>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</si>
  <si>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</si>
  <si>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</si>
  <si>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</si>
  <si>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</si>
  <si>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</si>
  <si>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</si>
  <si>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</si>
  <si>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</si>
  <si>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</si>
  <si>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</si>
  <si>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</si>
  <si>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</si>
  <si>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</si>
  <si>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</si>
  <si>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</si>
  <si>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</si>
  <si>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</si>
  <si>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</si>
  <si>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</si>
  <si>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</si>
  <si>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</si>
  <si>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</si>
  <si>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</si>
  <si>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</si>
  <si>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</si>
  <si>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</si>
  <si>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</si>
  <si>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</si>
  <si>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</si>
  <si>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</si>
  <si>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</si>
  <si>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</si>
  <si>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</si>
  <si>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</si>
  <si>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</si>
  <si>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</si>
  <si>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</si>
  <si>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</si>
  <si>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</si>
  <si>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</si>
  <si>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</si>
  <si>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</si>
  <si>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</si>
  <si>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</si>
  <si>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</si>
  <si>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</si>
  <si>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</si>
  <si>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</si>
  <si>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</si>
  <si>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</si>
  <si>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</si>
  <si>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</si>
  <si>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</si>
  <si>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</si>
  <si>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</si>
  <si>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</si>
  <si>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</si>
  <si>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</si>
  <si>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</si>
  <si>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</si>
  <si>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</si>
  <si>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</si>
  <si>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</si>
  <si>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</si>
  <si>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</si>
  <si>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</si>
  <si>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</si>
  <si>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</si>
  <si>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</si>
  <si>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</si>
  <si>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</si>
  <si>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</si>
  <si>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</si>
  <si>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</si>
  <si>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</si>
  <si>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</si>
  <si>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</si>
  <si>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</si>
  <si>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</si>
  <si>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</si>
  <si>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</si>
  <si>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</si>
  <si>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</si>
  <si>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</si>
  <si>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</si>
  <si>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</si>
  <si>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</si>
  <si>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</si>
  <si>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</si>
  <si>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</si>
  <si>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</si>
  <si>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</si>
  <si>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</si>
  <si>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</si>
  <si>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</si>
  <si>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</si>
  <si>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</si>
  <si>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</si>
  <si>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</si>
  <si>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</si>
  <si>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</si>
  <si>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</si>
  <si>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</si>
  <si>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</si>
  <si>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</si>
  <si>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</si>
  <si>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</si>
  <si>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</si>
  <si>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</si>
  <si>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</si>
  <si>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</si>
  <si>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</si>
  <si>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</si>
  <si>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</si>
  <si>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</si>
  <si>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</si>
  <si>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</si>
  <si>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</si>
  <si>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</si>
  <si>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</si>
  <si>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</si>
  <si>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</si>
  <si>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</si>
  <si>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</si>
  <si>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</si>
  <si>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</si>
  <si>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</si>
  <si>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</si>
  <si>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</si>
  <si>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</si>
  <si>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</si>
  <si>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</si>
  <si>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</si>
  <si>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</si>
  <si>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</si>
  <si>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</si>
  <si>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</si>
  <si>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</si>
  <si>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</si>
  <si>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</si>
  <si>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</si>
  <si>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</si>
  <si>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</si>
  <si>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</si>
  <si>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</si>
  <si>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</si>
  <si>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</si>
  <si>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</si>
  <si>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</si>
  <si>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</si>
  <si>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</si>
  <si>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</si>
  <si>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</si>
  <si>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</si>
  <si>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</si>
  <si>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</si>
  <si>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</si>
  <si>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</si>
  <si>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</si>
  <si>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</si>
  <si>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</si>
  <si>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</si>
  <si>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</si>
  <si>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</si>
  <si>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</si>
  <si>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</si>
  <si>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</si>
  <si>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</si>
  <si>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</si>
  <si>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</si>
  <si>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</si>
  <si>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</si>
  <si>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</si>
  <si>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</si>
  <si>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</si>
  <si>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</si>
  <si>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</si>
  <si>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</si>
  <si>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</si>
  <si>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</si>
  <si>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</si>
  <si>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</si>
  <si>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</si>
  <si>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</si>
  <si>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</si>
  <si>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</si>
  <si>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</si>
  <si>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</si>
  <si>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</si>
  <si>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</si>
  <si>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</si>
  <si>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</si>
  <si>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</si>
  <si>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</si>
  <si>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</si>
  <si>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</si>
  <si>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</si>
  <si>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</si>
  <si>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</si>
  <si>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</si>
  <si>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</si>
  <si>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</si>
  <si>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</si>
  <si>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</si>
  <si>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</si>
  <si>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</si>
  <si>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</si>
  <si>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</si>
  <si>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</si>
  <si>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</si>
  <si>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</si>
  <si>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</si>
  <si>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</si>
  <si>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</si>
  <si>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</si>
  <si>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</si>
  <si>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</si>
  <si>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</si>
  <si>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</si>
  <si>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</si>
  <si>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</si>
  <si>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</si>
  <si>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</si>
  <si>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</si>
  <si>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</si>
  <si>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</si>
  <si>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</si>
  <si>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</si>
  <si>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</si>
  <si>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</si>
  <si>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</si>
  <si>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</si>
  <si>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</si>
  <si>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</si>
  <si>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</si>
  <si>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</si>
  <si>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</si>
  <si>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</si>
  <si>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</si>
  <si>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</si>
  <si>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</si>
  <si>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</si>
  <si>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</si>
  <si>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</si>
  <si>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</si>
  <si>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</si>
  <si>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</si>
  <si>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</si>
  <si>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</si>
  <si>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</si>
  <si>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</si>
  <si>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</si>
  <si>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</si>
  <si>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</si>
  <si>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</si>
  <si>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</si>
  <si>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</si>
  <si>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</si>
  <si>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</si>
  <si>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</si>
  <si>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</si>
  <si>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</si>
  <si>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</si>
  <si>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</si>
  <si>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</si>
  <si>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</si>
  <si>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</si>
  <si>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</si>
  <si>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</si>
  <si>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</si>
  <si>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</si>
  <si>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</si>
  <si>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</si>
  <si>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</si>
  <si>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</si>
  <si>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</si>
  <si>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</si>
  <si>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</si>
  <si>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</si>
  <si>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</si>
  <si>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</si>
  <si>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</si>
  <si>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</si>
  <si>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</si>
  <si>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</si>
  <si>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</si>
  <si>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</si>
  <si>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</si>
  <si>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</si>
  <si>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</si>
  <si>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</si>
  <si>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</si>
  <si>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</si>
  <si>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</si>
  <si>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</si>
  <si>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</si>
  <si>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</si>
  <si>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</si>
  <si>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</si>
  <si>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</si>
  <si>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</si>
  <si>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</si>
  <si>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</si>
  <si>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</si>
  <si>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</si>
  <si>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</si>
  <si>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</si>
  <si>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</si>
  <si>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</si>
  <si>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</si>
  <si>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</si>
  <si>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</si>
  <si>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</si>
  <si>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</si>
  <si>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</si>
  <si>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</si>
  <si>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</si>
  <si>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</si>
  <si>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</si>
  <si>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</si>
  <si>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</si>
  <si>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</si>
  <si>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</si>
  <si>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</si>
  <si>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</si>
  <si>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</si>
  <si>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</si>
  <si>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</si>
  <si>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</si>
  <si>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</si>
  <si>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</si>
  <si>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</si>
  <si>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</si>
  <si>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</si>
  <si>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</si>
  <si>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</si>
  <si>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</si>
  <si>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</si>
  <si>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</si>
  <si>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</si>
  <si>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</si>
  <si>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</si>
  <si>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</si>
  <si>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</si>
  <si>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</si>
  <si>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</si>
  <si>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</si>
  <si>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</si>
  <si>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</si>
  <si>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</si>
  <si>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</si>
  <si>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</si>
  <si>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</si>
  <si>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</si>
  <si>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</si>
  <si>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</si>
  <si>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</si>
  <si>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</si>
  <si>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</si>
  <si>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</si>
  <si>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</si>
  <si>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</si>
  <si>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</si>
  <si>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</si>
  <si>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</si>
  <si>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</si>
  <si>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</si>
  <si>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</si>
  <si>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</si>
  <si>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</si>
  <si>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</si>
  <si>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</si>
  <si>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</si>
  <si>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</si>
  <si>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</si>
  <si>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</si>
  <si>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</si>
  <si>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</si>
  <si>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</si>
  <si>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</si>
  <si>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</si>
  <si>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</si>
  <si>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</si>
  <si>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</si>
  <si>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</si>
  <si>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</si>
  <si>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</si>
  <si>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</si>
  <si>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</si>
  <si>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</si>
  <si>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</si>
  <si>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</si>
  <si>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</si>
  <si>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</si>
  <si>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</si>
  <si>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</si>
  <si>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</si>
  <si>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</si>
  <si>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</si>
  <si>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</si>
  <si>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</si>
  <si>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</si>
  <si>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</si>
  <si>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</si>
  <si>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</si>
  <si>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</si>
  <si>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</si>
  <si>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</si>
  <si>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</si>
  <si>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</si>
  <si>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</si>
  <si>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</si>
  <si>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</si>
  <si>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</si>
  <si>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</si>
  <si>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</si>
  <si>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</si>
  <si>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</si>
  <si>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</si>
  <si>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</si>
  <si>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</si>
  <si>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</si>
  <si>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</si>
  <si>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</si>
  <si>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</si>
  <si>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</si>
  <si>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</si>
  <si>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</si>
  <si>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</si>
  <si>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</si>
  <si>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</si>
  <si>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</si>
  <si>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</si>
  <si>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</si>
  <si>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</si>
  <si>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</si>
  <si>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</si>
  <si>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</si>
  <si>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</si>
  <si>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</si>
  <si>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</si>
  <si>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</si>
  <si>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</si>
  <si>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</si>
  <si>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</si>
  <si>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</si>
  <si>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</si>
  <si>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</si>
  <si>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</si>
  <si>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</si>
  <si>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</si>
  <si>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</si>
  <si>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</si>
  <si>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</si>
  <si>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</si>
  <si>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</si>
  <si>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</si>
  <si>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</si>
  <si>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</si>
  <si>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</si>
  <si>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</si>
  <si>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</si>
  <si>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</si>
  <si>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</si>
  <si>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</si>
  <si>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</si>
  <si>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</si>
  <si>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</si>
  <si>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</si>
  <si>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</si>
  <si>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</si>
  <si>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</si>
  <si>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</si>
  <si>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</si>
  <si>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</si>
  <si>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</si>
  <si>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</si>
  <si>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</si>
  <si>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</si>
  <si>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</si>
  <si>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</si>
  <si>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</si>
  <si>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</si>
  <si>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</si>
  <si>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</si>
  <si>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</si>
  <si>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</si>
  <si>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</si>
  <si>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</si>
  <si>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</si>
  <si>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</si>
  <si>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</si>
  <si>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</si>
  <si>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</si>
  <si>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</si>
  <si>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</si>
  <si>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</si>
  <si>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</si>
  <si>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</si>
  <si>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</si>
  <si>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</si>
  <si>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</si>
  <si>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</si>
  <si>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</si>
  <si>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</si>
  <si>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</si>
  <si>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</si>
  <si>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</si>
  <si>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</si>
  <si>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</si>
  <si>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</si>
  <si>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</si>
  <si>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</si>
  <si>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</si>
  <si>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</si>
  <si>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</si>
  <si>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</si>
  <si>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</si>
  <si>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</si>
  <si>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</si>
  <si>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</si>
  <si>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</si>
  <si>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</si>
  <si>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</si>
  <si>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</si>
  <si>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</si>
  <si>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</si>
  <si>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</si>
  <si>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</si>
  <si>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</si>
  <si>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</si>
  <si>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</si>
  <si>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</si>
  <si>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</si>
  <si>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</si>
  <si>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</si>
  <si>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</si>
  <si>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</si>
  <si>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</si>
  <si>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</si>
  <si>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</si>
  <si>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</si>
  <si>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</si>
  <si>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</si>
  <si>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</si>
  <si>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</si>
  <si>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</si>
  <si>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</si>
  <si>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</si>
  <si>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</si>
  <si>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</si>
  <si>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</si>
  <si>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</si>
  <si>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</si>
  <si>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</si>
  <si>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</si>
  <si>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</si>
  <si>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</si>
  <si>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</si>
  <si>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</si>
  <si>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</si>
  <si>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</si>
  <si>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</si>
  <si>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</si>
  <si>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</si>
  <si>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</si>
  <si>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</si>
  <si>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</si>
  <si>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</si>
  <si>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</si>
  <si>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</si>
  <si>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</si>
  <si>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</si>
  <si>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</si>
  <si>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</si>
  <si>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</si>
  <si>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</si>
  <si>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</si>
  <si>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</si>
  <si>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</si>
  <si>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</si>
  <si>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</si>
  <si>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</si>
  <si>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</si>
  <si>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</si>
  <si>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</si>
  <si>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</si>
  <si>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</si>
  <si>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</si>
  <si>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</si>
  <si>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</si>
  <si>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</si>
  <si>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MTL INVIÁVEL, GANHAMOS NA ALTERAÇÃO DE BORDAS</t>
  </si>
  <si>
    <t>BOQ USISAR55 11,75+0,54X1050 MTH</t>
  </si>
  <si>
    <t>-0,00 / +32,00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</si>
  <si>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</si>
  <si>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</si>
  <si>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</si>
  <si>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</si>
  <si>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</si>
  <si>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VW50065 CR300LA GI40/40U 1,40X312,5X950</t>
  </si>
  <si>
    <t>-0,0375 / +0,00</t>
  </si>
  <si>
    <t>MUDANÇA DE ESPESSURA INVIÁVEL, ESTUDO PARA MUDANÇA DE COMPRIMENTO</t>
  </si>
  <si>
    <t>1450
1250</t>
  </si>
  <si>
    <t>1750 / 3000</t>
  </si>
  <si>
    <t>2620 / 2700 / 2960
2450 / 2700 / 2950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</si>
  <si>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</si>
  <si>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</si>
  <si>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</si>
  <si>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</si>
  <si>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</si>
  <si>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</si>
  <si>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nok</t>
  </si>
  <si>
    <t>-0,00 / +0,25</t>
  </si>
  <si>
    <t>MATERIAL PROGRAMADO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</si>
  <si>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</si>
  <si>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</si>
  <si>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</si>
  <si>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</si>
  <si>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</si>
  <si>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</si>
  <si>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</si>
  <si>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</si>
  <si>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</si>
  <si>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</si>
  <si>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</si>
  <si>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</si>
  <si>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</si>
  <si>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</si>
  <si>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</si>
  <si>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</si>
  <si>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</si>
  <si>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</si>
  <si>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</si>
  <si>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</si>
  <si>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</si>
  <si>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</si>
  <si>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</si>
  <si>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</si>
  <si>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</si>
  <si>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</si>
  <si>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</si>
  <si>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INVIÁVEL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</si>
  <si>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</si>
  <si>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</si>
  <si>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</si>
  <si>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</si>
  <si>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</si>
  <si>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</si>
  <si>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</si>
  <si>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</si>
  <si>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</si>
  <si>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</si>
  <si>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</si>
  <si>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</si>
  <si>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</si>
  <si>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</si>
  <si>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</si>
  <si>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</si>
  <si>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</si>
  <si>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</si>
  <si>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</si>
  <si>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</si>
  <si>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</si>
  <si>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</si>
  <si>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</si>
  <si>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</si>
  <si>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</si>
  <si>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</si>
  <si>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</si>
  <si>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</si>
  <si>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</si>
  <si>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</si>
  <si>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</si>
  <si>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</si>
  <si>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</si>
  <si>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</si>
  <si>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</si>
  <si>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</si>
  <si>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</si>
  <si>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</si>
  <si>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</si>
  <si>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</si>
  <si>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</si>
  <si>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</si>
  <si>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</si>
  <si>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</si>
  <si>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</si>
  <si>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</si>
  <si>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</si>
  <si>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</si>
  <si>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</si>
  <si>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</si>
  <si>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</si>
  <si>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>CSN - INVIÁVEL FORNECIMENTO SEM INFORMAR O CLIENTE FINAL</t>
  </si>
  <si>
    <t xml:space="preserve">GMW2MSTSCR2 HD60G60G-U TO GMW8 </t>
  </si>
  <si>
    <t>VW50065-CR1GI40/40-U</t>
  </si>
  <si>
    <t>SLF0150SF0100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</si>
  <si>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</si>
  <si>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</si>
  <si>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</si>
  <si>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</si>
  <si>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</si>
  <si>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</si>
  <si>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</si>
  <si>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</si>
  <si>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</si>
  <si>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</si>
  <si>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</si>
  <si>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</si>
  <si>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</si>
  <si>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</si>
  <si>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</si>
  <si>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</si>
  <si>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</si>
  <si>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</si>
  <si>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</si>
  <si>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</si>
  <si>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</si>
  <si>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</si>
  <si>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</si>
  <si>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</si>
  <si>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</si>
  <si>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</si>
  <si>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</si>
  <si>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</si>
  <si>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</si>
  <si>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</si>
  <si>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</si>
  <si>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</si>
  <si>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</si>
  <si>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</si>
  <si>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</si>
  <si>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</si>
  <si>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</si>
  <si>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</si>
  <si>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</si>
  <si>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</si>
  <si>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</si>
  <si>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</si>
  <si>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</si>
  <si>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</si>
  <si>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</si>
  <si>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</si>
  <si>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</si>
  <si>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</si>
  <si>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</si>
  <si>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</si>
  <si>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</si>
  <si>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</si>
  <si>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</si>
  <si>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</si>
  <si>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</si>
  <si>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</si>
  <si>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</si>
  <si>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VIÁVEL COM RESTRIÇÕES</t>
  </si>
  <si>
    <t>VIÁVEL</t>
  </si>
  <si>
    <t>RECONSULTA</t>
  </si>
  <si>
    <t>INVIABILIDADE - FORNECEDOR DIRECT BUY IRÁ COMUNICAR A VW</t>
  </si>
  <si>
    <t>INVIÁVEL - FORNECEDOR IRÁ COMUNICAR VW</t>
  </si>
  <si>
    <t>ÁREA ATUANTE</t>
  </si>
  <si>
    <t xml:space="preserve">ÁREA PENDENTE DE ATUAÇÃO PARA EVOLUÇÃO DO PROJETO </t>
  </si>
  <si>
    <t>USINA - CONSULTA</t>
  </si>
  <si>
    <t>USINA - PROGRAMAÇÃO</t>
  </si>
  <si>
    <t>ENGENHARIA - PLANO DE CORTE</t>
  </si>
  <si>
    <t>ENGENHARIA - REANALISE DE PROPOSTA</t>
  </si>
  <si>
    <t>COMPRAS - ENVIO</t>
  </si>
  <si>
    <t>COMPRAS - CONFIRMAÇÃO DE ALTERAÇÃO</t>
  </si>
  <si>
    <t>CONSULTA DEVOVLIDA 24/07/2026 - VIÁVEL APENAS RESTRIÇÃO NA LARGURA</t>
  </si>
  <si>
    <t>RECONSULTA ABERTA PARA RESTRIÇÃO APENAS DE LARGURA</t>
  </si>
  <si>
    <t>USINA - RECEBIMENTO</t>
  </si>
  <si>
    <t>MATERIAL COM 1450MM JÁ CHEGOU. MATERIAL COM 1200MM PENDENTE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</si>
  <si>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</si>
  <si>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CONFIRMAR RECEBIMENTO NAS NOVAS ESPECIFICAÇÕES</t>
  </si>
  <si>
    <t>USINA - RECEBIMENTO
ENGENHARIA - REGULARIZAR PLANO DE CORTE</t>
  </si>
  <si>
    <t>LOGÍSTICA - PROGRAMAÇÃO</t>
  </si>
  <si>
    <t>FERROLENE IRÁ COMUNICAR A VW AS ALTERAÇÕES</t>
  </si>
  <si>
    <t xml:space="preserve">MATERIAL VOLTARÁ A SER FORNECIDO EM BOBINA </t>
  </si>
  <si>
    <t>COMPRAS - ENVIO PARA USINA</t>
  </si>
  <si>
    <t>FORNECEDOR IRÁ COMUNICAR A VW AS ALTERAÇÕES</t>
  </si>
  <si>
    <t>CONCLUÍDO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</si>
</sst>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53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6" borderId="23" xfId="0" applyFont="1" applyFill="1" applyBorder="1" applyAlignment="1">
      <alignment horizontal="center" vertical="top"/>
    </xf>
    <xf numFmtId="0" fontId="30" fillId="16" borderId="2" xfId="0" applyFont="1" applyFill="1" applyBorder="1" applyAlignment="1">
      <alignment horizontal="center" vertical="top"/>
    </xf>
    <xf numFmtId="0" fontId="30" fillId="16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30" fillId="21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9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9" borderId="27" xfId="0" applyNumberFormat="1" applyFont="1" applyFill="1" applyBorder="1" applyAlignment="1">
      <alignment horizontal="center" vertical="top"/>
    </xf>
    <xf numFmtId="0" fontId="30" fillId="19" borderId="23" xfId="0" applyFont="1" applyFill="1" applyBorder="1" applyAlignment="1">
      <alignment horizontal="center" vertical="top"/>
    </xf>
    <xf numFmtId="0" fontId="30" fillId="19" borderId="2" xfId="0" applyFont="1" applyFill="1" applyBorder="1" applyAlignment="1">
      <alignment horizontal="center" vertical="top"/>
    </xf>
    <xf numFmtId="0" fontId="30" fillId="19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3" borderId="1" xfId="0" quotePrefix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11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9" fontId="0" fillId="3" borderId="1" xfId="0" applyNumberFormat="1" applyFill="1" applyBorder="1" applyAlignment="1">
      <alignment horizontal="center" vertical="center" wrapText="1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20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4" borderId="0" xfId="0" applyFont="1" applyFill="1" applyAlignment="1">
      <alignment vertical="top"/>
    </xf>
    <xf numFmtId="0" fontId="30" fillId="21" borderId="0" xfId="0" applyFont="1" applyFill="1" applyAlignment="1">
      <alignment vertical="top"/>
    </xf>
    <xf numFmtId="0" fontId="26" fillId="22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5" borderId="0" xfId="0" applyFont="1" applyFill="1" applyAlignment="1">
      <alignment vertical="top" wrapText="1"/>
    </xf>
    <xf numFmtId="0" fontId="30" fillId="17" borderId="0" xfId="0" applyFont="1" applyFill="1" applyAlignment="1">
      <alignment vertical="top"/>
    </xf>
    <xf numFmtId="0" fontId="27" fillId="18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4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77734375" style="151" customWidth="1"/>
    <col min="6" max="6" width="38.21875" style="151" customWidth="1"/>
    <col min="7" max="7" width="5" style="151" customWidth="1"/>
    <col min="8" max="8" width="22.77734375" style="151" customWidth="1"/>
    <col min="9" max="9" width="17.21875" style="151" customWidth="1"/>
    <col min="10" max="10" width="22.77734375" style="151" customWidth="1"/>
    <col min="11" max="11" width="17.21875" style="151" customWidth="1"/>
    <col min="12" max="12" width="22.77734375" style="151" customWidth="1"/>
    <col min="13" max="13" width="3.77734375" customWidth="1"/>
    <col min="14" max="14" width="28.21875" bestFit="1" customWidth="1"/>
    <col min="15" max="15" width="15.44140625" bestFit="1" customWidth="1"/>
    <col min="16" max="16" width="12.77734375" bestFit="1" customWidth="1"/>
    <col min="18" max="18" width="15.77734375" bestFit="1" customWidth="1"/>
    <col min="19" max="19" width="15.44140625" bestFit="1" customWidth="1"/>
  </cols>
  <sheetData>
    <row r="1" spans="1:19" ht="23.4" x14ac:dyDescent="0.3">
      <c r="A1" s="245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</row>
    <row r="2" spans="1:19" x14ac:dyDescent="0.3">
      <c r="A2" s="246" t="s">
        <v>1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47" t="s">
        <v>7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 x14ac:dyDescent="0.3">
      <c r="A4" s="242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N4" t="s">
        <v>10</v>
      </c>
      <c r="O4">
        <v>37</v>
      </c>
      <c r="P4">
        <v>631869.95155054168</v>
      </c>
      <c r="R4" t="s">
        <v>11</v>
      </c>
      <c r="S4" s="177">
        <f>SUM(A.Propostas!F6:F118)</f>
        <v>3426065.6302565872</v>
      </c>
    </row>
    <row r="5" spans="1:19" x14ac:dyDescent="0.3">
      <c r="A5" s="242"/>
      <c r="B5" s="242"/>
      <c r="C5" s="242"/>
      <c r="D5" s="242"/>
      <c r="E5" s="242"/>
      <c r="F5" s="242"/>
      <c r="G5" s="242"/>
      <c r="H5" s="242"/>
      <c r="I5" s="242"/>
      <c r="J5" s="242"/>
      <c r="K5" s="242"/>
      <c r="L5" s="242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70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COUNTIF(A.Propostas!Z6:Z118,"NÃO")</f>
        <v>28</v>
      </c>
    </row>
    <row r="7" spans="1:19" x14ac:dyDescent="0.3">
      <c r="A7" s="179" t="s">
        <v>14</v>
      </c>
      <c r="B7" s="180" t="s">
        <v>15</v>
      </c>
      <c r="C7" s="180" t="s">
        <v>16</v>
      </c>
      <c r="D7" s="180" t="s">
        <v>17</v>
      </c>
      <c r="E7" s="180" t="s">
        <v>18</v>
      </c>
      <c r="F7" s="181" t="s">
        <v>19</v>
      </c>
      <c r="H7" s="248" t="s">
        <v>20</v>
      </c>
      <c r="I7" s="242"/>
      <c r="J7" s="242"/>
      <c r="K7" s="242"/>
      <c r="L7" s="242"/>
      <c r="R7" t="s">
        <v>21</v>
      </c>
      <c r="S7">
        <f>COUNTIF(A.Propostas!Z6:Z118,"KAIZEN PLANO DE CORTE")</f>
        <v>0</v>
      </c>
    </row>
    <row r="8" spans="1:19" ht="19.8" x14ac:dyDescent="0.3">
      <c r="A8" s="182">
        <f>COUNTA(A.Propostas!B6:B118)</f>
        <v>106</v>
      </c>
      <c r="B8" s="183">
        <f>SUM(A.Propostas!F6:F118)</f>
        <v>3426065.6302565872</v>
      </c>
      <c r="C8" s="183" cm="1">
        <f t="array" ref="C8">SUM(A.Propostas!F6:F118)-SUMPRODUCT(A.Propostas!F6:F118,--ISNUMBER(SEARCH("INVIÁVEL",A.Propostas!L6:L118&amp;A.Propostas!AC6:AC118&amp;A.Propostas!AK6:AK118)))</f>
        <v>2302080.5059197969</v>
      </c>
      <c r="D8" s="184" cm="1">
        <f t="array" ref="D8">SUM(LARGE(A.Propostas!F6:F118,{1,2,3,4,5}))/SUM(A.Propostas!F6:F118)</f>
        <v>0.26266248628853761</v>
      </c>
      <c r="E8" s="185" cm="1">
        <f t="array" ref="E8">SUMPRODUCT(--(MMULT(--ISNUMBER(SEARCH("PENDENTE",A.Propostas!AE6:AI118)),TRANSPOSE(COLUMN(A.Propostas!AE6:AI6)^0))&gt;0))</f>
        <v>8</v>
      </c>
      <c r="F8" s="186" cm="1">
        <f t="array" ref="F8">SUMPRODUCT(--ISNUMBER(SEARCH("INVIÁVEL",A.Propostas!L6:L118&amp;A.Propostas!AC6:AC118&amp;A.Propostas!AK6:AK118)))</f>
        <v>42</v>
      </c>
      <c r="H8" s="249" t="s">
        <v>22</v>
      </c>
      <c r="I8" s="242"/>
      <c r="J8" s="242"/>
      <c r="K8" s="242"/>
      <c r="L8" s="242"/>
    </row>
    <row r="9" spans="1:19" x14ac:dyDescent="0.3">
      <c r="H9" s="242"/>
      <c r="I9" s="242"/>
      <c r="J9" s="242"/>
      <c r="K9" s="242"/>
      <c r="L9" s="242"/>
      <c r="N9" t="s">
        <v>23</v>
      </c>
      <c r="O9" t="s">
        <v>4</v>
      </c>
    </row>
    <row r="10" spans="1:19" x14ac:dyDescent="0.3">
      <c r="N10" t="s">
        <v>24</v>
      </c>
      <c r="O10" s="177">
        <v>1894286.455803545</v>
      </c>
    </row>
    <row r="11" spans="1:19" x14ac:dyDescent="0.3">
      <c r="A11" s="243" t="s">
        <v>25</v>
      </c>
      <c r="B11" s="242"/>
      <c r="C11" s="242"/>
      <c r="D11" s="242"/>
      <c r="E11" s="242"/>
      <c r="F11" s="242"/>
      <c r="H11" s="243" t="s">
        <v>26</v>
      </c>
      <c r="I11" s="242"/>
      <c r="J11" s="242"/>
      <c r="K11" s="242"/>
      <c r="L11" s="242"/>
      <c r="N11" t="s">
        <v>27</v>
      </c>
      <c r="O11" s="177">
        <v>987200.72000000009</v>
      </c>
    </row>
    <row r="12" spans="1:19" x14ac:dyDescent="0.3">
      <c r="A12" s="159" t="s">
        <v>28</v>
      </c>
      <c r="B12" s="159" t="s">
        <v>29</v>
      </c>
      <c r="C12" s="159" t="s">
        <v>23</v>
      </c>
      <c r="D12" s="159" t="s">
        <v>30</v>
      </c>
      <c r="E12" s="159" t="s">
        <v>4</v>
      </c>
      <c r="F12" s="159" t="s">
        <v>31</v>
      </c>
      <c r="H12" s="159" t="s">
        <v>23</v>
      </c>
      <c r="I12" s="159" t="s">
        <v>3</v>
      </c>
      <c r="J12" s="159" t="s">
        <v>4</v>
      </c>
      <c r="K12" s="159" t="s">
        <v>32</v>
      </c>
      <c r="L12" s="159" t="s">
        <v>33</v>
      </c>
      <c r="N12" t="s">
        <v>34</v>
      </c>
      <c r="O12" s="177">
        <v>499406.86</v>
      </c>
    </row>
    <row r="13" spans="1:19" x14ac:dyDescent="0.3">
      <c r="A13" s="160">
        <v>1</v>
      </c>
      <c r="B13" s="160" t="s">
        <v>35</v>
      </c>
      <c r="C13" s="160" t="s">
        <v>27</v>
      </c>
      <c r="D13" s="160" t="s">
        <v>36</v>
      </c>
      <c r="E13" s="173">
        <v>223577.79</v>
      </c>
      <c r="F13" s="166">
        <v>6.6129783315395124E-2</v>
      </c>
      <c r="H13" s="160" t="s">
        <v>24</v>
      </c>
      <c r="I13" s="160">
        <v>80</v>
      </c>
      <c r="J13" s="173">
        <v>1894286.455803545</v>
      </c>
      <c r="K13" s="166">
        <v>0.56029157842367183</v>
      </c>
      <c r="L13" s="173">
        <v>23678.580697544312</v>
      </c>
      <c r="N13" t="s">
        <v>37</v>
      </c>
      <c r="O13" s="177">
        <v>0</v>
      </c>
    </row>
    <row r="14" spans="1:19" x14ac:dyDescent="0.3">
      <c r="A14" s="160">
        <v>2</v>
      </c>
      <c r="B14" s="160" t="s">
        <v>38</v>
      </c>
      <c r="C14" s="160" t="s">
        <v>27</v>
      </c>
      <c r="D14" s="160" t="s">
        <v>39</v>
      </c>
      <c r="E14" s="173">
        <v>214301.81</v>
      </c>
      <c r="F14" s="166">
        <v>0.12951591956531949</v>
      </c>
      <c r="H14" s="160" t="s">
        <v>27</v>
      </c>
      <c r="I14" s="160">
        <v>12</v>
      </c>
      <c r="J14" s="173">
        <v>987200.72000000009</v>
      </c>
      <c r="K14" s="166">
        <v>0.29199398429692885</v>
      </c>
      <c r="L14" s="173">
        <v>82266.726666666669</v>
      </c>
    </row>
    <row r="15" spans="1:19" x14ac:dyDescent="0.3">
      <c r="A15" s="160">
        <v>3</v>
      </c>
      <c r="B15" s="160" t="s">
        <v>40</v>
      </c>
      <c r="C15" s="160" t="s">
        <v>27</v>
      </c>
      <c r="D15" s="160" t="s">
        <v>39</v>
      </c>
      <c r="E15" s="173">
        <v>190474.65</v>
      </c>
      <c r="F15" s="166">
        <v>0.18585446433569103</v>
      </c>
      <c r="H15" s="160" t="s">
        <v>34</v>
      </c>
      <c r="I15" s="160">
        <v>8</v>
      </c>
      <c r="J15" s="173">
        <v>499406.86</v>
      </c>
      <c r="K15" s="166">
        <v>0.14771443727940003</v>
      </c>
      <c r="L15" s="173">
        <v>62425.857499999998</v>
      </c>
    </row>
    <row r="16" spans="1:19" x14ac:dyDescent="0.3">
      <c r="A16" s="160">
        <v>4</v>
      </c>
      <c r="B16" s="160" t="s">
        <v>41</v>
      </c>
      <c r="C16" s="160" t="s">
        <v>24</v>
      </c>
      <c r="D16" s="160" t="s">
        <v>42</v>
      </c>
      <c r="E16" s="173">
        <v>168140.89131840001</v>
      </c>
      <c r="F16" s="166">
        <v>0.23558713549834631</v>
      </c>
      <c r="H16" s="160" t="s">
        <v>37</v>
      </c>
      <c r="I16" s="160">
        <v>3</v>
      </c>
      <c r="J16" s="173">
        <v>0</v>
      </c>
      <c r="K16" s="166">
        <v>0</v>
      </c>
      <c r="L16" s="173">
        <v>0</v>
      </c>
      <c r="N16" t="s">
        <v>43</v>
      </c>
      <c r="O16" t="s">
        <v>4</v>
      </c>
    </row>
    <row r="17" spans="1:16" x14ac:dyDescent="0.3">
      <c r="A17" s="160">
        <v>5</v>
      </c>
      <c r="B17" s="160" t="s">
        <v>44</v>
      </c>
      <c r="C17" s="160" t="s">
        <v>24</v>
      </c>
      <c r="D17" s="160" t="s">
        <v>45</v>
      </c>
      <c r="E17" s="173">
        <v>167489.2253125</v>
      </c>
      <c r="F17" s="166">
        <v>0.28512705705128327</v>
      </c>
      <c r="N17" t="s">
        <v>42</v>
      </c>
      <c r="O17" s="177">
        <v>1390523.5442530026</v>
      </c>
    </row>
    <row r="18" spans="1:16" x14ac:dyDescent="0.3">
      <c r="A18" s="160">
        <v>6</v>
      </c>
      <c r="B18" s="160" t="s">
        <v>46</v>
      </c>
      <c r="C18" s="160" t="s">
        <v>34</v>
      </c>
      <c r="D18" s="160" t="s">
        <v>42</v>
      </c>
      <c r="E18" s="173">
        <v>128107.04</v>
      </c>
      <c r="F18" s="166">
        <v>0.32301852559284394</v>
      </c>
      <c r="N18" t="s">
        <v>39</v>
      </c>
      <c r="O18" s="177">
        <v>998683.29479479801</v>
      </c>
    </row>
    <row r="19" spans="1:16" x14ac:dyDescent="0.3">
      <c r="A19" s="160">
        <v>7</v>
      </c>
      <c r="B19" s="160" t="s">
        <v>47</v>
      </c>
      <c r="C19" s="160" t="s">
        <v>27</v>
      </c>
      <c r="D19" s="160" t="s">
        <v>36</v>
      </c>
      <c r="E19" s="173">
        <v>117470.3</v>
      </c>
      <c r="F19" s="166">
        <v>0.35776386181338027</v>
      </c>
      <c r="N19" t="s">
        <v>36</v>
      </c>
      <c r="O19" s="177">
        <v>341048.09</v>
      </c>
    </row>
    <row r="20" spans="1:16" x14ac:dyDescent="0.3">
      <c r="A20" s="160">
        <v>8</v>
      </c>
      <c r="B20" s="160" t="s">
        <v>48</v>
      </c>
      <c r="C20" s="160" t="s">
        <v>34</v>
      </c>
      <c r="D20" s="160" t="s">
        <v>49</v>
      </c>
      <c r="E20" s="173">
        <v>115000</v>
      </c>
      <c r="F20" s="166">
        <v>0.39177853331214779</v>
      </c>
      <c r="N20" t="s">
        <v>45</v>
      </c>
      <c r="O20" s="177">
        <v>194339.68058881108</v>
      </c>
    </row>
    <row r="21" spans="1:16" x14ac:dyDescent="0.3">
      <c r="A21" s="160">
        <v>9</v>
      </c>
      <c r="B21" s="160" t="s">
        <v>50</v>
      </c>
      <c r="C21" s="160" t="s">
        <v>24</v>
      </c>
      <c r="D21" s="160" t="s">
        <v>42</v>
      </c>
      <c r="E21" s="173">
        <v>113701.832244</v>
      </c>
      <c r="F21" s="166">
        <v>0.42540923307377942</v>
      </c>
      <c r="N21" t="s">
        <v>51</v>
      </c>
      <c r="O21" s="177">
        <v>164779.96956508717</v>
      </c>
    </row>
    <row r="22" spans="1:16" x14ac:dyDescent="0.3">
      <c r="A22" s="160">
        <v>10</v>
      </c>
      <c r="B22" s="160" t="s">
        <v>52</v>
      </c>
      <c r="C22" s="160" t="s">
        <v>24</v>
      </c>
      <c r="D22" s="160" t="s">
        <v>51</v>
      </c>
      <c r="E22" s="173">
        <v>113597.5197055</v>
      </c>
      <c r="F22" s="166">
        <v>0.459009079298626</v>
      </c>
      <c r="N22" t="s">
        <v>49</v>
      </c>
      <c r="O22" s="177">
        <v>115000</v>
      </c>
    </row>
    <row r="23" spans="1:16" x14ac:dyDescent="0.3">
      <c r="N23" t="s">
        <v>53</v>
      </c>
      <c r="O23" s="177">
        <v>105555.86660184528</v>
      </c>
    </row>
    <row r="24" spans="1:16" x14ac:dyDescent="0.3">
      <c r="N24" t="s">
        <v>54</v>
      </c>
      <c r="O24" s="177">
        <v>70963.59</v>
      </c>
    </row>
    <row r="25" spans="1:16" x14ac:dyDescent="0.3">
      <c r="A25" s="241" t="s">
        <v>55</v>
      </c>
      <c r="B25" s="242"/>
      <c r="C25" s="242"/>
      <c r="D25" s="242"/>
      <c r="E25" s="242"/>
      <c r="F25" s="242"/>
      <c r="H25" s="243" t="s">
        <v>56</v>
      </c>
      <c r="I25" s="242"/>
      <c r="J25" s="242"/>
      <c r="K25" s="242"/>
      <c r="L25" s="242"/>
    </row>
    <row r="26" spans="1:16" x14ac:dyDescent="0.3">
      <c r="A26" s="168" t="s">
        <v>57</v>
      </c>
      <c r="B26" s="168" t="s">
        <v>3</v>
      </c>
      <c r="C26" s="168" t="s">
        <v>58</v>
      </c>
      <c r="D26" s="168" t="s">
        <v>59</v>
      </c>
      <c r="H26" s="159" t="s">
        <v>43</v>
      </c>
      <c r="I26" s="159" t="s">
        <v>3</v>
      </c>
      <c r="J26" s="159" t="s">
        <v>4</v>
      </c>
      <c r="K26" s="159" t="s">
        <v>32</v>
      </c>
      <c r="L26" s="159" t="s">
        <v>33</v>
      </c>
    </row>
    <row r="27" spans="1:16" ht="57.6" x14ac:dyDescent="0.3">
      <c r="A27" s="160" t="s">
        <v>60</v>
      </c>
      <c r="B27" s="160">
        <v>16</v>
      </c>
      <c r="C27" s="173">
        <v>903321.84923620953</v>
      </c>
      <c r="D27" s="162" t="s">
        <v>61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60" t="s">
        <v>62</v>
      </c>
      <c r="B28" s="160">
        <v>6</v>
      </c>
      <c r="C28" s="173">
        <v>438060.56041410612</v>
      </c>
      <c r="D28" s="162" t="s">
        <v>63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N28">
        <v>1</v>
      </c>
      <c r="O28" s="177">
        <v>223577.79</v>
      </c>
      <c r="P28" s="150">
        <v>6.6129783315395124E-2</v>
      </c>
    </row>
    <row r="29" spans="1:16" ht="57.6" x14ac:dyDescent="0.3">
      <c r="A29" s="160" t="s">
        <v>64</v>
      </c>
      <c r="B29" s="160">
        <v>11</v>
      </c>
      <c r="C29" s="173">
        <v>0</v>
      </c>
      <c r="D29" s="162" t="s">
        <v>65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N29">
        <v>2</v>
      </c>
      <c r="O29" s="177">
        <v>214301.81</v>
      </c>
      <c r="P29" s="150">
        <v>0.12951591956531949</v>
      </c>
    </row>
    <row r="30" spans="1:16" ht="72" x14ac:dyDescent="0.3">
      <c r="A30" s="160" t="s">
        <v>66</v>
      </c>
      <c r="B30" s="160">
        <v>3</v>
      </c>
      <c r="C30" s="173">
        <v>0</v>
      </c>
      <c r="D30" s="162" t="s">
        <v>67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N30">
        <v>3</v>
      </c>
      <c r="O30" s="177">
        <v>190474.65</v>
      </c>
      <c r="P30" s="150">
        <v>0.18585446433569103</v>
      </c>
    </row>
    <row r="31" spans="1:16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N31">
        <v>4</v>
      </c>
      <c r="O31" s="177">
        <v>168140.89131840001</v>
      </c>
      <c r="P31" s="150">
        <v>0.23558713549834631</v>
      </c>
    </row>
    <row r="32" spans="1:16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N32">
        <v>5</v>
      </c>
      <c r="O32" s="177">
        <v>167489.2253125</v>
      </c>
      <c r="P32" s="150">
        <v>0.28512705705128327</v>
      </c>
    </row>
    <row r="33" spans="1:16" x14ac:dyDescent="0.3">
      <c r="H33" s="160" t="s">
        <v>53</v>
      </c>
      <c r="I33" s="160">
        <v>6</v>
      </c>
      <c r="J33" s="173">
        <v>105555.86660184528</v>
      </c>
      <c r="K33" s="166">
        <v>3.1221288062865196E-2</v>
      </c>
      <c r="L33" s="173">
        <v>17592.644433640879</v>
      </c>
      <c r="N33">
        <v>6</v>
      </c>
      <c r="O33" s="177">
        <v>128107.04</v>
      </c>
      <c r="P33" s="150">
        <v>0.32301852559284394</v>
      </c>
    </row>
    <row r="34" spans="1:16" x14ac:dyDescent="0.3">
      <c r="H34" s="160" t="s">
        <v>54</v>
      </c>
      <c r="I34" s="160">
        <v>2</v>
      </c>
      <c r="J34" s="173">
        <v>70963.59</v>
      </c>
      <c r="K34" s="166">
        <v>2.0989593062810667E-2</v>
      </c>
      <c r="L34" s="173">
        <v>35481.794999999998</v>
      </c>
      <c r="N34">
        <v>7</v>
      </c>
      <c r="O34" s="177">
        <v>117470.3</v>
      </c>
      <c r="P34" s="150">
        <v>0.35776386181338027</v>
      </c>
    </row>
    <row r="35" spans="1:16" x14ac:dyDescent="0.3">
      <c r="N35">
        <v>8</v>
      </c>
      <c r="O35" s="177">
        <v>115000</v>
      </c>
      <c r="P35" s="150">
        <v>0.39177853331214779</v>
      </c>
    </row>
    <row r="36" spans="1:16" x14ac:dyDescent="0.3">
      <c r="N36">
        <v>9</v>
      </c>
      <c r="O36" s="177">
        <v>113701.832244</v>
      </c>
      <c r="P36" s="150">
        <v>0.42540923307377942</v>
      </c>
    </row>
    <row r="37" spans="1:16" x14ac:dyDescent="0.3">
      <c r="N37">
        <v>10</v>
      </c>
      <c r="O37" s="177">
        <v>113597.5197055</v>
      </c>
      <c r="P37" s="150">
        <v>0.459009079298626</v>
      </c>
    </row>
    <row r="39" spans="1:16" x14ac:dyDescent="0.3">
      <c r="A39" s="244" t="s">
        <v>68</v>
      </c>
      <c r="B39" s="242"/>
      <c r="C39" s="242"/>
      <c r="D39" s="242"/>
      <c r="E39" s="242"/>
      <c r="F39" s="242"/>
    </row>
    <row r="40" spans="1:16" x14ac:dyDescent="0.3">
      <c r="A40" s="169" t="s">
        <v>29</v>
      </c>
      <c r="B40" s="169" t="s">
        <v>23</v>
      </c>
      <c r="C40" s="169" t="s">
        <v>30</v>
      </c>
      <c r="D40" s="169" t="s">
        <v>4</v>
      </c>
      <c r="E40" s="169" t="s">
        <v>2</v>
      </c>
      <c r="F40" s="169" t="s">
        <v>69</v>
      </c>
    </row>
    <row r="41" spans="1:16" x14ac:dyDescent="0.3">
      <c r="A41" s="160" t="s">
        <v>41</v>
      </c>
      <c r="B41" s="160" t="s">
        <v>24</v>
      </c>
      <c r="C41" s="160" t="s">
        <v>42</v>
      </c>
      <c r="D41" s="173">
        <v>168140.89131840001</v>
      </c>
      <c r="E41" s="160" t="s">
        <v>8</v>
      </c>
      <c r="F41" s="162" t="s">
        <v>70</v>
      </c>
    </row>
    <row r="42" spans="1:16" x14ac:dyDescent="0.3">
      <c r="A42" s="160" t="s">
        <v>47</v>
      </c>
      <c r="B42" s="160" t="s">
        <v>27</v>
      </c>
      <c r="C42" s="160" t="s">
        <v>36</v>
      </c>
      <c r="D42" s="173">
        <v>117470.3</v>
      </c>
      <c r="E42" s="160" t="s">
        <v>8</v>
      </c>
      <c r="F42" s="162" t="s">
        <v>70</v>
      </c>
    </row>
    <row r="43" spans="1:16" x14ac:dyDescent="0.3">
      <c r="A43" s="160" t="s">
        <v>50</v>
      </c>
      <c r="B43" s="160" t="s">
        <v>24</v>
      </c>
      <c r="C43" s="160" t="s">
        <v>42</v>
      </c>
      <c r="D43" s="173">
        <v>113701.832244</v>
      </c>
      <c r="E43" s="160" t="s">
        <v>8</v>
      </c>
      <c r="F43" s="162" t="s">
        <v>70</v>
      </c>
    </row>
    <row r="44" spans="1:16" ht="28.8" x14ac:dyDescent="0.3">
      <c r="A44" s="160" t="s">
        <v>71</v>
      </c>
      <c r="B44" s="160" t="s">
        <v>24</v>
      </c>
      <c r="C44" s="160" t="s">
        <v>42</v>
      </c>
      <c r="D44" s="173">
        <v>110915.64340784001</v>
      </c>
      <c r="E44" s="160" t="s">
        <v>8</v>
      </c>
      <c r="F44" s="162" t="s">
        <v>72</v>
      </c>
    </row>
    <row r="45" spans="1:16" ht="28.8" x14ac:dyDescent="0.3">
      <c r="A45" s="160" t="s">
        <v>73</v>
      </c>
      <c r="B45" s="160" t="s">
        <v>24</v>
      </c>
      <c r="C45" s="160" t="s">
        <v>42</v>
      </c>
      <c r="D45" s="173">
        <v>96985.81</v>
      </c>
      <c r="E45" s="160" t="s">
        <v>8</v>
      </c>
      <c r="F45" s="162" t="s">
        <v>72</v>
      </c>
    </row>
    <row r="46" spans="1:16" x14ac:dyDescent="0.3">
      <c r="A46" s="160" t="s">
        <v>74</v>
      </c>
      <c r="B46" s="160" t="s">
        <v>24</v>
      </c>
      <c r="C46" s="160" t="s">
        <v>42</v>
      </c>
      <c r="D46" s="173">
        <v>77871.275812968903</v>
      </c>
      <c r="E46" s="160" t="s">
        <v>8</v>
      </c>
      <c r="F46" s="162" t="s">
        <v>70</v>
      </c>
    </row>
    <row r="47" spans="1:16" ht="28.8" x14ac:dyDescent="0.3">
      <c r="A47" s="160" t="s">
        <v>75</v>
      </c>
      <c r="B47" s="160" t="s">
        <v>24</v>
      </c>
      <c r="C47" s="160" t="s">
        <v>42</v>
      </c>
      <c r="D47" s="173">
        <v>76712.124567900901</v>
      </c>
      <c r="E47" s="160" t="s">
        <v>8</v>
      </c>
      <c r="F47" s="162" t="s">
        <v>72</v>
      </c>
    </row>
    <row r="48" spans="1:16" x14ac:dyDescent="0.3">
      <c r="A48" s="160" t="s">
        <v>76</v>
      </c>
      <c r="B48" s="160" t="s">
        <v>24</v>
      </c>
      <c r="C48" s="160" t="s">
        <v>42</v>
      </c>
      <c r="D48" s="173">
        <v>43018.019512899802</v>
      </c>
      <c r="E48" s="160" t="s">
        <v>8</v>
      </c>
      <c r="F48" s="162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77734375" style="151" customWidth="1"/>
    <col min="2" max="2" width="21" style="151" customWidth="1"/>
    <col min="3" max="3" width="22.77734375" style="151" customWidth="1"/>
    <col min="4" max="4" width="36.21875" style="151" customWidth="1"/>
    <col min="5" max="5" width="22.77734375" style="151" customWidth="1"/>
    <col min="6" max="6" width="38.21875" style="151" customWidth="1"/>
    <col min="7" max="7" width="5.21875" style="151" customWidth="1"/>
    <col min="8" max="8" width="22.77734375" style="151" customWidth="1"/>
    <col min="9" max="9" width="15.21875" style="151" customWidth="1"/>
    <col min="10" max="10" width="22.77734375" style="151" customWidth="1"/>
    <col min="11" max="11" width="15.21875" style="151" customWidth="1"/>
    <col min="12" max="12" width="22.77734375" style="151" customWidth="1"/>
    <col min="13" max="13" width="3.77734375" customWidth="1"/>
    <col min="14" max="14" width="28.21875" bestFit="1" customWidth="1"/>
    <col min="15" max="15" width="16.5546875" bestFit="1" customWidth="1"/>
    <col min="17" max="17" width="13.77734375" bestFit="1" customWidth="1"/>
    <col min="18" max="18" width="16.5546875" bestFit="1" customWidth="1"/>
  </cols>
  <sheetData>
    <row r="1" spans="1:18" ht="23.4" x14ac:dyDescent="0.3">
      <c r="A1" s="252" t="s">
        <v>77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</row>
    <row r="2" spans="1:18" x14ac:dyDescent="0.3">
      <c r="A2" s="246" t="s">
        <v>78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N2" t="s">
        <v>2</v>
      </c>
      <c r="O2" t="s">
        <v>3</v>
      </c>
      <c r="Q2" t="s">
        <v>79</v>
      </c>
    </row>
    <row r="3" spans="1:18" x14ac:dyDescent="0.3">
      <c r="A3" s="247" t="s">
        <v>80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 x14ac:dyDescent="0.3">
      <c r="A4" s="242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N4" t="s">
        <v>10</v>
      </c>
      <c r="O4">
        <v>37</v>
      </c>
      <c r="Q4" t="s">
        <v>82</v>
      </c>
      <c r="R4" s="177">
        <f>SUM(A.Propostas!F6:F118)</f>
        <v>3426065.6302565872</v>
      </c>
    </row>
    <row r="5" spans="1:18" x14ac:dyDescent="0.3">
      <c r="N5" t="s">
        <v>12</v>
      </c>
      <c r="O5">
        <v>1</v>
      </c>
      <c r="Q5" t="s">
        <v>8</v>
      </c>
      <c r="R5">
        <f>COUNTIF(A.Propostas!Z6:Z118,"SIM")</f>
        <v>70</v>
      </c>
    </row>
    <row r="6" spans="1:18" x14ac:dyDescent="0.3">
      <c r="A6" s="152" t="s">
        <v>14</v>
      </c>
      <c r="B6" s="153" t="s">
        <v>83</v>
      </c>
      <c r="C6" s="153" t="s">
        <v>84</v>
      </c>
      <c r="D6" s="153" t="s">
        <v>85</v>
      </c>
      <c r="E6" s="153" t="s">
        <v>18</v>
      </c>
      <c r="F6" s="154" t="s">
        <v>86</v>
      </c>
      <c r="H6" s="248" t="s">
        <v>87</v>
      </c>
      <c r="I6" s="242"/>
      <c r="J6" s="242"/>
      <c r="K6" s="242"/>
      <c r="L6" s="242"/>
      <c r="N6" t="s">
        <v>13</v>
      </c>
      <c r="O6">
        <v>3</v>
      </c>
      <c r="Q6" t="s">
        <v>10</v>
      </c>
      <c r="R6">
        <f>COUNTIF(A.Propostas!Z6:Z118,"NÃO")</f>
        <v>28</v>
      </c>
    </row>
    <row r="7" spans="1:18" ht="21" x14ac:dyDescent="0.3">
      <c r="A7" s="155">
        <f>COUNTA(A.Propostas!B6:B118)</f>
        <v>106</v>
      </c>
      <c r="B7" s="172">
        <f>SUM(A.Propostas!F6:F118)</f>
        <v>3426065.6302565872</v>
      </c>
      <c r="C7" s="172">
        <f>B7/A7</f>
        <v>32321.373870345164</v>
      </c>
      <c r="D7" s="156">
        <f>COUNTIF(A.Propostas!Z6:Z118,"SIM")</f>
        <v>70</v>
      </c>
      <c r="E7" s="156" cm="1">
        <f t="array" ref="E7">SUMPRODUCT(--(MMULT(--ISNUMBER(SEARCH("PENDENTE",A.Propostas!AE6:AI118)),TRANSPOSE(COLUMN(A.Propostas!AE6:AI6)^0))&gt;0))</f>
        <v>8</v>
      </c>
      <c r="F7" s="157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49" t="s">
        <v>88</v>
      </c>
      <c r="I7" s="242"/>
      <c r="J7" s="242"/>
      <c r="K7" s="242"/>
      <c r="L7" s="242"/>
      <c r="Q7" t="s">
        <v>21</v>
      </c>
      <c r="R7">
        <f>COUNTIF(A.Propostas!Z6:Z118,"KAIZEN PLANO DE CORTE")</f>
        <v>0</v>
      </c>
    </row>
    <row r="8" spans="1:18" x14ac:dyDescent="0.3">
      <c r="H8" s="242"/>
      <c r="I8" s="242"/>
      <c r="J8" s="242"/>
      <c r="K8" s="242"/>
      <c r="L8" s="242"/>
    </row>
    <row r="9" spans="1:18" x14ac:dyDescent="0.3">
      <c r="N9" t="s">
        <v>23</v>
      </c>
      <c r="O9" t="s">
        <v>4</v>
      </c>
    </row>
    <row r="10" spans="1:18" x14ac:dyDescent="0.3">
      <c r="A10" s="243" t="s">
        <v>89</v>
      </c>
      <c r="B10" s="242"/>
      <c r="C10" s="242"/>
      <c r="D10" s="242"/>
      <c r="E10" s="242"/>
      <c r="F10" s="242"/>
      <c r="H10" s="243" t="s">
        <v>26</v>
      </c>
      <c r="I10" s="242"/>
      <c r="J10" s="242"/>
      <c r="K10" s="242"/>
      <c r="L10" s="242"/>
      <c r="N10" t="s">
        <v>24</v>
      </c>
      <c r="O10" s="149">
        <v>1894286.455803545</v>
      </c>
    </row>
    <row r="11" spans="1:18" x14ac:dyDescent="0.3">
      <c r="A11" s="159" t="s">
        <v>29</v>
      </c>
      <c r="B11" s="159" t="s">
        <v>23</v>
      </c>
      <c r="C11" s="159" t="s">
        <v>30</v>
      </c>
      <c r="D11" s="159" t="s">
        <v>2</v>
      </c>
      <c r="E11" s="159" t="s">
        <v>90</v>
      </c>
      <c r="F11" s="159" t="s">
        <v>91</v>
      </c>
      <c r="H11" s="159" t="s">
        <v>23</v>
      </c>
      <c r="I11" s="159" t="s">
        <v>3</v>
      </c>
      <c r="J11" s="159" t="s">
        <v>4</v>
      </c>
      <c r="K11" s="159" t="s">
        <v>92</v>
      </c>
      <c r="L11" s="159" t="s">
        <v>33</v>
      </c>
      <c r="N11" t="s">
        <v>27</v>
      </c>
      <c r="O11" s="177">
        <v>987200.72000000009</v>
      </c>
    </row>
    <row r="12" spans="1:18" ht="28.8" x14ac:dyDescent="0.3">
      <c r="A12" s="160" t="s">
        <v>35</v>
      </c>
      <c r="B12" s="160" t="s">
        <v>27</v>
      </c>
      <c r="C12" s="160" t="s">
        <v>36</v>
      </c>
      <c r="D12" s="160" t="s">
        <v>8</v>
      </c>
      <c r="E12" s="173">
        <v>223577.79</v>
      </c>
      <c r="F12" s="162" t="s">
        <v>93</v>
      </c>
      <c r="H12" s="160" t="s">
        <v>24</v>
      </c>
      <c r="I12" s="160">
        <v>80</v>
      </c>
      <c r="J12" s="173">
        <v>1894286.455803545</v>
      </c>
      <c r="K12" s="166">
        <v>0.56029157842367183</v>
      </c>
      <c r="L12" s="173">
        <v>23678.580697544312</v>
      </c>
      <c r="N12" t="s">
        <v>34</v>
      </c>
      <c r="O12" s="177">
        <v>499406.86</v>
      </c>
    </row>
    <row r="13" spans="1:18" ht="43.2" x14ac:dyDescent="0.3">
      <c r="A13" s="160" t="s">
        <v>38</v>
      </c>
      <c r="B13" s="160" t="s">
        <v>27</v>
      </c>
      <c r="C13" s="160" t="s">
        <v>39</v>
      </c>
      <c r="D13" s="160" t="s">
        <v>8</v>
      </c>
      <c r="E13" s="173">
        <v>214301.81</v>
      </c>
      <c r="F13" s="162" t="s">
        <v>94</v>
      </c>
      <c r="H13" s="160" t="s">
        <v>27</v>
      </c>
      <c r="I13" s="160">
        <v>12</v>
      </c>
      <c r="J13" s="173">
        <v>987200.72000000009</v>
      </c>
      <c r="K13" s="166">
        <v>0.29199398429692885</v>
      </c>
      <c r="L13" s="173">
        <v>82266.726666666669</v>
      </c>
      <c r="N13" t="s">
        <v>37</v>
      </c>
      <c r="O13" s="177">
        <v>0</v>
      </c>
    </row>
    <row r="14" spans="1:18" x14ac:dyDescent="0.3">
      <c r="A14" s="160" t="s">
        <v>40</v>
      </c>
      <c r="B14" s="160" t="s">
        <v>27</v>
      </c>
      <c r="C14" s="160" t="s">
        <v>39</v>
      </c>
      <c r="D14" s="160" t="s">
        <v>8</v>
      </c>
      <c r="E14" s="173">
        <v>190474.65</v>
      </c>
      <c r="F14" s="162" t="s">
        <v>95</v>
      </c>
      <c r="H14" s="160" t="s">
        <v>34</v>
      </c>
      <c r="I14" s="160">
        <v>8</v>
      </c>
      <c r="J14" s="173">
        <v>499406.86</v>
      </c>
      <c r="K14" s="166">
        <v>0.14771443727940003</v>
      </c>
      <c r="L14" s="173">
        <v>62425.857499999998</v>
      </c>
      <c r="O14" s="177"/>
    </row>
    <row r="15" spans="1:18" ht="28.8" x14ac:dyDescent="0.3">
      <c r="A15" s="160" t="s">
        <v>41</v>
      </c>
      <c r="B15" s="160" t="s">
        <v>24</v>
      </c>
      <c r="C15" s="160" t="s">
        <v>42</v>
      </c>
      <c r="D15" s="160" t="s">
        <v>8</v>
      </c>
      <c r="E15" s="173">
        <v>168140.89131840001</v>
      </c>
      <c r="F15" s="162" t="s">
        <v>96</v>
      </c>
      <c r="H15" s="163" t="s">
        <v>37</v>
      </c>
      <c r="I15" s="163">
        <v>3</v>
      </c>
      <c r="J15" s="174">
        <v>0</v>
      </c>
      <c r="K15" s="167">
        <v>0</v>
      </c>
      <c r="L15" s="174">
        <v>0</v>
      </c>
      <c r="O15" s="177"/>
    </row>
    <row r="16" spans="1:18" x14ac:dyDescent="0.3">
      <c r="A16" s="160" t="s">
        <v>44</v>
      </c>
      <c r="B16" s="160" t="s">
        <v>24</v>
      </c>
      <c r="C16" s="160" t="s">
        <v>45</v>
      </c>
      <c r="D16" s="160" t="s">
        <v>10</v>
      </c>
      <c r="E16" s="173">
        <v>167489.2253125</v>
      </c>
      <c r="F16" s="162"/>
      <c r="J16" s="175"/>
      <c r="K16" s="158"/>
      <c r="L16" s="175"/>
      <c r="N16" t="s">
        <v>30</v>
      </c>
      <c r="O16" s="177" t="s">
        <v>4</v>
      </c>
    </row>
    <row r="17" spans="1:15" x14ac:dyDescent="0.3">
      <c r="A17" s="160" t="s">
        <v>46</v>
      </c>
      <c r="B17" s="160" t="s">
        <v>34</v>
      </c>
      <c r="C17" s="160" t="s">
        <v>42</v>
      </c>
      <c r="D17" s="160" t="s">
        <v>8</v>
      </c>
      <c r="E17" s="173">
        <v>128107.04</v>
      </c>
      <c r="F17" s="162"/>
      <c r="N17" t="s">
        <v>42</v>
      </c>
      <c r="O17" s="177">
        <v>1390523.5442530026</v>
      </c>
    </row>
    <row r="18" spans="1:15" x14ac:dyDescent="0.3">
      <c r="A18" s="160" t="s">
        <v>47</v>
      </c>
      <c r="B18" s="160" t="s">
        <v>27</v>
      </c>
      <c r="C18" s="160" t="s">
        <v>36</v>
      </c>
      <c r="D18" s="160" t="s">
        <v>8</v>
      </c>
      <c r="E18" s="173">
        <v>117470.3</v>
      </c>
      <c r="F18" s="162" t="s">
        <v>97</v>
      </c>
      <c r="N18" t="s">
        <v>39</v>
      </c>
      <c r="O18" s="177">
        <v>998683.29479479801</v>
      </c>
    </row>
    <row r="19" spans="1:15" x14ac:dyDescent="0.3">
      <c r="A19" s="160" t="s">
        <v>48</v>
      </c>
      <c r="B19" s="160" t="s">
        <v>34</v>
      </c>
      <c r="C19" s="160" t="s">
        <v>49</v>
      </c>
      <c r="D19" s="160" t="s">
        <v>8</v>
      </c>
      <c r="E19" s="173">
        <v>115000</v>
      </c>
      <c r="F19" s="162" t="s">
        <v>98</v>
      </c>
      <c r="N19" t="s">
        <v>36</v>
      </c>
      <c r="O19" s="177">
        <v>341048.09</v>
      </c>
    </row>
    <row r="20" spans="1:15" ht="28.8" x14ac:dyDescent="0.3">
      <c r="A20" s="160" t="s">
        <v>50</v>
      </c>
      <c r="B20" s="160" t="s">
        <v>24</v>
      </c>
      <c r="C20" s="160" t="s">
        <v>42</v>
      </c>
      <c r="D20" s="160" t="s">
        <v>8</v>
      </c>
      <c r="E20" s="173">
        <v>113701.832244</v>
      </c>
      <c r="F20" s="162" t="s">
        <v>96</v>
      </c>
      <c r="N20" t="s">
        <v>45</v>
      </c>
      <c r="O20" s="177">
        <v>194339.68058881108</v>
      </c>
    </row>
    <row r="21" spans="1:15" x14ac:dyDescent="0.3">
      <c r="A21" s="163" t="s">
        <v>52</v>
      </c>
      <c r="B21" s="163" t="s">
        <v>24</v>
      </c>
      <c r="C21" s="163" t="s">
        <v>51</v>
      </c>
      <c r="D21" s="163" t="s">
        <v>10</v>
      </c>
      <c r="E21" s="174">
        <v>113597.5197055</v>
      </c>
      <c r="F21" s="165"/>
      <c r="N21" t="s">
        <v>51</v>
      </c>
      <c r="O21" s="177">
        <v>164779.96956508717</v>
      </c>
    </row>
    <row r="22" spans="1:15" x14ac:dyDescent="0.3">
      <c r="N22" t="s">
        <v>49</v>
      </c>
      <c r="O22" s="177">
        <v>115000</v>
      </c>
    </row>
    <row r="23" spans="1:15" x14ac:dyDescent="0.3">
      <c r="J23" s="175"/>
      <c r="K23" s="158"/>
      <c r="L23" s="175"/>
      <c r="N23" t="s">
        <v>53</v>
      </c>
      <c r="O23" s="177">
        <v>105555.86660184528</v>
      </c>
    </row>
    <row r="24" spans="1:15" x14ac:dyDescent="0.3">
      <c r="J24" s="175"/>
      <c r="K24" s="158"/>
      <c r="L24" s="175"/>
      <c r="N24" t="s">
        <v>54</v>
      </c>
      <c r="O24" s="177">
        <v>70963.59</v>
      </c>
    </row>
    <row r="25" spans="1:15" x14ac:dyDescent="0.3">
      <c r="A25" s="243" t="s">
        <v>99</v>
      </c>
      <c r="B25" s="242"/>
      <c r="C25" s="242"/>
      <c r="D25" s="242"/>
      <c r="E25" s="242"/>
      <c r="F25" s="242"/>
      <c r="H25" s="243" t="s">
        <v>100</v>
      </c>
      <c r="I25" s="242"/>
      <c r="J25" s="250"/>
      <c r="K25" s="251"/>
      <c r="L25" s="250"/>
      <c r="O25" s="177"/>
    </row>
    <row r="26" spans="1:15" x14ac:dyDescent="0.3">
      <c r="A26" s="168" t="s">
        <v>101</v>
      </c>
      <c r="B26" s="168" t="s">
        <v>3</v>
      </c>
      <c r="C26" s="168" t="s">
        <v>102</v>
      </c>
      <c r="D26" s="168" t="s">
        <v>103</v>
      </c>
      <c r="H26" s="159" t="s">
        <v>43</v>
      </c>
      <c r="I26" s="159" t="s">
        <v>3</v>
      </c>
      <c r="J26" s="176" t="s">
        <v>4</v>
      </c>
      <c r="K26" s="178" t="s">
        <v>92</v>
      </c>
      <c r="L26" s="176" t="s">
        <v>33</v>
      </c>
      <c r="O26" s="177"/>
    </row>
    <row r="27" spans="1:15" ht="43.2" x14ac:dyDescent="0.3">
      <c r="A27" s="160" t="s">
        <v>86</v>
      </c>
      <c r="B27" s="160">
        <v>0</v>
      </c>
      <c r="C27" s="173">
        <v>0</v>
      </c>
      <c r="D27" s="162" t="s">
        <v>104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O27" s="177"/>
    </row>
    <row r="28" spans="1:15" ht="43.2" x14ac:dyDescent="0.3">
      <c r="A28" s="160" t="s">
        <v>105</v>
      </c>
      <c r="B28" s="160">
        <v>16</v>
      </c>
      <c r="C28" s="173">
        <v>903321.84923620953</v>
      </c>
      <c r="D28" s="162" t="s">
        <v>106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O28" s="177"/>
    </row>
    <row r="29" spans="1:15" ht="28.8" x14ac:dyDescent="0.3">
      <c r="A29" s="160" t="s">
        <v>107</v>
      </c>
      <c r="B29" s="160">
        <v>6</v>
      </c>
      <c r="C29" s="173">
        <v>438060.56041410612</v>
      </c>
      <c r="D29" s="162" t="s">
        <v>108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O29" s="177"/>
    </row>
    <row r="30" spans="1:15" ht="43.2" x14ac:dyDescent="0.3">
      <c r="A30" s="163" t="s">
        <v>109</v>
      </c>
      <c r="B30" s="163">
        <v>3</v>
      </c>
      <c r="C30" s="174">
        <v>0</v>
      </c>
      <c r="D30" s="165" t="s">
        <v>110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O30" s="177"/>
    </row>
    <row r="31" spans="1:15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O31" s="177"/>
    </row>
    <row r="32" spans="1:15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O32" s="177"/>
    </row>
    <row r="33" spans="1:15" x14ac:dyDescent="0.3">
      <c r="A33" s="243" t="s">
        <v>111</v>
      </c>
      <c r="B33" s="242"/>
      <c r="C33" s="242"/>
      <c r="D33" s="242"/>
      <c r="E33" s="242"/>
      <c r="F33" s="242"/>
      <c r="H33" s="160" t="s">
        <v>53</v>
      </c>
      <c r="I33" s="160">
        <v>6</v>
      </c>
      <c r="J33" s="161">
        <v>105555.86660184528</v>
      </c>
      <c r="K33" s="166">
        <v>3.1221288062865196E-2</v>
      </c>
      <c r="L33" s="161">
        <v>17592.644433640879</v>
      </c>
      <c r="O33" s="177"/>
    </row>
    <row r="34" spans="1:15" x14ac:dyDescent="0.3">
      <c r="A34" s="169" t="s">
        <v>29</v>
      </c>
      <c r="B34" s="169" t="s">
        <v>23</v>
      </c>
      <c r="C34" s="169" t="s">
        <v>30</v>
      </c>
      <c r="D34" s="169" t="s">
        <v>112</v>
      </c>
      <c r="E34" s="169" t="s">
        <v>4</v>
      </c>
      <c r="F34" s="169" t="s">
        <v>69</v>
      </c>
      <c r="H34" s="160" t="s">
        <v>54</v>
      </c>
      <c r="I34" s="160">
        <v>2</v>
      </c>
      <c r="J34" s="161">
        <v>70963.59</v>
      </c>
      <c r="K34" s="166">
        <v>2.0989593062810667E-2</v>
      </c>
      <c r="L34" s="161">
        <v>35481.794999999998</v>
      </c>
      <c r="O34" s="177"/>
    </row>
    <row r="35" spans="1:15" x14ac:dyDescent="0.3">
      <c r="A35" s="160" t="s">
        <v>41</v>
      </c>
      <c r="B35" s="160" t="s">
        <v>24</v>
      </c>
      <c r="C35" s="160" t="s">
        <v>42</v>
      </c>
      <c r="D35" s="170" t="s">
        <v>113</v>
      </c>
      <c r="E35" s="173">
        <v>168140.89131840001</v>
      </c>
      <c r="F35" s="162" t="s">
        <v>114</v>
      </c>
      <c r="H35" s="163" t="s">
        <v>115</v>
      </c>
      <c r="I35" s="163">
        <v>1</v>
      </c>
      <c r="J35" s="164">
        <v>0</v>
      </c>
      <c r="K35" s="167">
        <v>0</v>
      </c>
      <c r="L35" s="164">
        <v>0</v>
      </c>
      <c r="O35" s="177"/>
    </row>
    <row r="36" spans="1:15" x14ac:dyDescent="0.3">
      <c r="A36" s="160" t="s">
        <v>47</v>
      </c>
      <c r="B36" s="160" t="s">
        <v>27</v>
      </c>
      <c r="C36" s="160" t="s">
        <v>36</v>
      </c>
      <c r="D36" s="170" t="s">
        <v>116</v>
      </c>
      <c r="E36" s="173">
        <v>117470.3</v>
      </c>
      <c r="F36" s="162" t="s">
        <v>114</v>
      </c>
      <c r="O36" s="177"/>
    </row>
    <row r="37" spans="1:15" x14ac:dyDescent="0.3">
      <c r="A37" s="160" t="s">
        <v>50</v>
      </c>
      <c r="B37" s="160" t="s">
        <v>24</v>
      </c>
      <c r="C37" s="160" t="s">
        <v>42</v>
      </c>
      <c r="D37" s="170" t="s">
        <v>113</v>
      </c>
      <c r="E37" s="173">
        <v>113701.832244</v>
      </c>
      <c r="F37" s="162" t="s">
        <v>114</v>
      </c>
      <c r="O37" s="177"/>
    </row>
    <row r="38" spans="1:15" x14ac:dyDescent="0.3">
      <c r="A38" s="160" t="s">
        <v>71</v>
      </c>
      <c r="B38" s="160" t="s">
        <v>24</v>
      </c>
      <c r="C38" s="160" t="s">
        <v>42</v>
      </c>
      <c r="D38" s="170" t="s">
        <v>117</v>
      </c>
      <c r="E38" s="173">
        <v>110915.64340784001</v>
      </c>
      <c r="F38" s="162" t="s">
        <v>114</v>
      </c>
      <c r="O38" s="177"/>
    </row>
    <row r="39" spans="1:15" x14ac:dyDescent="0.3">
      <c r="A39" s="160" t="s">
        <v>73</v>
      </c>
      <c r="B39" s="160" t="s">
        <v>24</v>
      </c>
      <c r="C39" s="160" t="s">
        <v>42</v>
      </c>
      <c r="D39" s="170" t="s">
        <v>118</v>
      </c>
      <c r="E39" s="173">
        <v>96985.81</v>
      </c>
      <c r="F39" s="162" t="s">
        <v>114</v>
      </c>
      <c r="O39" s="177"/>
    </row>
    <row r="40" spans="1:15" x14ac:dyDescent="0.3">
      <c r="A40" s="160" t="s">
        <v>74</v>
      </c>
      <c r="B40" s="160" t="s">
        <v>24</v>
      </c>
      <c r="C40" s="160" t="s">
        <v>42</v>
      </c>
      <c r="D40" s="170" t="s">
        <v>113</v>
      </c>
      <c r="E40" s="173">
        <v>77871.275812968903</v>
      </c>
      <c r="F40" s="162" t="s">
        <v>114</v>
      </c>
      <c r="O40" s="177"/>
    </row>
    <row r="41" spans="1:15" x14ac:dyDescent="0.3">
      <c r="A41" s="160" t="s">
        <v>75</v>
      </c>
      <c r="B41" s="160" t="s">
        <v>24</v>
      </c>
      <c r="C41" s="160" t="s">
        <v>42</v>
      </c>
      <c r="D41" s="170" t="s">
        <v>118</v>
      </c>
      <c r="E41" s="173">
        <v>76712.124567900901</v>
      </c>
      <c r="F41" s="162" t="s">
        <v>114</v>
      </c>
    </row>
    <row r="42" spans="1:15" x14ac:dyDescent="0.3">
      <c r="A42" s="163" t="s">
        <v>76</v>
      </c>
      <c r="B42" s="163" t="s">
        <v>24</v>
      </c>
      <c r="C42" s="163" t="s">
        <v>42</v>
      </c>
      <c r="D42" s="171" t="s">
        <v>113</v>
      </c>
      <c r="E42" s="174">
        <v>43018.019512899802</v>
      </c>
      <c r="F42" s="165" t="s">
        <v>114</v>
      </c>
      <c r="O42" s="177"/>
    </row>
    <row r="43" spans="1:15" x14ac:dyDescent="0.3">
      <c r="O43" s="177"/>
    </row>
    <row r="44" spans="1:15" x14ac:dyDescent="0.3">
      <c r="O44" s="177"/>
    </row>
    <row r="45" spans="1:15" x14ac:dyDescent="0.3">
      <c r="O45" s="177"/>
    </row>
    <row r="46" spans="1:15" x14ac:dyDescent="0.3">
      <c r="O46" s="177"/>
    </row>
    <row r="47" spans="1:15" x14ac:dyDescent="0.3">
      <c r="O47" s="177"/>
    </row>
    <row r="48" spans="1:15" x14ac:dyDescent="0.3">
      <c r="O48" s="177"/>
    </row>
    <row r="49" spans="15:15" x14ac:dyDescent="0.3">
      <c r="O49" s="177"/>
    </row>
    <row r="50" spans="15:15" x14ac:dyDescent="0.3">
      <c r="O50" s="177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6.21875" style="143" customWidth="1"/>
    <col min="37" max="37" width="16.44140625" bestFit="1" customWidth="1"/>
    <col min="38" max="38" width="14.77734375" hidden="1" customWidth="1"/>
    <col min="39" max="39" width="43.777343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 x14ac:dyDescent="0.3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x14ac:dyDescent="0.3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x14ac:dyDescent="0.3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x14ac:dyDescent="0.3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>
    <pageSetUpPr fitToPage="1"/>
  </sheetPr>
  <dimension ref="A1:AN118"/>
  <sheetViews>
    <sheetView showGridLines="0" tabSelected="1" zoomScale="70" zoomScaleNormal="70" workbookViewId="0">
      <pane xSplit="2" ySplit="5" topLeftCell="AC98" activePane="bottomRight" state="frozen"/>
      <selection pane="topRight" activeCell="B1" sqref="B1"/>
      <selection pane="bottomLeft" activeCell="A6" sqref="A6"/>
      <selection pane="bottomRight" activeCell="AG105" sqref="AG104:AG105"/>
    </sheetView>
  </sheetViews>
  <sheetFormatPr defaultColWidth="9.21875" defaultRowHeight="15" customHeight="1" outlineLevelCol="1" x14ac:dyDescent="0.3"/>
  <cols>
    <col min="1" max="1" width="27.77734375" customWidth="1"/>
    <col min="2" max="3" width="22.5546875" customWidth="1"/>
    <col min="4" max="4" width="44.44140625" customWidth="1"/>
    <col min="5" max="5" width="14.2187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77734375" customWidth="1" outlineLevel="1"/>
    <col min="11" max="11" width="18.77734375" customWidth="1" outlineLevel="1"/>
    <col min="12" max="12" width="48.21875" customWidth="1" outlineLevel="1"/>
    <col min="13" max="13" width="3" customWidth="1"/>
    <col min="14" max="14" width="23.77734375" customWidth="1" outlineLevel="1"/>
    <col min="15" max="15" width="30.5546875" customWidth="1" outlineLevel="1"/>
    <col min="16" max="16" width="3" customWidth="1"/>
    <col min="17" max="17" width="22.44140625" hidden="1" customWidth="1" outlineLevel="1"/>
    <col min="18" max="18" width="27" hidden="1" customWidth="1" outlineLevel="1"/>
    <col min="19" max="19" width="3" customWidth="1" collapsed="1"/>
    <col min="20" max="20" width="20.7773437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77734375" style="96" customWidth="1" outlineLevel="1"/>
    <col min="27" max="27" width="37.109375" bestFit="1" customWidth="1" outlineLevel="1"/>
    <col min="28" max="32" width="26.5546875" style="96" customWidth="1" outlineLevel="1"/>
    <col min="33" max="34" width="31.21875" style="96" customWidth="1" outlineLevel="1"/>
    <col min="35" max="35" width="32.5546875" style="96" customWidth="1" outlineLevel="1"/>
    <col min="36" max="36" width="43.33203125" style="96" bestFit="1" customWidth="1" outlineLevel="1"/>
    <col min="37" max="37" width="133.77734375" style="96" bestFit="1" customWidth="1" outlineLevel="1"/>
    <col min="39" max="39" width="21.44140625" hidden="1" customWidth="1"/>
  </cols>
  <sheetData>
    <row r="1" spans="1:39" ht="24" thickBot="1" x14ac:dyDescent="0.5">
      <c r="M1" s="97"/>
      <c r="X1" s="97"/>
      <c r="AM1" t="s">
        <v>8</v>
      </c>
    </row>
    <row r="2" spans="1:39" ht="14.85" customHeight="1" x14ac:dyDescent="0.45">
      <c r="A2" s="128"/>
      <c r="B2" s="128" t="s">
        <v>1625</v>
      </c>
      <c r="C2" s="129"/>
      <c r="D2" s="129"/>
      <c r="E2" s="129"/>
      <c r="F2" s="129"/>
      <c r="G2" s="129"/>
      <c r="H2" s="129"/>
      <c r="I2" s="97"/>
      <c r="J2" s="128"/>
      <c r="K2" s="129"/>
      <c r="L2" s="130"/>
      <c r="M2" s="97"/>
      <c r="N2" s="128"/>
      <c r="O2" s="130"/>
      <c r="P2" s="97"/>
      <c r="Q2" s="203"/>
      <c r="R2" s="204"/>
      <c r="S2" s="97"/>
      <c r="T2" s="128"/>
      <c r="U2" s="129"/>
      <c r="V2" s="129"/>
      <c r="W2" s="130"/>
      <c r="X2" s="97"/>
      <c r="Y2" s="227" t="s">
        <v>1626</v>
      </c>
      <c r="Z2" s="228"/>
      <c r="AA2" s="228"/>
      <c r="AB2" s="228"/>
      <c r="AC2" s="228"/>
      <c r="AD2" s="228"/>
      <c r="AE2" s="228"/>
      <c r="AF2" s="228"/>
      <c r="AG2" s="228"/>
      <c r="AH2" s="228"/>
      <c r="AI2" s="228"/>
      <c r="AJ2" s="228"/>
      <c r="AK2" s="228"/>
      <c r="AM2" t="s">
        <v>10</v>
      </c>
    </row>
    <row r="3" spans="1:39" ht="15" customHeight="1" thickBot="1" x14ac:dyDescent="0.5">
      <c r="A3" s="131"/>
      <c r="B3" s="131"/>
      <c r="C3" s="132"/>
      <c r="D3" s="132"/>
      <c r="E3" s="132"/>
      <c r="F3" s="132"/>
      <c r="G3" s="132"/>
      <c r="H3" s="132"/>
      <c r="I3" s="97"/>
      <c r="J3" s="131"/>
      <c r="K3" s="132"/>
      <c r="L3" s="133"/>
      <c r="M3" s="97"/>
      <c r="N3" s="200"/>
      <c r="O3" s="201"/>
      <c r="P3" s="97"/>
      <c r="Q3" s="134"/>
      <c r="R3" s="136"/>
      <c r="S3" s="97"/>
      <c r="T3" s="131"/>
      <c r="U3" s="132"/>
      <c r="V3" s="132"/>
      <c r="W3" s="133"/>
      <c r="X3" s="97"/>
      <c r="Y3" s="229"/>
      <c r="Z3" s="230"/>
      <c r="AA3" s="230"/>
      <c r="AB3" s="230"/>
      <c r="AC3" s="230"/>
      <c r="AD3" s="230"/>
      <c r="AE3" s="230"/>
      <c r="AF3" s="231"/>
      <c r="AG3" s="231"/>
      <c r="AH3" s="231"/>
      <c r="AI3" s="230"/>
      <c r="AJ3" s="231"/>
      <c r="AK3" s="230"/>
      <c r="AM3" t="s">
        <v>1627</v>
      </c>
    </row>
    <row r="4" spans="1:39" s="98" customFormat="1" ht="24" thickBot="1" x14ac:dyDescent="0.5">
      <c r="A4" s="134"/>
      <c r="B4" s="134" t="s">
        <v>1628</v>
      </c>
      <c r="C4" s="135"/>
      <c r="D4" s="135"/>
      <c r="E4" s="135"/>
      <c r="F4" s="135"/>
      <c r="G4" s="135"/>
      <c r="H4" s="136"/>
      <c r="I4" s="97"/>
      <c r="J4" s="238" t="s">
        <v>1629</v>
      </c>
      <c r="K4" s="239"/>
      <c r="L4" s="240"/>
      <c r="M4" s="97"/>
      <c r="N4" s="238" t="s">
        <v>1630</v>
      </c>
      <c r="O4" s="240"/>
      <c r="P4" s="97"/>
      <c r="Q4" s="238" t="s">
        <v>1631</v>
      </c>
      <c r="R4" s="240"/>
      <c r="S4" s="97"/>
      <c r="T4" s="238" t="s">
        <v>1632</v>
      </c>
      <c r="U4" s="239"/>
      <c r="V4" s="239"/>
      <c r="W4" s="240"/>
      <c r="X4" s="97"/>
      <c r="Y4" s="146" t="s">
        <v>1633</v>
      </c>
      <c r="Z4" s="146" t="s">
        <v>1634</v>
      </c>
      <c r="AA4" s="146" t="s">
        <v>1634</v>
      </c>
      <c r="AB4" s="146" t="s">
        <v>1634</v>
      </c>
      <c r="AC4" s="146" t="s">
        <v>1634</v>
      </c>
      <c r="AD4" s="146" t="s">
        <v>1634</v>
      </c>
      <c r="AE4" s="145" t="s">
        <v>1635</v>
      </c>
      <c r="AF4" s="147" t="s">
        <v>1634</v>
      </c>
      <c r="AG4" s="145" t="s">
        <v>1634</v>
      </c>
      <c r="AH4" s="145" t="s">
        <v>1634</v>
      </c>
      <c r="AI4" s="144" t="s">
        <v>1636</v>
      </c>
      <c r="AJ4" s="145" t="s">
        <v>1846</v>
      </c>
      <c r="AK4" s="206" t="s">
        <v>1637</v>
      </c>
      <c r="AM4" t="s">
        <v>13</v>
      </c>
    </row>
    <row r="5" spans="1:39" ht="78.45" customHeight="1" x14ac:dyDescent="0.3">
      <c r="A5" s="193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8" t="s">
        <v>1649</v>
      </c>
      <c r="O5" s="199" t="s">
        <v>1650</v>
      </c>
      <c r="Q5" s="202" t="s">
        <v>1651</v>
      </c>
      <c r="R5" s="199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40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7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7" t="s">
        <v>1847</v>
      </c>
      <c r="AK5" s="107" t="s">
        <v>1668</v>
      </c>
    </row>
    <row r="6" spans="1:39" ht="44.25" customHeight="1" x14ac:dyDescent="0.3">
      <c r="A6" s="108"/>
      <c r="B6" s="108" t="s">
        <v>38</v>
      </c>
      <c r="C6" s="108"/>
      <c r="D6" s="214" t="s">
        <v>1669</v>
      </c>
      <c r="E6" s="215">
        <v>289</v>
      </c>
      <c r="F6" s="223">
        <v>150216.35999999999</v>
      </c>
      <c r="G6" s="108" t="s">
        <v>27</v>
      </c>
      <c r="H6" s="110" t="s">
        <v>39</v>
      </c>
      <c r="J6" s="111">
        <v>12.25</v>
      </c>
      <c r="K6" s="112" t="s">
        <v>940</v>
      </c>
      <c r="L6" s="113" t="s">
        <v>1670</v>
      </c>
      <c r="N6" s="112" t="s">
        <v>1671</v>
      </c>
      <c r="O6" s="114" t="s">
        <v>1672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1673</v>
      </c>
      <c r="Z6" s="108" t="s">
        <v>8</v>
      </c>
      <c r="AA6" s="123">
        <v>46238</v>
      </c>
      <c r="AB6" s="123">
        <v>46252</v>
      </c>
      <c r="AC6" s="123" t="s">
        <v>1674</v>
      </c>
      <c r="AD6" s="123" t="s">
        <v>1843</v>
      </c>
      <c r="AE6" s="108" t="s">
        <v>12</v>
      </c>
      <c r="AF6" s="108" t="s">
        <v>12</v>
      </c>
      <c r="AG6" s="123"/>
      <c r="AH6" s="123"/>
      <c r="AI6" s="108"/>
      <c r="AJ6" s="108" t="s">
        <v>1848</v>
      </c>
      <c r="AK6" s="110" t="s">
        <v>1675</v>
      </c>
    </row>
    <row r="7" spans="1:39" ht="44.1" customHeight="1" x14ac:dyDescent="0.3">
      <c r="A7" s="108"/>
      <c r="B7" s="108" t="s">
        <v>949</v>
      </c>
      <c r="C7" s="108"/>
      <c r="D7" s="214" t="s">
        <v>1676</v>
      </c>
      <c r="E7" s="224">
        <v>283.69</v>
      </c>
      <c r="F7" s="223">
        <v>102925.44</v>
      </c>
      <c r="G7" s="108" t="s">
        <v>27</v>
      </c>
      <c r="H7" s="110" t="s">
        <v>39</v>
      </c>
      <c r="J7" s="111">
        <v>15.75</v>
      </c>
      <c r="K7" s="112" t="s">
        <v>940</v>
      </c>
      <c r="L7" s="113" t="s">
        <v>940</v>
      </c>
      <c r="N7" s="112" t="s">
        <v>1671</v>
      </c>
      <c r="O7" s="114" t="s">
        <v>1677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1673</v>
      </c>
      <c r="Z7" s="108" t="s">
        <v>8</v>
      </c>
      <c r="AA7" s="123">
        <v>46238</v>
      </c>
      <c r="AB7" s="123">
        <v>46259</v>
      </c>
      <c r="AC7" s="123">
        <v>46280</v>
      </c>
      <c r="AD7" s="123" t="s">
        <v>1841</v>
      </c>
      <c r="AE7" s="108" t="s">
        <v>12</v>
      </c>
      <c r="AF7" s="108" t="s">
        <v>12</v>
      </c>
      <c r="AG7" s="123">
        <v>46280</v>
      </c>
      <c r="AH7" s="123">
        <v>46280</v>
      </c>
      <c r="AI7" s="208"/>
      <c r="AJ7" s="108" t="s">
        <v>1861</v>
      </c>
      <c r="AK7" s="110" t="s">
        <v>1678</v>
      </c>
    </row>
    <row r="8" spans="1:39" ht="44.1" customHeight="1" x14ac:dyDescent="0.3">
      <c r="A8" s="108"/>
      <c r="B8" s="108" t="s">
        <v>40</v>
      </c>
      <c r="C8" s="108"/>
      <c r="D8" s="214" t="s">
        <v>1679</v>
      </c>
      <c r="E8" s="215">
        <v>188.3</v>
      </c>
      <c r="F8" s="223">
        <v>190474.65</v>
      </c>
      <c r="G8" s="108" t="s">
        <v>27</v>
      </c>
      <c r="H8" s="110" t="s">
        <v>39</v>
      </c>
      <c r="J8" s="111">
        <v>11.75</v>
      </c>
      <c r="K8" s="112" t="s">
        <v>951</v>
      </c>
      <c r="L8" s="113" t="s">
        <v>963</v>
      </c>
      <c r="N8" s="112" t="s">
        <v>1680</v>
      </c>
      <c r="O8" s="114" t="s">
        <v>1677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1673</v>
      </c>
      <c r="Z8" s="108" t="s">
        <v>8</v>
      </c>
      <c r="AA8" s="123">
        <v>45722</v>
      </c>
      <c r="AB8" s="123">
        <v>46118</v>
      </c>
      <c r="AC8" s="123">
        <v>46140</v>
      </c>
      <c r="AD8" s="123" t="s">
        <v>1842</v>
      </c>
      <c r="AE8" s="108" t="s">
        <v>12</v>
      </c>
      <c r="AF8" s="108" t="s">
        <v>12</v>
      </c>
      <c r="AG8" s="123">
        <v>46262</v>
      </c>
      <c r="AH8" s="123">
        <v>46267</v>
      </c>
      <c r="AI8" s="108" t="s">
        <v>1681</v>
      </c>
      <c r="AJ8" s="108" t="s">
        <v>1861</v>
      </c>
      <c r="AK8" s="108" t="s">
        <v>95</v>
      </c>
    </row>
    <row r="9" spans="1:39" ht="44.1" customHeight="1" x14ac:dyDescent="0.3">
      <c r="A9" s="110" t="s">
        <v>1682</v>
      </c>
      <c r="B9" s="108" t="s">
        <v>41</v>
      </c>
      <c r="C9" s="108" t="s">
        <v>1683</v>
      </c>
      <c r="D9" s="110" t="s">
        <v>1684</v>
      </c>
      <c r="E9" s="108">
        <v>87.74</v>
      </c>
      <c r="F9" s="210">
        <v>168140.89131840027</v>
      </c>
      <c r="G9" s="108" t="s">
        <v>24</v>
      </c>
      <c r="H9" s="110" t="s">
        <v>42</v>
      </c>
      <c r="J9" s="111">
        <f>MID(B9,4,4)/100</f>
        <v>1.8</v>
      </c>
      <c r="K9" s="209" t="s">
        <v>1304</v>
      </c>
      <c r="L9" s="113" t="s">
        <v>1685</v>
      </c>
      <c r="N9" s="119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108" t="s">
        <v>1673</v>
      </c>
      <c r="Z9" s="108" t="s">
        <v>8</v>
      </c>
      <c r="AA9" s="123">
        <v>46093</v>
      </c>
      <c r="AB9" s="123">
        <v>46108</v>
      </c>
      <c r="AC9" s="123">
        <v>46155</v>
      </c>
      <c r="AD9" s="123" t="s">
        <v>1866</v>
      </c>
      <c r="AE9" s="123">
        <v>46231</v>
      </c>
      <c r="AF9" s="123">
        <v>46248</v>
      </c>
      <c r="AG9" s="123">
        <v>46174</v>
      </c>
      <c r="AH9" s="123">
        <v>46174</v>
      </c>
      <c r="AI9" s="123">
        <v>46285</v>
      </c>
      <c r="AJ9" s="123" t="s">
        <v>1856</v>
      </c>
      <c r="AK9" s="148" t="s">
        <v>96</v>
      </c>
    </row>
    <row r="10" spans="1:39" ht="44.1" customHeight="1" x14ac:dyDescent="0.3">
      <c r="A10" s="110" t="s">
        <v>1682</v>
      </c>
      <c r="B10" s="108" t="s">
        <v>44</v>
      </c>
      <c r="C10" s="108" t="s">
        <v>1683</v>
      </c>
      <c r="D10" s="110" t="s">
        <v>1686</v>
      </c>
      <c r="E10" s="108">
        <v>33.04</v>
      </c>
      <c r="F10" s="210">
        <f>76639.7953125005+90849.43</f>
        <v>167489.22531250049</v>
      </c>
      <c r="G10" s="108" t="s">
        <v>24</v>
      </c>
      <c r="H10" s="110" t="s">
        <v>45</v>
      </c>
      <c r="J10" s="111">
        <f>MID(B10,4,4)/100</f>
        <v>1.4</v>
      </c>
      <c r="K10" s="209" t="s">
        <v>1334</v>
      </c>
      <c r="L10" s="113" t="s">
        <v>1687</v>
      </c>
      <c r="N10" s="119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108" t="s">
        <v>1673</v>
      </c>
      <c r="Z10" s="108" t="s">
        <v>8</v>
      </c>
      <c r="AA10" s="123">
        <v>46269</v>
      </c>
      <c r="AB10" s="123">
        <v>46288</v>
      </c>
      <c r="AC10" s="108" t="s">
        <v>1674</v>
      </c>
      <c r="AD10" s="108"/>
      <c r="AE10" s="108" t="s">
        <v>1674</v>
      </c>
      <c r="AF10" s="108"/>
      <c r="AG10" s="108"/>
      <c r="AH10" s="108"/>
      <c r="AI10" s="108"/>
      <c r="AJ10" s="108" t="s">
        <v>1848</v>
      </c>
      <c r="AK10" s="108" t="s">
        <v>1688</v>
      </c>
    </row>
    <row r="11" spans="1:39" ht="44.1" customHeight="1" x14ac:dyDescent="0.3">
      <c r="A11" s="108"/>
      <c r="B11" s="108" t="s">
        <v>35</v>
      </c>
      <c r="C11" s="108"/>
      <c r="D11" s="214" t="s">
        <v>964</v>
      </c>
      <c r="E11" s="108">
        <v>78.8</v>
      </c>
      <c r="F11" s="223">
        <v>223577.79</v>
      </c>
      <c r="G11" s="108" t="s">
        <v>27</v>
      </c>
      <c r="H11" s="110" t="s">
        <v>36</v>
      </c>
      <c r="J11" s="108">
        <v>8</v>
      </c>
      <c r="K11" s="112" t="s">
        <v>940</v>
      </c>
      <c r="L11" s="116" t="s">
        <v>963</v>
      </c>
      <c r="N11" s="121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2" t="s">
        <v>1689</v>
      </c>
      <c r="V11" s="108" t="s">
        <v>1690</v>
      </c>
      <c r="W11" s="122" t="s">
        <v>1691</v>
      </c>
      <c r="Y11" s="108" t="s">
        <v>1673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1866</v>
      </c>
      <c r="AE11" s="108" t="s">
        <v>12</v>
      </c>
      <c r="AF11" s="108" t="s">
        <v>12</v>
      </c>
      <c r="AG11" s="108" t="s">
        <v>12</v>
      </c>
      <c r="AH11" s="123">
        <v>46153</v>
      </c>
      <c r="AI11" s="123">
        <v>46254</v>
      </c>
      <c r="AJ11" s="108" t="s">
        <v>1861</v>
      </c>
      <c r="AK11" s="108" t="s">
        <v>1857</v>
      </c>
    </row>
    <row r="12" spans="1:39" ht="44.1" customHeight="1" x14ac:dyDescent="0.3">
      <c r="A12" s="108"/>
      <c r="B12" s="108" t="s">
        <v>968</v>
      </c>
      <c r="C12" s="108"/>
      <c r="D12" s="214" t="s">
        <v>952</v>
      </c>
      <c r="E12" s="108">
        <v>76.400000000000006</v>
      </c>
      <c r="F12" s="223">
        <v>21403.13</v>
      </c>
      <c r="G12" s="108" t="s">
        <v>27</v>
      </c>
      <c r="H12" s="110" t="s">
        <v>39</v>
      </c>
      <c r="J12" s="108">
        <v>10</v>
      </c>
      <c r="K12" s="112" t="s">
        <v>963</v>
      </c>
      <c r="L12" s="116" t="s">
        <v>963</v>
      </c>
      <c r="N12" s="121" t="s">
        <v>1680</v>
      </c>
      <c r="O12" s="114" t="s">
        <v>1677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123">
        <v>46130</v>
      </c>
      <c r="Z12" s="108" t="s">
        <v>8</v>
      </c>
      <c r="AA12" s="123">
        <v>46136</v>
      </c>
      <c r="AB12" s="123">
        <v>46166</v>
      </c>
      <c r="AC12" s="123">
        <v>46227</v>
      </c>
      <c r="AD12" s="108" t="s">
        <v>1841</v>
      </c>
      <c r="AE12" s="108" t="s">
        <v>12</v>
      </c>
      <c r="AF12" s="108" t="s">
        <v>12</v>
      </c>
      <c r="AG12" s="123">
        <v>46283</v>
      </c>
      <c r="AH12" s="123">
        <v>46289</v>
      </c>
      <c r="AI12" s="108"/>
      <c r="AJ12" s="108" t="s">
        <v>1853</v>
      </c>
      <c r="AK12" s="108" t="s">
        <v>1854</v>
      </c>
    </row>
    <row r="13" spans="1:39" ht="44.1" customHeight="1" x14ac:dyDescent="0.3">
      <c r="A13" s="108"/>
      <c r="B13" s="108" t="s">
        <v>979</v>
      </c>
      <c r="C13" s="108"/>
      <c r="D13" s="214" t="s">
        <v>1692</v>
      </c>
      <c r="E13" s="108">
        <v>67.69</v>
      </c>
      <c r="F13" s="223">
        <v>7443.6</v>
      </c>
      <c r="G13" s="108" t="s">
        <v>27</v>
      </c>
      <c r="H13" s="110" t="s">
        <v>39</v>
      </c>
      <c r="J13" s="111">
        <v>12.75</v>
      </c>
      <c r="K13" s="112" t="s">
        <v>940</v>
      </c>
      <c r="L13" s="113" t="s">
        <v>963</v>
      </c>
      <c r="N13" s="121" t="s">
        <v>1671</v>
      </c>
      <c r="O13" s="114" t="s">
        <v>1677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123">
        <v>46094</v>
      </c>
      <c r="Z13" s="108" t="s">
        <v>8</v>
      </c>
      <c r="AA13" s="123">
        <v>46136</v>
      </c>
      <c r="AB13" s="123">
        <v>46297</v>
      </c>
      <c r="AC13" s="123"/>
      <c r="AD13" s="108" t="s">
        <v>1843</v>
      </c>
      <c r="AE13" s="108" t="s">
        <v>12</v>
      </c>
      <c r="AF13" s="108" t="s">
        <v>12</v>
      </c>
      <c r="AG13" s="108"/>
      <c r="AH13" s="108"/>
      <c r="AI13" s="108"/>
      <c r="AJ13" s="108" t="s">
        <v>1848</v>
      </c>
      <c r="AK13" s="108" t="s">
        <v>1855</v>
      </c>
    </row>
    <row r="14" spans="1:39" ht="44.1" customHeight="1" x14ac:dyDescent="0.3">
      <c r="A14" s="108" t="s">
        <v>1682</v>
      </c>
      <c r="B14" s="108" t="s">
        <v>50</v>
      </c>
      <c r="C14" s="108" t="s">
        <v>1683</v>
      </c>
      <c r="D14" s="214" t="s">
        <v>1693</v>
      </c>
      <c r="E14" s="108">
        <v>59.67</v>
      </c>
      <c r="F14" s="223">
        <v>113701.83224399976</v>
      </c>
      <c r="G14" s="108" t="s">
        <v>24</v>
      </c>
      <c r="H14" s="110" t="s">
        <v>42</v>
      </c>
      <c r="J14" s="111">
        <f>MID(B14,4,4)/100</f>
        <v>1.8</v>
      </c>
      <c r="K14" s="112" t="s">
        <v>1314</v>
      </c>
      <c r="L14" s="113" t="s">
        <v>1685</v>
      </c>
      <c r="N14" s="119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108" t="s">
        <v>1673</v>
      </c>
      <c r="Z14" s="108" t="s">
        <v>8</v>
      </c>
      <c r="AA14" s="123">
        <v>46093</v>
      </c>
      <c r="AB14" s="123">
        <v>46108</v>
      </c>
      <c r="AC14" s="123">
        <v>46155</v>
      </c>
      <c r="AD14" s="108" t="s">
        <v>1866</v>
      </c>
      <c r="AE14" s="123">
        <v>46231</v>
      </c>
      <c r="AF14" s="123">
        <v>46248</v>
      </c>
      <c r="AG14" s="123">
        <v>46174</v>
      </c>
      <c r="AH14" s="123">
        <v>46174</v>
      </c>
      <c r="AI14" s="123">
        <v>46285</v>
      </c>
      <c r="AJ14" s="123" t="s">
        <v>1856</v>
      </c>
      <c r="AK14" s="148" t="s">
        <v>96</v>
      </c>
    </row>
    <row r="15" spans="1:39" ht="44.1" customHeight="1" x14ac:dyDescent="0.3">
      <c r="A15" s="108" t="s">
        <v>1682</v>
      </c>
      <c r="B15" s="108" t="s">
        <v>52</v>
      </c>
      <c r="C15" s="108" t="s">
        <v>1683</v>
      </c>
      <c r="D15" s="214" t="s">
        <v>1694</v>
      </c>
      <c r="E15" s="108">
        <v>36.520000000000003</v>
      </c>
      <c r="F15" s="223">
        <f>66510.6497055+47086.87</f>
        <v>113597.51970550002</v>
      </c>
      <c r="G15" s="108" t="s">
        <v>24</v>
      </c>
      <c r="H15" s="110" t="s">
        <v>51</v>
      </c>
      <c r="J15" s="111">
        <f>MID(B15,4,4)/100</f>
        <v>1.4</v>
      </c>
      <c r="K15" s="112" t="s">
        <v>1322</v>
      </c>
      <c r="L15" s="113" t="s">
        <v>1695</v>
      </c>
      <c r="N15" s="119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108" t="s">
        <v>1673</v>
      </c>
      <c r="Z15" s="108" t="s">
        <v>10</v>
      </c>
      <c r="AA15" s="123" t="s">
        <v>1728</v>
      </c>
      <c r="AB15" s="123" t="s">
        <v>1728</v>
      </c>
      <c r="AC15" s="123" t="s">
        <v>1728</v>
      </c>
      <c r="AD15" s="123" t="s">
        <v>1728</v>
      </c>
      <c r="AE15" s="123" t="s">
        <v>1728</v>
      </c>
      <c r="AF15" s="123" t="s">
        <v>1728</v>
      </c>
      <c r="AG15" s="123" t="s">
        <v>1728</v>
      </c>
      <c r="AH15" s="123" t="s">
        <v>1728</v>
      </c>
      <c r="AI15" s="123" t="s">
        <v>1728</v>
      </c>
      <c r="AJ15" s="123" t="s">
        <v>1728</v>
      </c>
      <c r="AK15" s="108" t="s">
        <v>1844</v>
      </c>
    </row>
    <row r="16" spans="1:39" ht="44.1" customHeight="1" x14ac:dyDescent="0.3">
      <c r="A16" s="110" t="s">
        <v>1682</v>
      </c>
      <c r="B16" s="108" t="s">
        <v>71</v>
      </c>
      <c r="C16" s="108" t="s">
        <v>1683</v>
      </c>
      <c r="D16" s="110" t="s">
        <v>1696</v>
      </c>
      <c r="E16" s="108">
        <v>25.64</v>
      </c>
      <c r="F16" s="210">
        <f>47874.1634078397+63041.48</f>
        <v>110915.6434078397</v>
      </c>
      <c r="G16" s="108" t="s">
        <v>24</v>
      </c>
      <c r="H16" s="110" t="s">
        <v>42</v>
      </c>
      <c r="J16" s="111">
        <f>MID(B16,4,4)/100</f>
        <v>1.8</v>
      </c>
      <c r="K16" s="112" t="s">
        <v>1314</v>
      </c>
      <c r="L16" s="211" t="s">
        <v>1697</v>
      </c>
      <c r="N16" s="119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108" t="s">
        <v>1673</v>
      </c>
      <c r="Z16" s="108" t="s">
        <v>8</v>
      </c>
      <c r="AA16" s="123">
        <v>46093</v>
      </c>
      <c r="AB16" s="123">
        <v>46118</v>
      </c>
      <c r="AC16" s="123">
        <v>46155</v>
      </c>
      <c r="AD16" s="108" t="s">
        <v>1866</v>
      </c>
      <c r="AE16" s="108" t="s">
        <v>12</v>
      </c>
      <c r="AF16" s="108" t="s">
        <v>12</v>
      </c>
      <c r="AG16" s="108" t="s">
        <v>12</v>
      </c>
      <c r="AH16" s="108" t="s">
        <v>12</v>
      </c>
      <c r="AI16" s="123">
        <v>46285</v>
      </c>
      <c r="AJ16" s="148" t="s">
        <v>1860</v>
      </c>
      <c r="AK16" s="148" t="s">
        <v>1858</v>
      </c>
    </row>
    <row r="17" spans="1:38" ht="44.1" customHeight="1" x14ac:dyDescent="0.3">
      <c r="A17" s="108"/>
      <c r="B17" s="108" t="s">
        <v>47</v>
      </c>
      <c r="C17" s="108"/>
      <c r="D17" s="214" t="s">
        <v>863</v>
      </c>
      <c r="E17" s="108">
        <v>52.22</v>
      </c>
      <c r="F17" s="210">
        <v>117470.3</v>
      </c>
      <c r="G17" s="108" t="s">
        <v>27</v>
      </c>
      <c r="H17" s="110" t="s">
        <v>36</v>
      </c>
      <c r="J17" s="108">
        <v>9.75</v>
      </c>
      <c r="K17" s="112" t="s">
        <v>984</v>
      </c>
      <c r="L17" s="116" t="s">
        <v>963</v>
      </c>
      <c r="N17" s="121" t="s">
        <v>1672</v>
      </c>
      <c r="O17" s="114" t="s">
        <v>1699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108" t="s">
        <v>1673</v>
      </c>
      <c r="Z17" s="108" t="s">
        <v>8</v>
      </c>
      <c r="AA17" s="123">
        <v>46162</v>
      </c>
      <c r="AB17" s="123">
        <v>46193</v>
      </c>
      <c r="AC17" s="123">
        <v>46181</v>
      </c>
      <c r="AD17" s="123" t="s">
        <v>1842</v>
      </c>
      <c r="AE17" s="108" t="s">
        <v>12</v>
      </c>
      <c r="AF17" s="108" t="s">
        <v>12</v>
      </c>
      <c r="AG17" s="123">
        <v>46240</v>
      </c>
      <c r="AH17" s="123">
        <v>46240</v>
      </c>
      <c r="AI17" s="208">
        <v>46357</v>
      </c>
      <c r="AJ17" s="108" t="s">
        <v>1849</v>
      </c>
      <c r="AK17" s="108" t="s">
        <v>1700</v>
      </c>
    </row>
    <row r="18" spans="1:38" ht="44.1" customHeight="1" x14ac:dyDescent="0.3">
      <c r="A18" s="108"/>
      <c r="B18" s="108" t="s">
        <v>990</v>
      </c>
      <c r="C18" s="108"/>
      <c r="D18" s="214" t="s">
        <v>991</v>
      </c>
      <c r="E18" s="108">
        <v>45.75</v>
      </c>
      <c r="F18" s="210">
        <v>0</v>
      </c>
      <c r="G18" s="108" t="s">
        <v>27</v>
      </c>
      <c r="H18" s="110" t="s">
        <v>36</v>
      </c>
      <c r="J18" s="108">
        <v>5.8</v>
      </c>
      <c r="K18" s="111" t="s">
        <v>12</v>
      </c>
      <c r="L18" s="116" t="s">
        <v>12</v>
      </c>
      <c r="N18" s="121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4" t="s">
        <v>1701</v>
      </c>
      <c r="W18" s="122" t="s">
        <v>1702</v>
      </c>
      <c r="Y18" s="108" t="s">
        <v>1673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1866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1861</v>
      </c>
      <c r="AK18" s="108" t="s">
        <v>1859</v>
      </c>
    </row>
    <row r="19" spans="1:38" ht="44.1" customHeight="1" x14ac:dyDescent="0.3">
      <c r="A19" s="108"/>
      <c r="B19" s="108" t="s">
        <v>995</v>
      </c>
      <c r="C19" s="108"/>
      <c r="D19" s="214" t="s">
        <v>991</v>
      </c>
      <c r="E19" s="108">
        <v>44.43</v>
      </c>
      <c r="F19" s="210"/>
      <c r="G19" s="108" t="s">
        <v>27</v>
      </c>
      <c r="H19" s="110" t="s">
        <v>53</v>
      </c>
      <c r="J19" s="125">
        <v>6.8</v>
      </c>
      <c r="K19" s="112" t="s">
        <v>996</v>
      </c>
      <c r="L19" s="115" t="s">
        <v>12</v>
      </c>
      <c r="N19" s="121" t="s">
        <v>1671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1703</v>
      </c>
      <c r="W19" s="122" t="s">
        <v>1704</v>
      </c>
      <c r="Y19" s="108" t="s">
        <v>1673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1842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1861</v>
      </c>
      <c r="AK19" s="108" t="s">
        <v>1859</v>
      </c>
    </row>
    <row r="20" spans="1:38" ht="44.1" customHeight="1" x14ac:dyDescent="0.3">
      <c r="A20" s="108"/>
      <c r="B20" s="108" t="s">
        <v>995</v>
      </c>
      <c r="C20" s="108"/>
      <c r="D20" s="214" t="s">
        <v>991</v>
      </c>
      <c r="E20" s="108">
        <v>44.43</v>
      </c>
      <c r="F20" s="210"/>
      <c r="G20" s="108" t="s">
        <v>27</v>
      </c>
      <c r="H20" s="110" t="s">
        <v>39</v>
      </c>
      <c r="J20" s="125">
        <v>6.8</v>
      </c>
      <c r="K20" s="112" t="s">
        <v>996</v>
      </c>
      <c r="L20" s="116" t="s">
        <v>1705</v>
      </c>
      <c r="N20" s="121" t="s">
        <v>1671</v>
      </c>
      <c r="O20" s="114" t="s">
        <v>1677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108" t="s">
        <v>1673</v>
      </c>
      <c r="Z20" s="108" t="s">
        <v>8</v>
      </c>
      <c r="AA20" s="123">
        <v>46192</v>
      </c>
      <c r="AB20" s="123">
        <v>46232</v>
      </c>
      <c r="AC20" s="123">
        <v>46240</v>
      </c>
      <c r="AD20" s="123" t="s">
        <v>1841</v>
      </c>
      <c r="AE20" s="108"/>
      <c r="AF20" s="108"/>
      <c r="AG20" s="108"/>
      <c r="AH20" s="108"/>
      <c r="AI20" s="108"/>
      <c r="AJ20" s="108" t="s">
        <v>1851</v>
      </c>
      <c r="AK20" s="110" t="s">
        <v>1706</v>
      </c>
    </row>
    <row r="21" spans="1:38" ht="44.1" customHeight="1" x14ac:dyDescent="0.3">
      <c r="A21" s="108"/>
      <c r="B21" s="108" t="s">
        <v>73</v>
      </c>
      <c r="C21" s="108" t="s">
        <v>1707</v>
      </c>
      <c r="D21" s="216" t="s">
        <v>1708</v>
      </c>
      <c r="E21" s="108">
        <v>171.51</v>
      </c>
      <c r="F21" s="210">
        <v>96985.81</v>
      </c>
      <c r="G21" s="108" t="s">
        <v>24</v>
      </c>
      <c r="H21" s="110" t="s">
        <v>42</v>
      </c>
      <c r="J21" s="232" t="s">
        <v>12</v>
      </c>
      <c r="K21" s="233"/>
      <c r="L21" s="234"/>
      <c r="N21" s="121" t="s">
        <v>12</v>
      </c>
      <c r="O21" s="114" t="s">
        <v>12</v>
      </c>
      <c r="Q21" s="119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108" t="s">
        <v>1673</v>
      </c>
      <c r="Z21" s="108" t="s">
        <v>8</v>
      </c>
      <c r="AA21" s="123">
        <v>46093</v>
      </c>
      <c r="AB21" s="123">
        <v>46237</v>
      </c>
      <c r="AC21" s="123">
        <v>46223</v>
      </c>
      <c r="AD21" s="123" t="s">
        <v>1866</v>
      </c>
      <c r="AE21" s="108" t="s">
        <v>12</v>
      </c>
      <c r="AF21" s="108" t="s">
        <v>12</v>
      </c>
      <c r="AG21" s="108" t="s">
        <v>12</v>
      </c>
      <c r="AH21" s="108" t="s">
        <v>12</v>
      </c>
      <c r="AI21" s="123">
        <v>46285</v>
      </c>
      <c r="AJ21" s="148" t="s">
        <v>1860</v>
      </c>
      <c r="AK21" s="110" t="s">
        <v>1709</v>
      </c>
      <c r="AL21" t="s">
        <v>1698</v>
      </c>
    </row>
    <row r="22" spans="1:38" ht="43.2" x14ac:dyDescent="0.3">
      <c r="A22" s="108"/>
      <c r="B22" s="108" t="s">
        <v>1328</v>
      </c>
      <c r="C22" s="108" t="s">
        <v>1710</v>
      </c>
      <c r="D22" s="108" t="s">
        <v>1711</v>
      </c>
      <c r="E22" s="108">
        <v>34.83</v>
      </c>
      <c r="F22" s="210">
        <f>13191.83+78959.6057250004</f>
        <v>92151.435725000396</v>
      </c>
      <c r="G22" s="108" t="s">
        <v>24</v>
      </c>
      <c r="H22" s="108" t="s">
        <v>42</v>
      </c>
      <c r="J22" s="212">
        <v>1.2</v>
      </c>
      <c r="K22" s="213" t="s">
        <v>1309</v>
      </c>
      <c r="L22" s="122" t="s">
        <v>1712</v>
      </c>
      <c r="N22" s="119" t="s">
        <v>1713</v>
      </c>
      <c r="O22" s="114" t="s">
        <v>1714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108" t="s">
        <v>1673</v>
      </c>
      <c r="Z22" s="108" t="s">
        <v>12</v>
      </c>
      <c r="AA22" s="123" t="s">
        <v>1728</v>
      </c>
      <c r="AB22" s="123" t="s">
        <v>1728</v>
      </c>
      <c r="AC22" s="123" t="s">
        <v>1728</v>
      </c>
      <c r="AD22" s="123" t="s">
        <v>1728</v>
      </c>
      <c r="AE22" s="123" t="s">
        <v>1728</v>
      </c>
      <c r="AF22" s="123" t="s">
        <v>1728</v>
      </c>
      <c r="AG22" s="123" t="s">
        <v>1728</v>
      </c>
      <c r="AH22" s="123" t="s">
        <v>1728</v>
      </c>
      <c r="AI22" s="123" t="s">
        <v>1728</v>
      </c>
      <c r="AJ22" s="123" t="s">
        <v>1728</v>
      </c>
      <c r="AK22" s="110" t="s">
        <v>1715</v>
      </c>
    </row>
    <row r="23" spans="1:38" ht="43.2" x14ac:dyDescent="0.3">
      <c r="A23" s="110" t="s">
        <v>1682</v>
      </c>
      <c r="B23" s="108" t="s">
        <v>1335</v>
      </c>
      <c r="C23" s="108" t="s">
        <v>1683</v>
      </c>
      <c r="D23" s="108" t="s">
        <v>1716</v>
      </c>
      <c r="E23" s="108">
        <v>24.12</v>
      </c>
      <c r="F23" s="210">
        <v>80839.72780537518</v>
      </c>
      <c r="G23" s="108" t="s">
        <v>24</v>
      </c>
      <c r="H23" s="108" t="s">
        <v>42</v>
      </c>
      <c r="J23" s="212">
        <f>MID(B23,4,4)/100</f>
        <v>0.7</v>
      </c>
      <c r="K23" s="213" t="s">
        <v>1336</v>
      </c>
      <c r="L23" s="122" t="s">
        <v>1717</v>
      </c>
      <c r="N23" s="119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108" t="s">
        <v>1673</v>
      </c>
      <c r="Z23" s="108" t="s">
        <v>12</v>
      </c>
      <c r="AA23" s="123" t="s">
        <v>1728</v>
      </c>
      <c r="AB23" s="123" t="s">
        <v>1728</v>
      </c>
      <c r="AC23" s="123" t="s">
        <v>1728</v>
      </c>
      <c r="AD23" s="123" t="s">
        <v>1728</v>
      </c>
      <c r="AE23" s="123" t="s">
        <v>1728</v>
      </c>
      <c r="AF23" s="123" t="s">
        <v>1728</v>
      </c>
      <c r="AG23" s="123" t="s">
        <v>1728</v>
      </c>
      <c r="AH23" s="123" t="s">
        <v>1728</v>
      </c>
      <c r="AI23" s="123" t="s">
        <v>1728</v>
      </c>
      <c r="AJ23" s="123" t="s">
        <v>1728</v>
      </c>
      <c r="AK23" s="110" t="s">
        <v>1715</v>
      </c>
    </row>
    <row r="24" spans="1:38" ht="44.1" customHeight="1" x14ac:dyDescent="0.3">
      <c r="A24" s="110" t="s">
        <v>1682</v>
      </c>
      <c r="B24" s="108" t="s">
        <v>74</v>
      </c>
      <c r="C24" s="108" t="s">
        <v>1683</v>
      </c>
      <c r="D24" s="214" t="s">
        <v>1718</v>
      </c>
      <c r="E24" s="108">
        <v>58.78</v>
      </c>
      <c r="F24" s="210">
        <v>77871.275812968903</v>
      </c>
      <c r="G24" s="108" t="s">
        <v>24</v>
      </c>
      <c r="H24" s="110" t="s">
        <v>42</v>
      </c>
      <c r="J24" s="212">
        <f>MID(B24,4,4)/100</f>
        <v>1.5</v>
      </c>
      <c r="K24" s="213" t="s">
        <v>1304</v>
      </c>
      <c r="L24" s="122" t="s">
        <v>1719</v>
      </c>
      <c r="N24" s="119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108" t="s">
        <v>1673</v>
      </c>
      <c r="Z24" s="108" t="s">
        <v>8</v>
      </c>
      <c r="AA24" s="123">
        <v>46093</v>
      </c>
      <c r="AB24" s="123">
        <v>46108</v>
      </c>
      <c r="AC24" s="123">
        <v>46155</v>
      </c>
      <c r="AD24" s="123" t="s">
        <v>1866</v>
      </c>
      <c r="AE24" s="123">
        <v>46231</v>
      </c>
      <c r="AF24" s="123">
        <v>46248</v>
      </c>
      <c r="AG24" s="123">
        <v>46174</v>
      </c>
      <c r="AH24" s="123">
        <v>46174</v>
      </c>
      <c r="AI24" s="123">
        <v>46285</v>
      </c>
      <c r="AJ24" s="123" t="s">
        <v>1856</v>
      </c>
      <c r="AK24" s="148" t="s">
        <v>96</v>
      </c>
    </row>
    <row r="25" spans="1:38" ht="43.2" x14ac:dyDescent="0.3">
      <c r="A25" s="110" t="s">
        <v>1682</v>
      </c>
      <c r="B25" s="108" t="s">
        <v>75</v>
      </c>
      <c r="C25" s="108" t="s">
        <v>1683</v>
      </c>
      <c r="D25" s="214" t="s">
        <v>1720</v>
      </c>
      <c r="E25" s="108">
        <v>21.47</v>
      </c>
      <c r="F25" s="210">
        <f>10393.72+31672.6645679009+34645.74</f>
        <v>76712.124567900901</v>
      </c>
      <c r="G25" s="108" t="s">
        <v>24</v>
      </c>
      <c r="H25" s="110" t="s">
        <v>42</v>
      </c>
      <c r="J25" s="212">
        <f>MID(B25,4,4)/100</f>
        <v>1.2</v>
      </c>
      <c r="K25" s="213" t="s">
        <v>1336</v>
      </c>
      <c r="L25" s="122" t="s">
        <v>1721</v>
      </c>
      <c r="N25" s="119" t="s">
        <v>1713</v>
      </c>
      <c r="O25" s="114" t="s">
        <v>1714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108" t="s">
        <v>1673</v>
      </c>
      <c r="Z25" s="108" t="s">
        <v>8</v>
      </c>
      <c r="AA25" s="123">
        <v>46184</v>
      </c>
      <c r="AB25" s="123">
        <v>46237</v>
      </c>
      <c r="AC25" s="148">
        <v>46223</v>
      </c>
      <c r="AD25" s="123" t="s">
        <v>1841</v>
      </c>
      <c r="AE25" s="108" t="s">
        <v>1674</v>
      </c>
      <c r="AF25" s="108" t="s">
        <v>1674</v>
      </c>
      <c r="AG25" s="108"/>
      <c r="AH25" s="108"/>
      <c r="AI25" s="108"/>
      <c r="AJ25" s="148" t="s">
        <v>1860</v>
      </c>
      <c r="AK25" s="110" t="s">
        <v>1722</v>
      </c>
      <c r="AL25" t="s">
        <v>1698</v>
      </c>
    </row>
    <row r="26" spans="1:38" ht="64.95" customHeight="1" x14ac:dyDescent="0.3">
      <c r="A26" s="110" t="s">
        <v>1682</v>
      </c>
      <c r="B26" s="108" t="s">
        <v>1342</v>
      </c>
      <c r="C26" s="108" t="s">
        <v>1683</v>
      </c>
      <c r="D26" s="108" t="s">
        <v>1723</v>
      </c>
      <c r="E26" s="108">
        <v>19.170000000000002</v>
      </c>
      <c r="F26" s="210">
        <v>43204.421619449888</v>
      </c>
      <c r="G26" s="108" t="s">
        <v>24</v>
      </c>
      <c r="H26" s="108" t="s">
        <v>42</v>
      </c>
      <c r="J26" s="212">
        <f>MID(B26,4,4)/100</f>
        <v>0.7</v>
      </c>
      <c r="K26" s="213" t="s">
        <v>1336</v>
      </c>
      <c r="L26" s="122" t="s">
        <v>1717</v>
      </c>
      <c r="N26" s="119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108" t="s">
        <v>1673</v>
      </c>
      <c r="Z26" s="108" t="s">
        <v>12</v>
      </c>
      <c r="AA26" s="123" t="s">
        <v>1728</v>
      </c>
      <c r="AB26" s="123" t="s">
        <v>1728</v>
      </c>
      <c r="AC26" s="123" t="s">
        <v>1728</v>
      </c>
      <c r="AD26" s="123" t="s">
        <v>1728</v>
      </c>
      <c r="AE26" s="123" t="s">
        <v>1728</v>
      </c>
      <c r="AF26" s="123" t="s">
        <v>1728</v>
      </c>
      <c r="AG26" s="123" t="s">
        <v>1728</v>
      </c>
      <c r="AH26" s="123" t="s">
        <v>1728</v>
      </c>
      <c r="AI26" s="123" t="s">
        <v>1728</v>
      </c>
      <c r="AJ26" s="123" t="s">
        <v>1728</v>
      </c>
      <c r="AK26" s="110" t="s">
        <v>1715</v>
      </c>
    </row>
    <row r="27" spans="1:38" ht="44.1" customHeight="1" x14ac:dyDescent="0.3">
      <c r="A27" s="110" t="s">
        <v>1682</v>
      </c>
      <c r="B27" s="108" t="s">
        <v>76</v>
      </c>
      <c r="C27" s="108" t="s">
        <v>1683</v>
      </c>
      <c r="D27" s="214" t="s">
        <v>1724</v>
      </c>
      <c r="E27" s="108">
        <v>21.47</v>
      </c>
      <c r="F27" s="210">
        <f>11347.81+31670.2095128998</f>
        <v>43018.019512899802</v>
      </c>
      <c r="G27" s="108" t="s">
        <v>24</v>
      </c>
      <c r="H27" s="110" t="s">
        <v>42</v>
      </c>
      <c r="J27" s="212">
        <f>MID(B27,4,4)/100</f>
        <v>1.2</v>
      </c>
      <c r="K27" s="213" t="s">
        <v>1336</v>
      </c>
      <c r="L27" s="122" t="s">
        <v>1721</v>
      </c>
      <c r="N27" s="119" t="s">
        <v>1713</v>
      </c>
      <c r="O27" s="114" t="s">
        <v>1714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108" t="s">
        <v>1673</v>
      </c>
      <c r="Z27" s="108" t="s">
        <v>8</v>
      </c>
      <c r="AA27" s="123">
        <v>46093</v>
      </c>
      <c r="AB27" s="123">
        <v>46108</v>
      </c>
      <c r="AC27" s="123">
        <v>46155</v>
      </c>
      <c r="AD27" s="123" t="s">
        <v>1866</v>
      </c>
      <c r="AE27" s="123">
        <v>46231</v>
      </c>
      <c r="AF27" s="123">
        <v>46248</v>
      </c>
      <c r="AG27" s="123">
        <v>46174</v>
      </c>
      <c r="AH27" s="123">
        <v>46174</v>
      </c>
      <c r="AI27" s="123">
        <v>46285</v>
      </c>
      <c r="AJ27" s="123" t="s">
        <v>1856</v>
      </c>
      <c r="AK27" s="148" t="s">
        <v>96</v>
      </c>
    </row>
    <row r="28" spans="1:38" ht="46.95" customHeight="1" x14ac:dyDescent="0.3">
      <c r="A28" s="110" t="s">
        <v>1725</v>
      </c>
      <c r="B28" s="108" t="s">
        <v>1347</v>
      </c>
      <c r="C28" s="108" t="s">
        <v>1726</v>
      </c>
      <c r="D28" s="108" t="s">
        <v>1332</v>
      </c>
      <c r="E28" s="108">
        <v>16.028320000000001</v>
      </c>
      <c r="F28" s="210">
        <v>42227.410696379688</v>
      </c>
      <c r="G28" s="108" t="s">
        <v>24</v>
      </c>
      <c r="H28" s="108" t="s">
        <v>42</v>
      </c>
      <c r="J28" s="212">
        <v>0.65</v>
      </c>
      <c r="K28" s="213" t="s">
        <v>215</v>
      </c>
      <c r="L28" s="122" t="s">
        <v>1727</v>
      </c>
      <c r="N28" s="119" t="s">
        <v>12</v>
      </c>
      <c r="O28" s="114" t="s">
        <v>12</v>
      </c>
      <c r="Q28" s="119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108" t="s">
        <v>1673</v>
      </c>
      <c r="Z28" s="108" t="s">
        <v>8</v>
      </c>
      <c r="AA28" s="123" t="s">
        <v>1728</v>
      </c>
      <c r="AB28" s="123" t="s">
        <v>1728</v>
      </c>
      <c r="AC28" s="123" t="s">
        <v>1728</v>
      </c>
      <c r="AD28" s="123" t="s">
        <v>1728</v>
      </c>
      <c r="AE28" s="123" t="s">
        <v>1728</v>
      </c>
      <c r="AF28" s="123" t="s">
        <v>1728</v>
      </c>
      <c r="AG28" s="123" t="s">
        <v>1728</v>
      </c>
      <c r="AH28" s="123" t="s">
        <v>1728</v>
      </c>
      <c r="AI28" s="123" t="s">
        <v>1728</v>
      </c>
      <c r="AJ28" s="123" t="s">
        <v>1728</v>
      </c>
      <c r="AK28" s="110" t="s">
        <v>1728</v>
      </c>
    </row>
    <row r="29" spans="1:38" ht="44.1" customHeight="1" x14ac:dyDescent="0.3">
      <c r="A29" s="108"/>
      <c r="B29" s="108" t="s">
        <v>1331</v>
      </c>
      <c r="C29" s="108" t="s">
        <v>1729</v>
      </c>
      <c r="D29" s="216" t="s">
        <v>1332</v>
      </c>
      <c r="E29" s="108">
        <v>35.130000000000003</v>
      </c>
      <c r="F29" s="225">
        <v>35917.449999999997</v>
      </c>
      <c r="G29" s="108" t="s">
        <v>24</v>
      </c>
      <c r="H29" s="110" t="s">
        <v>42</v>
      </c>
      <c r="J29" s="235" t="s">
        <v>12</v>
      </c>
      <c r="K29" s="236"/>
      <c r="L29" s="237"/>
      <c r="N29" s="119" t="s">
        <v>1730</v>
      </c>
      <c r="O29" s="114" t="s">
        <v>1714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108" t="s">
        <v>1673</v>
      </c>
      <c r="Z29" s="108" t="s">
        <v>8</v>
      </c>
      <c r="AA29" s="123">
        <v>46093</v>
      </c>
      <c r="AB29" s="123">
        <v>46245</v>
      </c>
      <c r="AC29" s="108"/>
      <c r="AD29" s="108"/>
      <c r="AE29" s="108"/>
      <c r="AF29" s="108"/>
      <c r="AG29" s="108"/>
      <c r="AH29" s="108"/>
      <c r="AI29" s="108"/>
      <c r="AJ29" s="108"/>
      <c r="AK29" s="108"/>
    </row>
    <row r="30" spans="1:38" ht="44.1" customHeight="1" x14ac:dyDescent="0.3">
      <c r="A30" s="194" t="s">
        <v>1731</v>
      </c>
      <c r="B30" s="108" t="s">
        <v>315</v>
      </c>
      <c r="C30" s="108"/>
      <c r="D30" s="214" t="s">
        <v>1732</v>
      </c>
      <c r="E30" s="108">
        <v>22.5</v>
      </c>
      <c r="F30" s="210">
        <v>99381.26</v>
      </c>
      <c r="G30" s="108" t="s">
        <v>34</v>
      </c>
      <c r="H30" s="110" t="s">
        <v>39</v>
      </c>
      <c r="J30" s="108">
        <v>1.5</v>
      </c>
      <c r="K30" s="111" t="s">
        <v>12</v>
      </c>
      <c r="L30" s="116" t="s">
        <v>12</v>
      </c>
      <c r="N30" s="121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108" t="s">
        <v>1673</v>
      </c>
      <c r="Z30" s="108" t="s">
        <v>8</v>
      </c>
      <c r="AA30" s="123">
        <v>46120</v>
      </c>
      <c r="AB30" s="123">
        <v>46141</v>
      </c>
      <c r="AC30" s="123">
        <v>46134</v>
      </c>
      <c r="AD30" s="123" t="s">
        <v>1842</v>
      </c>
      <c r="AE30" s="108" t="s">
        <v>12</v>
      </c>
      <c r="AF30" s="108" t="s">
        <v>12</v>
      </c>
      <c r="AG30" s="108" t="s">
        <v>1733</v>
      </c>
      <c r="AH30" s="123">
        <v>46247</v>
      </c>
      <c r="AI30" s="108" t="s">
        <v>1733</v>
      </c>
      <c r="AJ30" s="108" t="s">
        <v>1861</v>
      </c>
      <c r="AK30" s="108" t="s">
        <v>98</v>
      </c>
    </row>
    <row r="31" spans="1:38" ht="53.55" customHeight="1" x14ac:dyDescent="0.3">
      <c r="A31" s="194" t="s">
        <v>1682</v>
      </c>
      <c r="B31" s="108" t="s">
        <v>1324</v>
      </c>
      <c r="C31" s="108" t="s">
        <v>1683</v>
      </c>
      <c r="D31" s="214" t="s">
        <v>1734</v>
      </c>
      <c r="E31" s="108">
        <v>36.06</v>
      </c>
      <c r="F31" s="210">
        <v>28224.957600000023</v>
      </c>
      <c r="G31" s="108" t="s">
        <v>24</v>
      </c>
      <c r="H31" s="110" t="s">
        <v>42</v>
      </c>
      <c r="J31" s="108">
        <f>MID(B31,4,4)/100</f>
        <v>1.75</v>
      </c>
      <c r="K31" s="111" t="s">
        <v>1304</v>
      </c>
      <c r="L31" s="122" t="s">
        <v>1735</v>
      </c>
      <c r="N31" s="119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108" t="s">
        <v>1673</v>
      </c>
      <c r="Z31" s="108" t="s">
        <v>8</v>
      </c>
      <c r="AA31" s="123">
        <v>46184</v>
      </c>
      <c r="AB31" s="123">
        <v>46214</v>
      </c>
      <c r="AC31" s="123">
        <v>46227</v>
      </c>
      <c r="AD31" s="123" t="s">
        <v>1842</v>
      </c>
      <c r="AE31" s="123">
        <v>46231</v>
      </c>
      <c r="AF31" s="123">
        <v>46248</v>
      </c>
      <c r="AG31" s="123">
        <v>46235</v>
      </c>
      <c r="AH31" s="123">
        <v>46235</v>
      </c>
      <c r="AI31" s="123">
        <v>46346</v>
      </c>
      <c r="AJ31" s="123" t="s">
        <v>1856</v>
      </c>
      <c r="AK31" s="110" t="s">
        <v>1736</v>
      </c>
    </row>
    <row r="32" spans="1:38" ht="44.1" customHeight="1" x14ac:dyDescent="0.3">
      <c r="A32" s="195" t="s">
        <v>1725</v>
      </c>
      <c r="B32" s="108" t="s">
        <v>1353</v>
      </c>
      <c r="C32" s="108" t="s">
        <v>1726</v>
      </c>
      <c r="D32" s="214" t="s">
        <v>1355</v>
      </c>
      <c r="E32" s="108">
        <v>14.416587500000002</v>
      </c>
      <c r="F32" s="210">
        <v>34245.480172994976</v>
      </c>
      <c r="G32" s="108" t="s">
        <v>24</v>
      </c>
      <c r="H32" s="110" t="s">
        <v>53</v>
      </c>
      <c r="J32" s="108">
        <v>1</v>
      </c>
      <c r="K32" s="111" t="s">
        <v>1354</v>
      </c>
      <c r="L32" s="116" t="s">
        <v>1687</v>
      </c>
      <c r="N32" s="119" t="s">
        <v>12</v>
      </c>
      <c r="O32" s="114" t="s">
        <v>12</v>
      </c>
      <c r="Q32" s="119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108" t="s">
        <v>1673</v>
      </c>
      <c r="Z32" s="108" t="s">
        <v>10</v>
      </c>
      <c r="AA32" s="108" t="s">
        <v>1728</v>
      </c>
      <c r="AB32" s="108" t="s">
        <v>1728</v>
      </c>
      <c r="AC32" s="108" t="s">
        <v>1728</v>
      </c>
      <c r="AD32" s="108" t="s">
        <v>1728</v>
      </c>
      <c r="AE32" s="108" t="s">
        <v>1728</v>
      </c>
      <c r="AF32" s="108" t="s">
        <v>1728</v>
      </c>
      <c r="AG32" s="108" t="s">
        <v>1728</v>
      </c>
      <c r="AH32" s="108" t="s">
        <v>1728</v>
      </c>
      <c r="AI32" s="108" t="s">
        <v>1728</v>
      </c>
      <c r="AJ32" s="108" t="s">
        <v>1728</v>
      </c>
      <c r="AK32" s="108" t="s">
        <v>1845</v>
      </c>
    </row>
    <row r="33" spans="1:40" ht="44.1" customHeight="1" x14ac:dyDescent="0.3">
      <c r="A33" s="195" t="s">
        <v>1737</v>
      </c>
      <c r="B33" s="108" t="s">
        <v>48</v>
      </c>
      <c r="C33" s="108"/>
      <c r="D33" s="214" t="s">
        <v>183</v>
      </c>
      <c r="E33" s="108">
        <v>20</v>
      </c>
      <c r="F33" s="210">
        <v>115000</v>
      </c>
      <c r="G33" s="108" t="s">
        <v>34</v>
      </c>
      <c r="H33" s="110" t="s">
        <v>1738</v>
      </c>
      <c r="J33" s="108">
        <v>5.75</v>
      </c>
      <c r="K33" s="111" t="s">
        <v>1739</v>
      </c>
      <c r="L33" s="116" t="s">
        <v>1740</v>
      </c>
      <c r="N33" s="121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123">
        <v>46118</v>
      </c>
      <c r="Z33" s="108" t="s">
        <v>8</v>
      </c>
      <c r="AA33" s="123">
        <v>46120</v>
      </c>
      <c r="AB33" s="123">
        <v>46150</v>
      </c>
      <c r="AC33" s="123">
        <v>46127</v>
      </c>
      <c r="AD33" s="123" t="s">
        <v>1842</v>
      </c>
      <c r="AE33" s="108" t="s">
        <v>12</v>
      </c>
      <c r="AF33" s="108" t="s">
        <v>12</v>
      </c>
      <c r="AG33" s="123">
        <v>46266</v>
      </c>
      <c r="AH33" s="123">
        <v>46266</v>
      </c>
      <c r="AI33" s="108" t="s">
        <v>1733</v>
      </c>
      <c r="AJ33" s="108" t="s">
        <v>1861</v>
      </c>
      <c r="AK33" s="108" t="s">
        <v>98</v>
      </c>
    </row>
    <row r="34" spans="1:40" ht="44.1" customHeight="1" x14ac:dyDescent="0.3">
      <c r="A34" s="110" t="s">
        <v>1725</v>
      </c>
      <c r="B34" s="108" t="s">
        <v>1345</v>
      </c>
      <c r="C34" s="108" t="s">
        <v>1726</v>
      </c>
      <c r="D34" s="214" t="s">
        <v>1741</v>
      </c>
      <c r="E34" s="215">
        <v>16.496479999999998</v>
      </c>
      <c r="F34" s="210">
        <v>27611.064772199956</v>
      </c>
      <c r="G34" s="108" t="s">
        <v>24</v>
      </c>
      <c r="H34" s="110" t="s">
        <v>42</v>
      </c>
      <c r="J34" s="108">
        <v>0.8</v>
      </c>
      <c r="K34" s="111" t="s">
        <v>215</v>
      </c>
      <c r="L34" s="116" t="s">
        <v>1742</v>
      </c>
      <c r="N34" s="119" t="s">
        <v>12</v>
      </c>
      <c r="O34" s="114" t="s">
        <v>12</v>
      </c>
      <c r="Q34" s="119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108" t="s">
        <v>1673</v>
      </c>
      <c r="Z34" s="108" t="s">
        <v>8</v>
      </c>
      <c r="AA34" s="123">
        <v>46093</v>
      </c>
      <c r="AB34" s="123">
        <v>46108</v>
      </c>
      <c r="AC34" s="123">
        <v>46155</v>
      </c>
      <c r="AD34" s="123" t="s">
        <v>1866</v>
      </c>
      <c r="AE34" s="123">
        <v>46231</v>
      </c>
      <c r="AF34" s="123">
        <v>46248</v>
      </c>
      <c r="AG34" s="123">
        <v>46174</v>
      </c>
      <c r="AH34" s="123">
        <v>46174</v>
      </c>
      <c r="AI34" s="123">
        <v>46285</v>
      </c>
      <c r="AJ34" s="123" t="s">
        <v>1856</v>
      </c>
      <c r="AK34" s="148" t="s">
        <v>96</v>
      </c>
    </row>
    <row r="35" spans="1:40" ht="44.1" customHeight="1" x14ac:dyDescent="0.3">
      <c r="A35" s="110" t="s">
        <v>1725</v>
      </c>
      <c r="B35" s="108" t="s">
        <v>1375</v>
      </c>
      <c r="C35" s="108" t="s">
        <v>1726</v>
      </c>
      <c r="D35" s="214" t="s">
        <v>1310</v>
      </c>
      <c r="E35" s="215">
        <v>10.200945000000001</v>
      </c>
      <c r="F35" s="225">
        <f>13937.7508231501+12721.88</f>
        <v>26659.630823150099</v>
      </c>
      <c r="G35" s="108" t="s">
        <v>24</v>
      </c>
      <c r="H35" s="110" t="s">
        <v>42</v>
      </c>
      <c r="J35" s="187">
        <v>1.2</v>
      </c>
      <c r="K35" s="191" t="s">
        <v>1376</v>
      </c>
      <c r="L35" s="196" t="s">
        <v>1743</v>
      </c>
      <c r="N35" s="119" t="s">
        <v>12</v>
      </c>
      <c r="O35" s="114" t="s">
        <v>12</v>
      </c>
      <c r="Q35" s="119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108" t="s">
        <v>1673</v>
      </c>
      <c r="Z35" s="108" t="s">
        <v>8</v>
      </c>
      <c r="AA35" s="123">
        <v>46199</v>
      </c>
      <c r="AB35" s="108" t="s">
        <v>1728</v>
      </c>
      <c r="AC35" s="108" t="s">
        <v>1728</v>
      </c>
      <c r="AD35" s="108" t="s">
        <v>1728</v>
      </c>
      <c r="AE35" s="108" t="s">
        <v>1728</v>
      </c>
      <c r="AF35" s="108" t="s">
        <v>1728</v>
      </c>
      <c r="AG35" s="108" t="s">
        <v>1728</v>
      </c>
      <c r="AH35" s="108" t="s">
        <v>1728</v>
      </c>
      <c r="AI35" s="108" t="s">
        <v>1728</v>
      </c>
      <c r="AJ35" s="108" t="s">
        <v>1728</v>
      </c>
      <c r="AK35" s="108" t="s">
        <v>1728</v>
      </c>
    </row>
    <row r="36" spans="1:40" ht="44.1" customHeight="1" x14ac:dyDescent="0.3">
      <c r="A36" s="110" t="s">
        <v>1725</v>
      </c>
      <c r="B36" s="108" t="s">
        <v>1358</v>
      </c>
      <c r="C36" s="108" t="s">
        <v>1726</v>
      </c>
      <c r="D36" s="214" t="s">
        <v>1359</v>
      </c>
      <c r="E36" s="215">
        <v>13.940079999999998</v>
      </c>
      <c r="F36" s="225">
        <v>26601.63473167178</v>
      </c>
      <c r="G36" s="108" t="s">
        <v>24</v>
      </c>
      <c r="H36" s="110" t="s">
        <v>42</v>
      </c>
      <c r="J36" s="187">
        <v>0.7</v>
      </c>
      <c r="K36" s="191" t="s">
        <v>215</v>
      </c>
      <c r="L36" s="196" t="s">
        <v>1744</v>
      </c>
      <c r="N36" s="119" t="s">
        <v>12</v>
      </c>
      <c r="O36" s="114" t="s">
        <v>12</v>
      </c>
      <c r="Q36" s="119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108" t="s">
        <v>1673</v>
      </c>
      <c r="Z36" s="108" t="s">
        <v>8</v>
      </c>
      <c r="AA36" s="123">
        <v>46199</v>
      </c>
      <c r="AB36" s="108" t="s">
        <v>1728</v>
      </c>
      <c r="AC36" s="108" t="s">
        <v>1728</v>
      </c>
      <c r="AD36" s="108" t="s">
        <v>1728</v>
      </c>
      <c r="AE36" s="108" t="s">
        <v>1728</v>
      </c>
      <c r="AF36" s="108" t="s">
        <v>1728</v>
      </c>
      <c r="AG36" s="108" t="s">
        <v>1728</v>
      </c>
      <c r="AH36" s="108" t="s">
        <v>1728</v>
      </c>
      <c r="AI36" s="108" t="s">
        <v>1728</v>
      </c>
      <c r="AJ36" s="108" t="s">
        <v>1728</v>
      </c>
      <c r="AK36" s="108" t="s">
        <v>1728</v>
      </c>
    </row>
    <row r="37" spans="1:40" ht="44.1" customHeight="1" x14ac:dyDescent="0.3">
      <c r="A37" s="110" t="s">
        <v>1725</v>
      </c>
      <c r="B37" s="108" t="s">
        <v>1372</v>
      </c>
      <c r="C37" s="108" t="s">
        <v>1726</v>
      </c>
      <c r="D37" s="214" t="s">
        <v>1373</v>
      </c>
      <c r="E37" s="215">
        <v>10.848305</v>
      </c>
      <c r="F37" s="210">
        <v>20698.992122215666</v>
      </c>
      <c r="G37" s="108" t="s">
        <v>24</v>
      </c>
      <c r="H37" s="110" t="s">
        <v>42</v>
      </c>
      <c r="J37" s="188">
        <v>1.65</v>
      </c>
      <c r="K37" s="189" t="s">
        <v>1745</v>
      </c>
      <c r="L37" s="118" t="s">
        <v>1746</v>
      </c>
      <c r="N37" s="119" t="s">
        <v>12</v>
      </c>
      <c r="O37" s="114" t="s">
        <v>12</v>
      </c>
      <c r="Q37" s="119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108" t="s">
        <v>1673</v>
      </c>
      <c r="Z37" s="108" t="s">
        <v>8</v>
      </c>
      <c r="AA37" s="123">
        <v>46199</v>
      </c>
      <c r="AB37" s="123">
        <v>46245</v>
      </c>
      <c r="AC37" s="123">
        <v>46260</v>
      </c>
      <c r="AD37" s="123" t="s">
        <v>1842</v>
      </c>
      <c r="AE37" s="123">
        <v>46294</v>
      </c>
      <c r="AF37" s="123">
        <v>46294</v>
      </c>
      <c r="AG37" s="123">
        <v>46294</v>
      </c>
      <c r="AH37" s="123">
        <v>46311</v>
      </c>
      <c r="AI37" s="208">
        <v>46456</v>
      </c>
      <c r="AJ37" s="108" t="s">
        <v>1849</v>
      </c>
      <c r="AK37" s="108" t="s">
        <v>1747</v>
      </c>
    </row>
    <row r="38" spans="1:40" ht="44.1" customHeight="1" x14ac:dyDescent="0.3">
      <c r="A38" s="110" t="s">
        <v>1725</v>
      </c>
      <c r="B38" s="108" t="s">
        <v>1399</v>
      </c>
      <c r="C38" s="108" t="s">
        <v>1726</v>
      </c>
      <c r="D38" s="214" t="s">
        <v>1359</v>
      </c>
      <c r="E38" s="215">
        <v>5.0187400000000002</v>
      </c>
      <c r="F38" s="210">
        <v>25247.000838780237</v>
      </c>
      <c r="G38" s="108" t="s">
        <v>24</v>
      </c>
      <c r="H38" s="110" t="s">
        <v>51</v>
      </c>
      <c r="J38" s="187">
        <v>0.7</v>
      </c>
      <c r="K38" s="191" t="s">
        <v>215</v>
      </c>
      <c r="L38" s="196" t="s">
        <v>1744</v>
      </c>
      <c r="N38" s="119" t="s">
        <v>12</v>
      </c>
      <c r="O38" s="114" t="s">
        <v>12</v>
      </c>
      <c r="Q38" s="119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108" t="s">
        <v>1673</v>
      </c>
      <c r="Z38" s="108" t="s">
        <v>10</v>
      </c>
      <c r="AA38" s="123">
        <v>46199</v>
      </c>
      <c r="AB38" s="108" t="s">
        <v>1728</v>
      </c>
      <c r="AC38" s="108" t="s">
        <v>1728</v>
      </c>
      <c r="AD38" s="108" t="s">
        <v>1728</v>
      </c>
      <c r="AE38" s="108" t="s">
        <v>1728</v>
      </c>
      <c r="AF38" s="108" t="s">
        <v>1728</v>
      </c>
      <c r="AG38" s="108" t="s">
        <v>1728</v>
      </c>
      <c r="AH38" s="108" t="s">
        <v>1728</v>
      </c>
      <c r="AI38" s="108" t="s">
        <v>1728</v>
      </c>
      <c r="AJ38" s="108" t="s">
        <v>1728</v>
      </c>
      <c r="AK38" s="108" t="s">
        <v>1728</v>
      </c>
    </row>
    <row r="39" spans="1:40" ht="44.1" customHeight="1" x14ac:dyDescent="0.3">
      <c r="A39" s="110" t="s">
        <v>1748</v>
      </c>
      <c r="B39" s="108" t="s">
        <v>1749</v>
      </c>
      <c r="C39" s="108" t="s">
        <v>1750</v>
      </c>
      <c r="D39" s="214" t="s">
        <v>785</v>
      </c>
      <c r="E39" s="215">
        <v>1.37</v>
      </c>
      <c r="F39" s="210">
        <v>24586.690002966105</v>
      </c>
      <c r="G39" s="108" t="s">
        <v>24</v>
      </c>
      <c r="H39" s="110" t="s">
        <v>177</v>
      </c>
      <c r="J39" s="187">
        <v>1</v>
      </c>
      <c r="K39" s="191" t="s">
        <v>1751</v>
      </c>
      <c r="L39" s="196" t="s">
        <v>1744</v>
      </c>
      <c r="N39" s="119" t="s">
        <v>12</v>
      </c>
      <c r="O39" s="114" t="s">
        <v>12</v>
      </c>
      <c r="Q39" s="119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108" t="s">
        <v>1673</v>
      </c>
      <c r="Z39" s="108" t="s">
        <v>10</v>
      </c>
      <c r="AA39" s="123">
        <v>46199</v>
      </c>
      <c r="AB39" s="108" t="s">
        <v>1728</v>
      </c>
      <c r="AC39" s="108" t="s">
        <v>1728</v>
      </c>
      <c r="AD39" s="108" t="s">
        <v>1728</v>
      </c>
      <c r="AE39" s="108" t="s">
        <v>1728</v>
      </c>
      <c r="AF39" s="108" t="s">
        <v>1728</v>
      </c>
      <c r="AG39" s="108" t="s">
        <v>1728</v>
      </c>
      <c r="AH39" s="108" t="s">
        <v>1728</v>
      </c>
      <c r="AI39" s="108" t="s">
        <v>1728</v>
      </c>
      <c r="AJ39" s="108" t="s">
        <v>1728</v>
      </c>
      <c r="AK39" s="108" t="s">
        <v>1728</v>
      </c>
    </row>
    <row r="40" spans="1:40" ht="44.1" customHeight="1" x14ac:dyDescent="0.3">
      <c r="A40" s="195" t="s">
        <v>1752</v>
      </c>
      <c r="B40" s="108" t="s">
        <v>243</v>
      </c>
      <c r="C40" s="108"/>
      <c r="D40" s="214" t="s">
        <v>244</v>
      </c>
      <c r="E40" s="215">
        <v>15.5</v>
      </c>
      <c r="F40" s="210">
        <v>43285.04</v>
      </c>
      <c r="G40" s="108" t="s">
        <v>34</v>
      </c>
      <c r="H40" s="110" t="s">
        <v>39</v>
      </c>
      <c r="J40" s="108">
        <v>1.5</v>
      </c>
      <c r="K40" s="111" t="s">
        <v>12</v>
      </c>
      <c r="L40" s="116" t="s">
        <v>12</v>
      </c>
      <c r="N40" s="121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108" t="s">
        <v>1673</v>
      </c>
      <c r="Z40" s="108" t="s">
        <v>8</v>
      </c>
      <c r="AA40" s="123">
        <v>46120</v>
      </c>
      <c r="AB40" s="123">
        <v>46141</v>
      </c>
      <c r="AC40" s="123">
        <v>46134</v>
      </c>
      <c r="AD40" s="123" t="s">
        <v>1842</v>
      </c>
      <c r="AE40" s="108" t="s">
        <v>12</v>
      </c>
      <c r="AF40" s="108" t="s">
        <v>12</v>
      </c>
      <c r="AG40" s="108" t="s">
        <v>1733</v>
      </c>
      <c r="AH40" s="123">
        <v>46247</v>
      </c>
      <c r="AI40" s="108" t="s">
        <v>1733</v>
      </c>
      <c r="AJ40" s="108" t="s">
        <v>1861</v>
      </c>
      <c r="AK40" s="108"/>
    </row>
    <row r="41" spans="1:40" ht="44.1" customHeight="1" x14ac:dyDescent="0.3">
      <c r="A41" s="110" t="s">
        <v>1748</v>
      </c>
      <c r="B41" s="108" t="s">
        <v>1409</v>
      </c>
      <c r="C41" s="108" t="s">
        <v>1750</v>
      </c>
      <c r="D41" s="214" t="s">
        <v>1410</v>
      </c>
      <c r="E41" s="215">
        <v>4.6100000000000003</v>
      </c>
      <c r="F41" s="210">
        <v>22999.954309605026</v>
      </c>
      <c r="G41" s="108" t="s">
        <v>24</v>
      </c>
      <c r="H41" s="110" t="s">
        <v>1575</v>
      </c>
      <c r="J41" s="111">
        <v>0.7</v>
      </c>
      <c r="K41" s="111" t="s">
        <v>1753</v>
      </c>
      <c r="L41" s="116" t="s">
        <v>1744</v>
      </c>
      <c r="N41" s="119" t="s">
        <v>12</v>
      </c>
      <c r="O41" s="114" t="s">
        <v>12</v>
      </c>
      <c r="Q41" s="119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148">
        <v>46294</v>
      </c>
      <c r="Z41" s="108" t="s">
        <v>10</v>
      </c>
      <c r="AA41" s="123"/>
      <c r="AB41" s="123"/>
      <c r="AC41" s="108"/>
      <c r="AD41" s="108"/>
      <c r="AE41" s="108"/>
      <c r="AF41" s="108"/>
      <c r="AG41" s="108"/>
      <c r="AH41" s="108"/>
      <c r="AI41" s="108"/>
      <c r="AJ41" s="108" t="s">
        <v>1864</v>
      </c>
      <c r="AK41" s="108"/>
    </row>
    <row r="42" spans="1:40" ht="44.1" customHeight="1" x14ac:dyDescent="0.3">
      <c r="A42" s="110" t="s">
        <v>1748</v>
      </c>
      <c r="B42" s="108" t="s">
        <v>1418</v>
      </c>
      <c r="C42" s="108" t="s">
        <v>1750</v>
      </c>
      <c r="D42" s="214" t="s">
        <v>1387</v>
      </c>
      <c r="E42" s="215">
        <v>4.1399999999999997</v>
      </c>
      <c r="F42" s="210">
        <v>40079.58</v>
      </c>
      <c r="G42" s="108" t="s">
        <v>24</v>
      </c>
      <c r="H42" s="110" t="s">
        <v>1575</v>
      </c>
      <c r="J42" s="111">
        <v>1.4</v>
      </c>
      <c r="K42" s="111" t="s">
        <v>1427</v>
      </c>
      <c r="L42" s="116" t="s">
        <v>1695</v>
      </c>
      <c r="N42" s="119" t="s">
        <v>12</v>
      </c>
      <c r="O42" s="114" t="s">
        <v>12</v>
      </c>
      <c r="Q42" s="119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148">
        <v>46294</v>
      </c>
      <c r="Z42" s="108" t="s">
        <v>10</v>
      </c>
      <c r="AA42" s="123"/>
      <c r="AB42" s="123"/>
      <c r="AC42" s="108"/>
      <c r="AD42" s="108"/>
      <c r="AE42" s="108"/>
      <c r="AF42" s="108"/>
      <c r="AG42" s="108"/>
      <c r="AH42" s="108"/>
      <c r="AI42" s="108"/>
      <c r="AJ42" s="108" t="s">
        <v>1864</v>
      </c>
      <c r="AK42" s="108"/>
    </row>
    <row r="43" spans="1:40" ht="44.1" customHeight="1" x14ac:dyDescent="0.3">
      <c r="A43" s="110" t="s">
        <v>1725</v>
      </c>
      <c r="B43" s="108" t="s">
        <v>1754</v>
      </c>
      <c r="C43" s="108" t="s">
        <v>1726</v>
      </c>
      <c r="D43" s="214" t="s">
        <v>1363</v>
      </c>
      <c r="E43" s="215">
        <v>13.9</v>
      </c>
      <c r="F43" s="225">
        <v>15706.677756106737</v>
      </c>
      <c r="G43" s="108" t="s">
        <v>24</v>
      </c>
      <c r="H43" s="110" t="s">
        <v>42</v>
      </c>
      <c r="J43" s="111">
        <v>1.5</v>
      </c>
      <c r="K43" s="111" t="s">
        <v>1376</v>
      </c>
      <c r="L43" s="116" t="s">
        <v>1743</v>
      </c>
      <c r="N43" s="119" t="s">
        <v>12</v>
      </c>
      <c r="O43" s="114" t="s">
        <v>12</v>
      </c>
      <c r="Q43" s="119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108" t="s">
        <v>1673</v>
      </c>
      <c r="Z43" s="108" t="s">
        <v>8</v>
      </c>
      <c r="AA43" s="108" t="s">
        <v>1728</v>
      </c>
      <c r="AB43" s="108" t="s">
        <v>1728</v>
      </c>
      <c r="AC43" s="108" t="s">
        <v>1728</v>
      </c>
      <c r="AD43" s="108" t="s">
        <v>1728</v>
      </c>
      <c r="AE43" s="108" t="s">
        <v>1728</v>
      </c>
      <c r="AF43" s="108" t="s">
        <v>1728</v>
      </c>
      <c r="AG43" s="108" t="s">
        <v>1728</v>
      </c>
      <c r="AH43" s="108" t="s">
        <v>1728</v>
      </c>
      <c r="AI43" s="108" t="s">
        <v>1728</v>
      </c>
      <c r="AJ43" s="108" t="s">
        <v>1728</v>
      </c>
      <c r="AK43" s="108"/>
    </row>
    <row r="44" spans="1:40" ht="44.1" customHeight="1" x14ac:dyDescent="0.3">
      <c r="A44" s="110" t="s">
        <v>1748</v>
      </c>
      <c r="B44" s="108" t="s">
        <v>1423</v>
      </c>
      <c r="C44" s="108" t="s">
        <v>1750</v>
      </c>
      <c r="D44" s="214" t="s">
        <v>1424</v>
      </c>
      <c r="E44" s="215">
        <v>4</v>
      </c>
      <c r="F44" s="210">
        <v>18761.627807047204</v>
      </c>
      <c r="G44" s="108" t="s">
        <v>24</v>
      </c>
      <c r="H44" s="110" t="s">
        <v>1575</v>
      </c>
      <c r="J44" s="111">
        <v>1</v>
      </c>
      <c r="K44" s="111" t="s">
        <v>1376</v>
      </c>
      <c r="L44" s="116" t="s">
        <v>1743</v>
      </c>
      <c r="N44" s="119" t="s">
        <v>12</v>
      </c>
      <c r="O44" s="114" t="s">
        <v>12</v>
      </c>
      <c r="Q44" s="119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148">
        <v>46294</v>
      </c>
      <c r="Z44" s="108" t="s">
        <v>10</v>
      </c>
      <c r="AA44" s="123"/>
      <c r="AB44" s="123"/>
      <c r="AC44" s="108"/>
      <c r="AD44" s="108"/>
      <c r="AE44" s="108"/>
      <c r="AF44" s="108"/>
      <c r="AG44" s="108"/>
      <c r="AH44" s="108"/>
      <c r="AI44" s="108"/>
      <c r="AJ44" s="108" t="s">
        <v>1864</v>
      </c>
      <c r="AK44" s="108"/>
    </row>
    <row r="45" spans="1:40" ht="44.1" customHeight="1" x14ac:dyDescent="0.3">
      <c r="A45" s="110" t="s">
        <v>1725</v>
      </c>
      <c r="B45" s="108" t="s">
        <v>574</v>
      </c>
      <c r="C45" s="108" t="s">
        <v>1726</v>
      </c>
      <c r="D45" s="216" t="s">
        <v>1755</v>
      </c>
      <c r="E45" s="108">
        <v>15.71</v>
      </c>
      <c r="F45" s="210">
        <f>5418.58+11198.892152448</f>
        <v>16617.472152447997</v>
      </c>
      <c r="G45" s="108" t="s">
        <v>24</v>
      </c>
      <c r="H45" s="110" t="s">
        <v>53</v>
      </c>
      <c r="J45" s="111">
        <v>1.5</v>
      </c>
      <c r="K45" s="111" t="s">
        <v>1314</v>
      </c>
      <c r="L45" s="116" t="s">
        <v>1746</v>
      </c>
      <c r="N45" s="190" t="s">
        <v>1730</v>
      </c>
      <c r="O45" s="190" t="s">
        <v>1714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108" t="s">
        <v>1673</v>
      </c>
      <c r="Z45" s="108" t="s">
        <v>10</v>
      </c>
      <c r="AA45" s="108" t="s">
        <v>1728</v>
      </c>
      <c r="AB45" s="108" t="s">
        <v>1728</v>
      </c>
      <c r="AC45" s="108" t="s">
        <v>1728</v>
      </c>
      <c r="AD45" s="108" t="s">
        <v>1728</v>
      </c>
      <c r="AE45" s="108" t="s">
        <v>1728</v>
      </c>
      <c r="AF45" s="108" t="s">
        <v>1728</v>
      </c>
      <c r="AG45" s="108" t="s">
        <v>1728</v>
      </c>
      <c r="AH45" s="108" t="s">
        <v>1728</v>
      </c>
      <c r="AI45" s="108" t="s">
        <v>1728</v>
      </c>
      <c r="AJ45" s="108" t="s">
        <v>1728</v>
      </c>
      <c r="AK45" s="108" t="s">
        <v>1865</v>
      </c>
    </row>
    <row r="46" spans="1:40" s="197" customFormat="1" ht="44.1" customHeight="1" x14ac:dyDescent="0.3">
      <c r="A46" s="108"/>
      <c r="B46" s="108" t="s">
        <v>1360</v>
      </c>
      <c r="C46" s="108" t="s">
        <v>1729</v>
      </c>
      <c r="D46" s="108" t="s">
        <v>1756</v>
      </c>
      <c r="E46" s="108">
        <v>12.53</v>
      </c>
      <c r="F46" s="226">
        <v>15224.98</v>
      </c>
      <c r="G46" s="108" t="s">
        <v>24</v>
      </c>
      <c r="H46" s="108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92"/>
      <c r="O46" s="190"/>
      <c r="P46"/>
      <c r="Q46" t="s">
        <v>12</v>
      </c>
      <c r="R46" s="111" t="s">
        <v>12</v>
      </c>
      <c r="S46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123" t="s">
        <v>1673</v>
      </c>
      <c r="Z46" s="123" t="s">
        <v>8</v>
      </c>
      <c r="AA46" s="123">
        <v>46199</v>
      </c>
      <c r="AB46" s="123">
        <v>46245</v>
      </c>
      <c r="AC46" s="108"/>
      <c r="AD46" s="108"/>
      <c r="AE46" s="108"/>
      <c r="AF46" s="108"/>
      <c r="AG46" s="108"/>
      <c r="AH46" s="110"/>
      <c r="AI46" s="50"/>
      <c r="AJ46" s="108"/>
      <c r="AK46" s="108"/>
      <c r="AL46"/>
      <c r="AM46"/>
      <c r="AN46"/>
    </row>
    <row r="47" spans="1:40" ht="44.1" customHeight="1" x14ac:dyDescent="0.3">
      <c r="A47" s="110" t="s">
        <v>1725</v>
      </c>
      <c r="B47" s="108" t="s">
        <v>926</v>
      </c>
      <c r="C47" s="108" t="s">
        <v>1726</v>
      </c>
      <c r="D47" s="214" t="s">
        <v>1397</v>
      </c>
      <c r="E47" s="215">
        <v>5.6520000000000001</v>
      </c>
      <c r="F47" s="225">
        <v>10239.625233337503</v>
      </c>
      <c r="G47" s="108" t="s">
        <v>24</v>
      </c>
      <c r="H47" s="110" t="s">
        <v>42</v>
      </c>
      <c r="J47" s="111">
        <v>0.75</v>
      </c>
      <c r="K47" s="111" t="s">
        <v>1757</v>
      </c>
      <c r="L47" s="116" t="s">
        <v>1744</v>
      </c>
      <c r="N47" s="119" t="s">
        <v>12</v>
      </c>
      <c r="O47" s="114" t="s">
        <v>12</v>
      </c>
      <c r="Q47" s="119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108" t="s">
        <v>1673</v>
      </c>
      <c r="Z47" s="108" t="s">
        <v>8</v>
      </c>
      <c r="AA47" s="123">
        <v>46199</v>
      </c>
      <c r="AB47" s="123">
        <v>46245</v>
      </c>
      <c r="AC47" s="108" t="s">
        <v>1728</v>
      </c>
      <c r="AD47" s="108" t="s">
        <v>1728</v>
      </c>
      <c r="AE47" s="108" t="s">
        <v>1728</v>
      </c>
      <c r="AF47" s="108" t="s">
        <v>1728</v>
      </c>
      <c r="AG47" s="108" t="s">
        <v>1728</v>
      </c>
      <c r="AH47" s="108" t="s">
        <v>1728</v>
      </c>
      <c r="AI47" s="108" t="s">
        <v>1728</v>
      </c>
      <c r="AJ47" s="108" t="s">
        <v>1728</v>
      </c>
      <c r="AK47" s="108"/>
    </row>
    <row r="48" spans="1:40" ht="44.1" customHeight="1" x14ac:dyDescent="0.3">
      <c r="A48" s="110" t="s">
        <v>1748</v>
      </c>
      <c r="B48" s="108" t="s">
        <v>1404</v>
      </c>
      <c r="C48" s="108" t="s">
        <v>1750</v>
      </c>
      <c r="D48" s="216" t="s">
        <v>1758</v>
      </c>
      <c r="E48" s="108">
        <v>5.69</v>
      </c>
      <c r="F48" s="210">
        <f>14582.7877499304+3700</f>
        <v>18282.787749930401</v>
      </c>
      <c r="G48" s="108" t="s">
        <v>24</v>
      </c>
      <c r="H48" s="110" t="s">
        <v>1575</v>
      </c>
      <c r="J48" s="111">
        <v>1.2</v>
      </c>
      <c r="K48" s="111" t="s">
        <v>1376</v>
      </c>
      <c r="L48" s="116" t="s">
        <v>1743</v>
      </c>
      <c r="N48" s="119" t="s">
        <v>12</v>
      </c>
      <c r="O48" s="114" t="s">
        <v>12</v>
      </c>
      <c r="Q48" s="119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148">
        <v>46294</v>
      </c>
      <c r="Z48" s="108" t="s">
        <v>10</v>
      </c>
      <c r="AA48" s="123"/>
      <c r="AB48" s="123"/>
      <c r="AC48" s="108"/>
      <c r="AD48" s="108"/>
      <c r="AE48" s="108"/>
      <c r="AF48" s="108"/>
      <c r="AG48" s="108"/>
      <c r="AH48" s="108"/>
      <c r="AI48" s="108"/>
      <c r="AJ48" s="108" t="s">
        <v>1864</v>
      </c>
      <c r="AK48" s="108"/>
    </row>
    <row r="49" spans="1:37" ht="44.1" customHeight="1" x14ac:dyDescent="0.3">
      <c r="A49" s="110" t="s">
        <v>1748</v>
      </c>
      <c r="B49" s="108" t="s">
        <v>1380</v>
      </c>
      <c r="C49" s="108" t="s">
        <v>1750</v>
      </c>
      <c r="D49" s="214" t="s">
        <v>1363</v>
      </c>
      <c r="E49" s="215">
        <v>8.6300000000000008</v>
      </c>
      <c r="F49" s="225">
        <v>12633.085718253134</v>
      </c>
      <c r="G49" s="108" t="s">
        <v>24</v>
      </c>
      <c r="H49" s="110" t="s">
        <v>1575</v>
      </c>
      <c r="J49" s="111">
        <v>1.5</v>
      </c>
      <c r="K49" s="111" t="s">
        <v>1751</v>
      </c>
      <c r="L49" s="116" t="s">
        <v>1744</v>
      </c>
      <c r="N49" s="119" t="s">
        <v>12</v>
      </c>
      <c r="O49" s="114" t="s">
        <v>12</v>
      </c>
      <c r="Q49" s="119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108" t="s">
        <v>1673</v>
      </c>
      <c r="Z49" s="108" t="s">
        <v>8</v>
      </c>
      <c r="AA49" s="123">
        <v>46217</v>
      </c>
      <c r="AB49" s="123">
        <v>46245</v>
      </c>
      <c r="AC49" s="108" t="s">
        <v>1728</v>
      </c>
      <c r="AD49" s="108" t="s">
        <v>1728</v>
      </c>
      <c r="AE49" s="108" t="s">
        <v>1728</v>
      </c>
      <c r="AF49" s="108" t="s">
        <v>1728</v>
      </c>
      <c r="AG49" s="108" t="s">
        <v>1728</v>
      </c>
      <c r="AH49" s="108" t="s">
        <v>1728</v>
      </c>
      <c r="AI49" s="108" t="s">
        <v>1728</v>
      </c>
      <c r="AJ49" s="108" t="s">
        <v>1728</v>
      </c>
      <c r="AK49" s="108"/>
    </row>
    <row r="50" spans="1:37" ht="44.1" customHeight="1" x14ac:dyDescent="0.3">
      <c r="A50" s="110" t="s">
        <v>1748</v>
      </c>
      <c r="B50" s="108" t="s">
        <v>1425</v>
      </c>
      <c r="C50" s="108" t="s">
        <v>1750</v>
      </c>
      <c r="D50" s="216" t="s">
        <v>633</v>
      </c>
      <c r="E50" s="108">
        <v>4</v>
      </c>
      <c r="F50" s="210">
        <v>12157.462698176198</v>
      </c>
      <c r="G50" s="108" t="s">
        <v>24</v>
      </c>
      <c r="H50" s="110" t="s">
        <v>1575</v>
      </c>
      <c r="J50" s="111">
        <v>1.2</v>
      </c>
      <c r="K50" s="111" t="s">
        <v>215</v>
      </c>
      <c r="L50" s="116" t="s">
        <v>1744</v>
      </c>
      <c r="N50" s="119" t="s">
        <v>12</v>
      </c>
      <c r="O50" s="114" t="s">
        <v>12</v>
      </c>
      <c r="Q50" s="119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148">
        <v>46294</v>
      </c>
      <c r="Z50" s="108" t="s">
        <v>10</v>
      </c>
      <c r="AA50" s="123"/>
      <c r="AB50" s="123"/>
      <c r="AC50" s="108"/>
      <c r="AD50" s="108"/>
      <c r="AE50" s="108"/>
      <c r="AF50" s="108"/>
      <c r="AG50" s="108"/>
      <c r="AH50" s="108"/>
      <c r="AI50" s="108"/>
      <c r="AJ50" s="108" t="s">
        <v>1864</v>
      </c>
      <c r="AK50" s="108"/>
    </row>
    <row r="51" spans="1:37" ht="44.1" customHeight="1" x14ac:dyDescent="0.3">
      <c r="A51" s="110" t="s">
        <v>1748</v>
      </c>
      <c r="B51" s="108" t="s">
        <v>1435</v>
      </c>
      <c r="C51" s="108" t="s">
        <v>1750</v>
      </c>
      <c r="D51" s="216" t="s">
        <v>1424</v>
      </c>
      <c r="E51" s="108">
        <v>2.74</v>
      </c>
      <c r="F51" s="210">
        <v>12062.94014484057</v>
      </c>
      <c r="G51" s="108" t="s">
        <v>24</v>
      </c>
      <c r="H51" s="110" t="s">
        <v>1575</v>
      </c>
      <c r="J51" s="111">
        <v>1</v>
      </c>
      <c r="K51" s="111" t="s">
        <v>1376</v>
      </c>
      <c r="L51" s="116" t="s">
        <v>1743</v>
      </c>
      <c r="N51" s="119" t="s">
        <v>12</v>
      </c>
      <c r="O51" s="114" t="s">
        <v>12</v>
      </c>
      <c r="Q51" s="119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148">
        <v>46294</v>
      </c>
      <c r="Z51" s="108" t="s">
        <v>10</v>
      </c>
      <c r="AA51" s="123"/>
      <c r="AB51" s="123"/>
      <c r="AC51" s="108"/>
      <c r="AD51" s="108"/>
      <c r="AE51" s="108"/>
      <c r="AF51" s="108"/>
      <c r="AG51" s="108"/>
      <c r="AH51" s="108"/>
      <c r="AI51" s="108"/>
      <c r="AJ51" s="108" t="s">
        <v>1864</v>
      </c>
      <c r="AK51" s="108"/>
    </row>
    <row r="52" spans="1:37" ht="44.1" customHeight="1" x14ac:dyDescent="0.3">
      <c r="A52" s="110" t="s">
        <v>1748</v>
      </c>
      <c r="B52" s="108" t="s">
        <v>1422</v>
      </c>
      <c r="C52" s="108" t="s">
        <v>1750</v>
      </c>
      <c r="D52" s="216" t="s">
        <v>1363</v>
      </c>
      <c r="E52" s="108">
        <v>4.5999999999999996</v>
      </c>
      <c r="F52" s="210">
        <v>11841.607961308147</v>
      </c>
      <c r="G52" s="108" t="s">
        <v>24</v>
      </c>
      <c r="H52" s="110" t="s">
        <v>1575</v>
      </c>
      <c r="J52" s="111">
        <v>1.5</v>
      </c>
      <c r="K52" s="111" t="s">
        <v>1376</v>
      </c>
      <c r="L52" s="116" t="s">
        <v>1743</v>
      </c>
      <c r="N52" s="119" t="s">
        <v>12</v>
      </c>
      <c r="O52" s="114" t="s">
        <v>12</v>
      </c>
      <c r="Q52" s="119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148">
        <v>46294</v>
      </c>
      <c r="Z52" s="108" t="s">
        <v>10</v>
      </c>
      <c r="AA52" s="123"/>
      <c r="AB52" s="123"/>
      <c r="AC52" s="108"/>
      <c r="AD52" s="108"/>
      <c r="AE52" s="108"/>
      <c r="AF52" s="108"/>
      <c r="AG52" s="108"/>
      <c r="AH52" s="108"/>
      <c r="AI52" s="108"/>
      <c r="AJ52" s="108" t="s">
        <v>1864</v>
      </c>
      <c r="AK52" s="108"/>
    </row>
    <row r="53" spans="1:37" ht="44.1" customHeight="1" x14ac:dyDescent="0.3">
      <c r="A53" s="110" t="s">
        <v>1725</v>
      </c>
      <c r="B53" s="108" t="s">
        <v>1390</v>
      </c>
      <c r="C53" s="108" t="s">
        <v>1726</v>
      </c>
      <c r="D53" s="214" t="s">
        <v>1392</v>
      </c>
      <c r="E53" s="215">
        <v>6.4512</v>
      </c>
      <c r="F53" s="210">
        <v>9529.5824094649397</v>
      </c>
      <c r="G53" s="108" t="s">
        <v>24</v>
      </c>
      <c r="H53" s="110" t="s">
        <v>42</v>
      </c>
      <c r="J53" s="111">
        <v>2.5</v>
      </c>
      <c r="K53" s="111" t="s">
        <v>1759</v>
      </c>
      <c r="L53" s="116" t="s">
        <v>1760</v>
      </c>
      <c r="N53" s="119" t="s">
        <v>12</v>
      </c>
      <c r="O53" s="114" t="s">
        <v>12</v>
      </c>
      <c r="Q53" s="119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108" t="s">
        <v>1673</v>
      </c>
      <c r="Z53" s="108" t="s">
        <v>8</v>
      </c>
      <c r="AA53" s="123">
        <v>46199</v>
      </c>
      <c r="AB53" s="123">
        <v>46245</v>
      </c>
      <c r="AC53" s="123">
        <v>46260</v>
      </c>
      <c r="AD53" s="123" t="s">
        <v>1842</v>
      </c>
      <c r="AE53" s="123">
        <v>46294</v>
      </c>
      <c r="AF53" s="123">
        <v>46294</v>
      </c>
      <c r="AG53" s="123">
        <v>46294</v>
      </c>
      <c r="AH53" s="123">
        <v>46311</v>
      </c>
      <c r="AI53" s="208">
        <v>46456</v>
      </c>
      <c r="AJ53" s="108" t="s">
        <v>1849</v>
      </c>
      <c r="AK53" s="108" t="s">
        <v>1747</v>
      </c>
    </row>
    <row r="54" spans="1:37" ht="44.1" customHeight="1" x14ac:dyDescent="0.3">
      <c r="A54" s="110" t="s">
        <v>1725</v>
      </c>
      <c r="B54" s="108" t="s">
        <v>1761</v>
      </c>
      <c r="C54" s="108" t="s">
        <v>1726</v>
      </c>
      <c r="D54" s="214" t="s">
        <v>1370</v>
      </c>
      <c r="E54" s="215">
        <v>11.65</v>
      </c>
      <c r="F54" s="210">
        <v>10196.017828738581</v>
      </c>
      <c r="G54" s="108" t="s">
        <v>24</v>
      </c>
      <c r="H54" s="110" t="s">
        <v>1762</v>
      </c>
      <c r="J54" s="111">
        <v>4</v>
      </c>
      <c r="K54" s="111" t="s">
        <v>1763</v>
      </c>
      <c r="L54" s="116" t="s">
        <v>1764</v>
      </c>
      <c r="N54" s="119" t="s">
        <v>12</v>
      </c>
      <c r="O54" s="114" t="s">
        <v>12</v>
      </c>
      <c r="Q54" s="119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108" t="s">
        <v>1673</v>
      </c>
      <c r="Z54" s="108" t="s">
        <v>8</v>
      </c>
      <c r="AA54" s="123">
        <v>46199</v>
      </c>
      <c r="AB54" s="123" t="s">
        <v>1728</v>
      </c>
      <c r="AC54" s="123" t="s">
        <v>1728</v>
      </c>
      <c r="AD54" s="123" t="s">
        <v>1728</v>
      </c>
      <c r="AE54" s="123" t="s">
        <v>1728</v>
      </c>
      <c r="AF54" s="123" t="s">
        <v>1728</v>
      </c>
      <c r="AG54" s="123" t="s">
        <v>1728</v>
      </c>
      <c r="AH54" s="123" t="s">
        <v>1728</v>
      </c>
      <c r="AI54" s="123" t="s">
        <v>1728</v>
      </c>
      <c r="AJ54" s="123" t="s">
        <v>1728</v>
      </c>
      <c r="AK54" s="108" t="s">
        <v>1765</v>
      </c>
    </row>
    <row r="55" spans="1:37" ht="44.1" customHeight="1" x14ac:dyDescent="0.3">
      <c r="A55" s="110" t="s">
        <v>1748</v>
      </c>
      <c r="B55" s="108" t="s">
        <v>1467</v>
      </c>
      <c r="C55" s="108" t="s">
        <v>1750</v>
      </c>
      <c r="D55" s="214" t="s">
        <v>1468</v>
      </c>
      <c r="E55" s="215">
        <v>0.66</v>
      </c>
      <c r="F55" s="210">
        <v>9673.2695159100913</v>
      </c>
      <c r="G55" s="108" t="s">
        <v>24</v>
      </c>
      <c r="H55" s="110" t="s">
        <v>1575</v>
      </c>
      <c r="J55" s="111">
        <v>1.2</v>
      </c>
      <c r="K55" s="111" t="s">
        <v>1376</v>
      </c>
      <c r="L55" s="116" t="s">
        <v>1743</v>
      </c>
      <c r="N55" s="119" t="s">
        <v>12</v>
      </c>
      <c r="O55" s="114" t="s">
        <v>12</v>
      </c>
      <c r="Q55" s="119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148">
        <v>46294</v>
      </c>
      <c r="Z55" s="108" t="s">
        <v>10</v>
      </c>
      <c r="AA55" s="123"/>
      <c r="AB55" s="123"/>
      <c r="AC55" s="108"/>
      <c r="AD55" s="108"/>
      <c r="AE55" s="108"/>
      <c r="AF55" s="108"/>
      <c r="AG55" s="108"/>
      <c r="AH55" s="108"/>
      <c r="AI55" s="108"/>
      <c r="AJ55" s="108" t="s">
        <v>1864</v>
      </c>
      <c r="AK55" s="108"/>
    </row>
    <row r="56" spans="1:37" ht="44.1" customHeight="1" x14ac:dyDescent="0.3">
      <c r="A56" s="110" t="s">
        <v>1748</v>
      </c>
      <c r="B56" s="108" t="s">
        <v>1430</v>
      </c>
      <c r="C56" s="108" t="s">
        <v>1750</v>
      </c>
      <c r="D56" s="214" t="s">
        <v>1363</v>
      </c>
      <c r="E56" s="215">
        <v>2.89</v>
      </c>
      <c r="F56" s="210">
        <f>5800+9606.03732269998</f>
        <v>15406.03732269998</v>
      </c>
      <c r="G56" s="108" t="s">
        <v>24</v>
      </c>
      <c r="H56" s="110" t="s">
        <v>1575</v>
      </c>
      <c r="J56" s="111">
        <v>1</v>
      </c>
      <c r="K56" s="111" t="s">
        <v>215</v>
      </c>
      <c r="L56" s="116" t="s">
        <v>1744</v>
      </c>
      <c r="N56" s="119" t="s">
        <v>12</v>
      </c>
      <c r="O56" s="114" t="s">
        <v>12</v>
      </c>
      <c r="Q56" s="119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148">
        <v>46294</v>
      </c>
      <c r="Z56" s="108" t="s">
        <v>10</v>
      </c>
      <c r="AA56" s="123"/>
      <c r="AB56" s="123"/>
      <c r="AC56" s="108"/>
      <c r="AD56" s="108"/>
      <c r="AE56" s="108"/>
      <c r="AF56" s="108"/>
      <c r="AG56" s="108"/>
      <c r="AH56" s="108"/>
      <c r="AI56" s="108"/>
      <c r="AJ56" s="108" t="s">
        <v>1864</v>
      </c>
      <c r="AK56" s="108"/>
    </row>
    <row r="57" spans="1:37" ht="44.1" customHeight="1" x14ac:dyDescent="0.3">
      <c r="A57" s="110" t="s">
        <v>1725</v>
      </c>
      <c r="B57" s="108" t="s">
        <v>1401</v>
      </c>
      <c r="C57" s="108" t="s">
        <v>1726</v>
      </c>
      <c r="D57" s="214" t="s">
        <v>1402</v>
      </c>
      <c r="E57" s="215">
        <v>5.1935000000000002</v>
      </c>
      <c r="F57" s="225">
        <v>8902.0294336259212</v>
      </c>
      <c r="G57" s="108" t="s">
        <v>24</v>
      </c>
      <c r="H57" s="110" t="s">
        <v>42</v>
      </c>
      <c r="J57" s="111">
        <v>0.8</v>
      </c>
      <c r="K57" s="111" t="s">
        <v>1766</v>
      </c>
      <c r="L57" s="116" t="s">
        <v>1744</v>
      </c>
      <c r="N57" s="119" t="s">
        <v>12</v>
      </c>
      <c r="O57" s="114" t="s">
        <v>12</v>
      </c>
      <c r="Q57" s="119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108" t="s">
        <v>1673</v>
      </c>
      <c r="Z57" s="108" t="s">
        <v>8</v>
      </c>
      <c r="AA57" s="123">
        <v>46199</v>
      </c>
      <c r="AB57" s="123">
        <v>46245</v>
      </c>
      <c r="AC57" s="108" t="s">
        <v>1728</v>
      </c>
      <c r="AD57" s="108" t="s">
        <v>1728</v>
      </c>
      <c r="AE57" s="108" t="s">
        <v>1728</v>
      </c>
      <c r="AF57" s="108" t="s">
        <v>1728</v>
      </c>
      <c r="AG57" s="108" t="s">
        <v>1728</v>
      </c>
      <c r="AH57" s="108" t="s">
        <v>1728</v>
      </c>
      <c r="AI57" s="108" t="s">
        <v>1728</v>
      </c>
      <c r="AJ57" s="108" t="s">
        <v>1728</v>
      </c>
      <c r="AK57" s="108"/>
    </row>
    <row r="58" spans="1:37" ht="44.1" customHeight="1" x14ac:dyDescent="0.3">
      <c r="A58" s="110" t="s">
        <v>1748</v>
      </c>
      <c r="B58" s="108" t="s">
        <v>1386</v>
      </c>
      <c r="C58" s="108" t="s">
        <v>1750</v>
      </c>
      <c r="D58" s="108" t="s">
        <v>1387</v>
      </c>
      <c r="E58" s="108">
        <v>6.84</v>
      </c>
      <c r="F58" s="210">
        <v>8977.6446340546463</v>
      </c>
      <c r="G58" s="108" t="s">
        <v>24</v>
      </c>
      <c r="H58" s="108" t="s">
        <v>1575</v>
      </c>
      <c r="J58" s="111">
        <v>3</v>
      </c>
      <c r="K58" s="111" t="s">
        <v>1366</v>
      </c>
      <c r="L58" s="116" t="s">
        <v>1746</v>
      </c>
      <c r="N58" s="119" t="s">
        <v>12</v>
      </c>
      <c r="O58" s="114" t="s">
        <v>12</v>
      </c>
      <c r="Q58" s="119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148">
        <v>46294</v>
      </c>
      <c r="Z58" s="108" t="s">
        <v>10</v>
      </c>
      <c r="AA58" s="123"/>
      <c r="AB58" s="123"/>
      <c r="AC58" s="108"/>
      <c r="AD58" s="108"/>
      <c r="AE58" s="108"/>
      <c r="AF58" s="108"/>
      <c r="AG58" s="108"/>
      <c r="AH58" s="108"/>
      <c r="AI58" s="108"/>
      <c r="AJ58" s="108" t="s">
        <v>1864</v>
      </c>
      <c r="AK58" s="108"/>
    </row>
    <row r="59" spans="1:37" ht="44.1" customHeight="1" x14ac:dyDescent="0.3">
      <c r="A59" s="110" t="s">
        <v>1725</v>
      </c>
      <c r="B59" s="108" t="s">
        <v>1365</v>
      </c>
      <c r="C59" s="108" t="s">
        <v>1726</v>
      </c>
      <c r="D59" s="214" t="s">
        <v>1367</v>
      </c>
      <c r="E59" s="215">
        <v>12.333375</v>
      </c>
      <c r="F59" s="210">
        <v>8426.3931185615984</v>
      </c>
      <c r="G59" s="108" t="s">
        <v>24</v>
      </c>
      <c r="H59" s="110" t="s">
        <v>42</v>
      </c>
      <c r="J59" s="111">
        <v>1.8</v>
      </c>
      <c r="K59" s="111" t="s">
        <v>1767</v>
      </c>
      <c r="L59" s="116" t="s">
        <v>1746</v>
      </c>
      <c r="N59" s="119" t="s">
        <v>12</v>
      </c>
      <c r="O59" s="114" t="s">
        <v>12</v>
      </c>
      <c r="Q59" s="119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108" t="s">
        <v>1673</v>
      </c>
      <c r="Z59" s="108" t="s">
        <v>8</v>
      </c>
      <c r="AA59" s="123">
        <v>46199</v>
      </c>
      <c r="AB59" s="123">
        <v>46245</v>
      </c>
      <c r="AC59" s="123">
        <v>46260</v>
      </c>
      <c r="AD59" s="123" t="s">
        <v>1842</v>
      </c>
      <c r="AE59" s="123">
        <v>46294</v>
      </c>
      <c r="AF59" s="123">
        <v>46294</v>
      </c>
      <c r="AG59" s="123">
        <v>46294</v>
      </c>
      <c r="AH59" s="123">
        <v>46311</v>
      </c>
      <c r="AI59" s="208">
        <v>46456</v>
      </c>
      <c r="AJ59" s="108" t="s">
        <v>1849</v>
      </c>
      <c r="AK59" s="108" t="s">
        <v>1747</v>
      </c>
    </row>
    <row r="60" spans="1:37" ht="44.1" customHeight="1" x14ac:dyDescent="0.3">
      <c r="A60" s="110" t="s">
        <v>1725</v>
      </c>
      <c r="B60" s="108" t="s">
        <v>1458</v>
      </c>
      <c r="C60" s="108" t="s">
        <v>1726</v>
      </c>
      <c r="D60" s="214" t="s">
        <v>1459</v>
      </c>
      <c r="E60" s="215">
        <v>1.0164</v>
      </c>
      <c r="F60" s="210">
        <v>7591.6560892095195</v>
      </c>
      <c r="G60" s="108" t="s">
        <v>24</v>
      </c>
      <c r="H60" s="110" t="s">
        <v>42</v>
      </c>
      <c r="J60" s="111">
        <v>1.5</v>
      </c>
      <c r="K60" s="111" t="s">
        <v>1427</v>
      </c>
      <c r="L60" s="116" t="s">
        <v>1746</v>
      </c>
      <c r="N60" s="119" t="s">
        <v>12</v>
      </c>
      <c r="O60" s="114" t="s">
        <v>12</v>
      </c>
      <c r="Q60" s="119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108" t="s">
        <v>1673</v>
      </c>
      <c r="Z60" s="108" t="s">
        <v>8</v>
      </c>
      <c r="AA60" s="123">
        <v>46199</v>
      </c>
      <c r="AB60" s="123">
        <v>46245</v>
      </c>
      <c r="AC60" s="123">
        <v>46260</v>
      </c>
      <c r="AD60" s="123" t="s">
        <v>1842</v>
      </c>
      <c r="AE60" s="123">
        <v>46294</v>
      </c>
      <c r="AF60" s="123">
        <v>46294</v>
      </c>
      <c r="AG60" s="123">
        <v>46294</v>
      </c>
      <c r="AH60" s="123">
        <v>46311</v>
      </c>
      <c r="AI60" s="208">
        <v>46456</v>
      </c>
      <c r="AJ60" s="108" t="s">
        <v>1849</v>
      </c>
      <c r="AK60" s="108" t="s">
        <v>1747</v>
      </c>
    </row>
    <row r="61" spans="1:37" ht="44.1" customHeight="1" x14ac:dyDescent="0.3">
      <c r="A61" s="195" t="s">
        <v>1768</v>
      </c>
      <c r="B61" s="108" t="s">
        <v>430</v>
      </c>
      <c r="C61" s="108"/>
      <c r="D61" s="214" t="s">
        <v>1769</v>
      </c>
      <c r="E61" s="108">
        <v>5.6</v>
      </c>
      <c r="F61" s="210">
        <v>13137.64</v>
      </c>
      <c r="G61" s="108" t="s">
        <v>34</v>
      </c>
      <c r="H61" s="110" t="s">
        <v>45</v>
      </c>
      <c r="J61" s="111">
        <v>3</v>
      </c>
      <c r="K61" s="111" t="s">
        <v>1770</v>
      </c>
      <c r="L61" s="116" t="s">
        <v>12</v>
      </c>
      <c r="N61" s="119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123">
        <v>46038</v>
      </c>
      <c r="Z61" s="108" t="s">
        <v>8</v>
      </c>
      <c r="AA61" s="123">
        <v>46038</v>
      </c>
      <c r="AB61" s="123">
        <v>46069</v>
      </c>
      <c r="AC61" s="123">
        <v>46071</v>
      </c>
      <c r="AD61" s="123" t="s">
        <v>1842</v>
      </c>
      <c r="AE61" s="108" t="s">
        <v>1674</v>
      </c>
      <c r="AF61" s="108" t="s">
        <v>1674</v>
      </c>
      <c r="AG61" s="108"/>
      <c r="AH61" s="108"/>
      <c r="AI61" s="108"/>
      <c r="AJ61" s="108"/>
      <c r="AK61" s="108"/>
    </row>
    <row r="62" spans="1:37" ht="44.1" customHeight="1" x14ac:dyDescent="0.3">
      <c r="A62" s="110" t="s">
        <v>1725</v>
      </c>
      <c r="B62" s="108" t="s">
        <v>1439</v>
      </c>
      <c r="C62" s="108" t="s">
        <v>1726</v>
      </c>
      <c r="D62" s="214" t="s">
        <v>1771</v>
      </c>
      <c r="E62" s="215">
        <v>2.2283600000000003</v>
      </c>
      <c r="F62" s="210">
        <v>8029.7351111249855</v>
      </c>
      <c r="G62" s="108" t="s">
        <v>24</v>
      </c>
      <c r="H62" s="110" t="s">
        <v>51</v>
      </c>
      <c r="J62" s="111">
        <v>1.5</v>
      </c>
      <c r="K62" s="111" t="s">
        <v>1427</v>
      </c>
      <c r="L62" s="116" t="s">
        <v>1695</v>
      </c>
      <c r="N62" s="119" t="s">
        <v>12</v>
      </c>
      <c r="O62" s="114" t="s">
        <v>12</v>
      </c>
      <c r="Q62" s="119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108" t="s">
        <v>1673</v>
      </c>
      <c r="Z62" s="108" t="s">
        <v>10</v>
      </c>
      <c r="AA62" s="123">
        <v>46199</v>
      </c>
      <c r="AB62" s="108" t="s">
        <v>1728</v>
      </c>
      <c r="AC62" s="108" t="s">
        <v>1728</v>
      </c>
      <c r="AD62" s="108" t="s">
        <v>1728</v>
      </c>
      <c r="AE62" s="108" t="s">
        <v>1728</v>
      </c>
      <c r="AF62" s="108" t="s">
        <v>1728</v>
      </c>
      <c r="AG62" s="108" t="s">
        <v>1728</v>
      </c>
      <c r="AH62" s="108" t="s">
        <v>1728</v>
      </c>
      <c r="AI62" s="108" t="s">
        <v>1728</v>
      </c>
      <c r="AJ62" s="108" t="s">
        <v>1728</v>
      </c>
      <c r="AK62" s="108" t="s">
        <v>1780</v>
      </c>
    </row>
    <row r="63" spans="1:37" ht="44.1" customHeight="1" x14ac:dyDescent="0.3">
      <c r="A63" s="110" t="s">
        <v>1748</v>
      </c>
      <c r="B63" s="108" t="s">
        <v>1388</v>
      </c>
      <c r="C63" s="108" t="s">
        <v>1750</v>
      </c>
      <c r="D63" s="214" t="s">
        <v>1363</v>
      </c>
      <c r="E63" s="215">
        <v>4.16</v>
      </c>
      <c r="F63" s="210">
        <v>7989.1897730873443</v>
      </c>
      <c r="G63" s="108" t="s">
        <v>24</v>
      </c>
      <c r="H63" s="110" t="s">
        <v>1575</v>
      </c>
      <c r="J63" s="111">
        <v>1.2</v>
      </c>
      <c r="K63" s="111" t="s">
        <v>215</v>
      </c>
      <c r="L63" s="116" t="s">
        <v>1744</v>
      </c>
      <c r="N63" s="119" t="s">
        <v>12</v>
      </c>
      <c r="O63" s="114" t="s">
        <v>12</v>
      </c>
      <c r="Q63" s="119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148">
        <v>46294</v>
      </c>
      <c r="Z63" s="108" t="s">
        <v>10</v>
      </c>
      <c r="AA63" s="123"/>
      <c r="AB63" s="123"/>
      <c r="AC63" s="108"/>
      <c r="AD63" s="108"/>
      <c r="AE63" s="108"/>
      <c r="AF63" s="108"/>
      <c r="AG63" s="108"/>
      <c r="AH63" s="108"/>
      <c r="AI63" s="108"/>
      <c r="AJ63" s="108" t="s">
        <v>1864</v>
      </c>
      <c r="AK63" s="108"/>
    </row>
    <row r="64" spans="1:37" ht="44.1" customHeight="1" x14ac:dyDescent="0.3">
      <c r="A64" s="110" t="s">
        <v>1725</v>
      </c>
      <c r="B64" s="108" t="s">
        <v>1444</v>
      </c>
      <c r="C64" s="108" t="s">
        <v>1726</v>
      </c>
      <c r="D64" s="214" t="s">
        <v>1772</v>
      </c>
      <c r="E64" s="215">
        <v>2.1937499999999996</v>
      </c>
      <c r="F64" s="225">
        <v>7375.3943988375131</v>
      </c>
      <c r="G64" s="108" t="s">
        <v>24</v>
      </c>
      <c r="H64" s="110" t="s">
        <v>42</v>
      </c>
      <c r="J64" s="111">
        <v>1.2</v>
      </c>
      <c r="K64" s="111" t="s">
        <v>1767</v>
      </c>
      <c r="L64" s="116" t="s">
        <v>1744</v>
      </c>
      <c r="N64" s="119" t="s">
        <v>12</v>
      </c>
      <c r="O64" s="114" t="s">
        <v>12</v>
      </c>
      <c r="Q64" s="119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108" t="s">
        <v>1673</v>
      </c>
      <c r="Z64" s="108" t="s">
        <v>8</v>
      </c>
      <c r="AA64" s="123">
        <v>46199</v>
      </c>
      <c r="AB64" s="108" t="s">
        <v>1728</v>
      </c>
      <c r="AC64" s="108" t="s">
        <v>1728</v>
      </c>
      <c r="AD64" s="108" t="s">
        <v>1728</v>
      </c>
      <c r="AE64" s="108" t="s">
        <v>1728</v>
      </c>
      <c r="AF64" s="108" t="s">
        <v>1728</v>
      </c>
      <c r="AG64" s="108" t="s">
        <v>1728</v>
      </c>
      <c r="AH64" s="108" t="s">
        <v>1728</v>
      </c>
      <c r="AI64" s="108" t="s">
        <v>1728</v>
      </c>
      <c r="AJ64" s="108" t="s">
        <v>1728</v>
      </c>
      <c r="AK64" s="108"/>
    </row>
    <row r="65" spans="1:37" ht="44.1" customHeight="1" x14ac:dyDescent="0.3">
      <c r="A65" s="110" t="s">
        <v>1725</v>
      </c>
      <c r="B65" s="108" t="s">
        <v>1419</v>
      </c>
      <c r="C65" s="108" t="s">
        <v>1726</v>
      </c>
      <c r="D65" s="214" t="s">
        <v>1420</v>
      </c>
      <c r="E65" s="215">
        <v>3.8872200000000001</v>
      </c>
      <c r="F65" s="210">
        <v>6848.7510031367929</v>
      </c>
      <c r="G65" s="108" t="s">
        <v>24</v>
      </c>
      <c r="H65" s="110" t="s">
        <v>42</v>
      </c>
      <c r="J65" s="111">
        <v>1.6</v>
      </c>
      <c r="K65" s="111" t="s">
        <v>1773</v>
      </c>
      <c r="L65" s="116" t="s">
        <v>1746</v>
      </c>
      <c r="N65" s="119" t="s">
        <v>12</v>
      </c>
      <c r="O65" s="114" t="s">
        <v>12</v>
      </c>
      <c r="Q65" s="119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108" t="s">
        <v>1673</v>
      </c>
      <c r="Z65" s="108" t="s">
        <v>8</v>
      </c>
      <c r="AA65" s="123">
        <v>46199</v>
      </c>
      <c r="AB65" s="123">
        <v>46245</v>
      </c>
      <c r="AC65" s="123">
        <v>46260</v>
      </c>
      <c r="AD65" s="123" t="s">
        <v>1842</v>
      </c>
      <c r="AE65" s="123">
        <v>46294</v>
      </c>
      <c r="AF65" s="123">
        <v>46294</v>
      </c>
      <c r="AG65" s="123">
        <v>46294</v>
      </c>
      <c r="AH65" s="123">
        <v>46311</v>
      </c>
      <c r="AI65" s="208">
        <v>46456</v>
      </c>
      <c r="AJ65" s="108" t="s">
        <v>1849</v>
      </c>
      <c r="AK65" s="108" t="s">
        <v>1747</v>
      </c>
    </row>
    <row r="66" spans="1:37" ht="44.1" customHeight="1" x14ac:dyDescent="0.3">
      <c r="A66" s="110" t="s">
        <v>1725</v>
      </c>
      <c r="B66" s="108" t="s">
        <v>1411</v>
      </c>
      <c r="C66" s="108" t="s">
        <v>1726</v>
      </c>
      <c r="D66" s="214" t="s">
        <v>1412</v>
      </c>
      <c r="E66" s="215">
        <v>4.2117500000000003</v>
      </c>
      <c r="F66" s="210">
        <v>6584.071068839311</v>
      </c>
      <c r="G66" s="108" t="s">
        <v>24</v>
      </c>
      <c r="H66" s="110" t="s">
        <v>42</v>
      </c>
      <c r="J66" s="111">
        <v>1.5</v>
      </c>
      <c r="K66" s="111" t="s">
        <v>1427</v>
      </c>
      <c r="L66" s="116" t="s">
        <v>1746</v>
      </c>
      <c r="N66" s="119" t="s">
        <v>12</v>
      </c>
      <c r="O66" s="114" t="s">
        <v>12</v>
      </c>
      <c r="Q66" s="119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108" t="s">
        <v>1673</v>
      </c>
      <c r="Z66" s="108" t="s">
        <v>8</v>
      </c>
      <c r="AA66" s="123">
        <v>46199</v>
      </c>
      <c r="AB66" s="123">
        <v>46245</v>
      </c>
      <c r="AC66" s="123">
        <v>46260</v>
      </c>
      <c r="AD66" s="123" t="s">
        <v>1842</v>
      </c>
      <c r="AE66" s="123">
        <v>46294</v>
      </c>
      <c r="AF66" s="123">
        <v>46294</v>
      </c>
      <c r="AG66" s="123">
        <v>46294</v>
      </c>
      <c r="AH66" s="123">
        <v>46311</v>
      </c>
      <c r="AI66" s="208">
        <v>46456</v>
      </c>
      <c r="AJ66" s="108" t="s">
        <v>1849</v>
      </c>
      <c r="AK66" s="108" t="s">
        <v>1747</v>
      </c>
    </row>
    <row r="67" spans="1:37" ht="44.1" customHeight="1" x14ac:dyDescent="0.3">
      <c r="A67" s="110" t="s">
        <v>1725</v>
      </c>
      <c r="B67" s="108" t="s">
        <v>1383</v>
      </c>
      <c r="C67" s="108" t="s">
        <v>1726</v>
      </c>
      <c r="D67" s="214" t="s">
        <v>1774</v>
      </c>
      <c r="E67" s="215">
        <v>6.5935199999999998</v>
      </c>
      <c r="F67" s="210">
        <v>6829.6049839277157</v>
      </c>
      <c r="G67" s="108" t="s">
        <v>24</v>
      </c>
      <c r="H67" s="110" t="s">
        <v>51</v>
      </c>
      <c r="J67" s="111">
        <v>1.2</v>
      </c>
      <c r="K67" s="111" t="s">
        <v>1376</v>
      </c>
      <c r="L67" s="116" t="s">
        <v>1743</v>
      </c>
      <c r="N67" s="119" t="s">
        <v>12</v>
      </c>
      <c r="O67" s="114" t="s">
        <v>12</v>
      </c>
      <c r="Q67" s="119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108" t="s">
        <v>1673</v>
      </c>
      <c r="Z67" s="108" t="s">
        <v>10</v>
      </c>
      <c r="AA67" s="123">
        <v>46199</v>
      </c>
      <c r="AB67" s="108" t="s">
        <v>1728</v>
      </c>
      <c r="AC67" s="108" t="s">
        <v>1728</v>
      </c>
      <c r="AD67" s="108" t="s">
        <v>1728</v>
      </c>
      <c r="AE67" s="108" t="s">
        <v>1728</v>
      </c>
      <c r="AF67" s="108" t="s">
        <v>1728</v>
      </c>
      <c r="AG67" s="108" t="s">
        <v>1728</v>
      </c>
      <c r="AH67" s="108" t="s">
        <v>1728</v>
      </c>
      <c r="AI67" s="108" t="s">
        <v>1728</v>
      </c>
      <c r="AJ67" s="108" t="s">
        <v>1728</v>
      </c>
      <c r="AK67" s="108" t="s">
        <v>1780</v>
      </c>
    </row>
    <row r="68" spans="1:37" ht="44.1" customHeight="1" x14ac:dyDescent="0.3">
      <c r="A68" s="110" t="s">
        <v>1725</v>
      </c>
      <c r="B68" s="108" t="s">
        <v>1395</v>
      </c>
      <c r="C68" s="108" t="s">
        <v>1726</v>
      </c>
      <c r="D68" s="214" t="s">
        <v>1396</v>
      </c>
      <c r="E68" s="215">
        <v>5.9535</v>
      </c>
      <c r="F68" s="210">
        <v>6369.1097869769919</v>
      </c>
      <c r="G68" s="108" t="s">
        <v>24</v>
      </c>
      <c r="H68" s="110" t="s">
        <v>42</v>
      </c>
      <c r="J68" s="111">
        <v>2.5</v>
      </c>
      <c r="K68" s="111" t="s">
        <v>1391</v>
      </c>
      <c r="L68" s="116" t="s">
        <v>1775</v>
      </c>
      <c r="N68" s="119" t="s">
        <v>12</v>
      </c>
      <c r="O68" s="114" t="s">
        <v>12</v>
      </c>
      <c r="Q68" s="119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108" t="s">
        <v>1673</v>
      </c>
      <c r="Z68" s="108" t="s">
        <v>8</v>
      </c>
      <c r="AA68" s="123">
        <v>46199</v>
      </c>
      <c r="AB68" s="123">
        <v>46245</v>
      </c>
      <c r="AC68" s="123">
        <v>46260</v>
      </c>
      <c r="AD68" s="123" t="s">
        <v>1842</v>
      </c>
      <c r="AE68" s="123">
        <v>46294</v>
      </c>
      <c r="AF68" s="123">
        <v>46294</v>
      </c>
      <c r="AG68" s="123">
        <v>46294</v>
      </c>
      <c r="AH68" s="123">
        <v>46311</v>
      </c>
      <c r="AI68" s="208">
        <v>46456</v>
      </c>
      <c r="AJ68" s="108" t="s">
        <v>1849</v>
      </c>
      <c r="AK68" s="108" t="s">
        <v>1747</v>
      </c>
    </row>
    <row r="69" spans="1:37" ht="44.1" customHeight="1" x14ac:dyDescent="0.3">
      <c r="A69" s="110" t="s">
        <v>1725</v>
      </c>
      <c r="B69" s="108" t="s">
        <v>1416</v>
      </c>
      <c r="C69" s="108" t="s">
        <v>1726</v>
      </c>
      <c r="D69" s="214" t="s">
        <v>1412</v>
      </c>
      <c r="E69" s="215">
        <v>3.9763875000000004</v>
      </c>
      <c r="F69" s="225">
        <v>6302.4478452360854</v>
      </c>
      <c r="G69" s="108" t="s">
        <v>24</v>
      </c>
      <c r="H69" s="110" t="s">
        <v>42</v>
      </c>
      <c r="J69" s="111">
        <v>1.5</v>
      </c>
      <c r="K69" s="111" t="s">
        <v>1366</v>
      </c>
      <c r="L69" s="116" t="s">
        <v>1746</v>
      </c>
      <c r="N69" s="119" t="s">
        <v>12</v>
      </c>
      <c r="O69" s="114" t="s">
        <v>12</v>
      </c>
      <c r="Q69" s="119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108" t="s">
        <v>1673</v>
      </c>
      <c r="Z69" s="108" t="s">
        <v>8</v>
      </c>
      <c r="AA69" s="123">
        <v>46199</v>
      </c>
      <c r="AB69" s="108" t="s">
        <v>1728</v>
      </c>
      <c r="AC69" s="108" t="s">
        <v>1728</v>
      </c>
      <c r="AD69" s="108" t="s">
        <v>1728</v>
      </c>
      <c r="AE69" s="108" t="s">
        <v>1728</v>
      </c>
      <c r="AF69" s="108" t="s">
        <v>1728</v>
      </c>
      <c r="AG69" s="108" t="s">
        <v>1728</v>
      </c>
      <c r="AH69" s="108" t="s">
        <v>1728</v>
      </c>
      <c r="AI69" s="108" t="s">
        <v>1728</v>
      </c>
      <c r="AJ69" s="108" t="s">
        <v>1728</v>
      </c>
      <c r="AK69" s="108"/>
    </row>
    <row r="70" spans="1:37" ht="44.1" customHeight="1" x14ac:dyDescent="0.3">
      <c r="A70" s="110" t="s">
        <v>1725</v>
      </c>
      <c r="B70" s="108" t="s">
        <v>1447</v>
      </c>
      <c r="C70" s="108" t="s">
        <v>1726</v>
      </c>
      <c r="D70" s="214" t="s">
        <v>1448</v>
      </c>
      <c r="E70" s="215">
        <v>1.95</v>
      </c>
      <c r="F70" s="225">
        <v>6109.2115281288543</v>
      </c>
      <c r="G70" s="108" t="s">
        <v>24</v>
      </c>
      <c r="H70" s="110" t="s">
        <v>42</v>
      </c>
      <c r="J70" s="111">
        <v>0.7</v>
      </c>
      <c r="K70" s="111" t="s">
        <v>215</v>
      </c>
      <c r="L70" s="116" t="s">
        <v>1744</v>
      </c>
      <c r="N70" s="119" t="s">
        <v>12</v>
      </c>
      <c r="O70" s="114" t="s">
        <v>12</v>
      </c>
      <c r="Q70" s="119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108" t="s">
        <v>1673</v>
      </c>
      <c r="Z70" s="108" t="s">
        <v>8</v>
      </c>
      <c r="AA70" s="123">
        <v>46199</v>
      </c>
      <c r="AB70" s="108" t="s">
        <v>1728</v>
      </c>
      <c r="AC70" s="108" t="s">
        <v>1728</v>
      </c>
      <c r="AD70" s="108" t="s">
        <v>1728</v>
      </c>
      <c r="AE70" s="108" t="s">
        <v>1728</v>
      </c>
      <c r="AF70" s="108" t="s">
        <v>1728</v>
      </c>
      <c r="AG70" s="108" t="s">
        <v>1728</v>
      </c>
      <c r="AH70" s="108" t="s">
        <v>1728</v>
      </c>
      <c r="AI70" s="108" t="s">
        <v>1728</v>
      </c>
      <c r="AJ70" s="108" t="s">
        <v>1728</v>
      </c>
      <c r="AK70" s="108"/>
    </row>
    <row r="71" spans="1:37" ht="44.1" customHeight="1" x14ac:dyDescent="0.3">
      <c r="A71" s="110" t="s">
        <v>1748</v>
      </c>
      <c r="B71" s="108" t="s">
        <v>1480</v>
      </c>
      <c r="C71" s="108" t="s">
        <v>1750</v>
      </c>
      <c r="D71" s="214" t="s">
        <v>1481</v>
      </c>
      <c r="E71" s="215">
        <v>0.05</v>
      </c>
      <c r="F71" s="210">
        <v>6241.7428491599348</v>
      </c>
      <c r="G71" s="108" t="s">
        <v>24</v>
      </c>
      <c r="H71" s="110" t="s">
        <v>1575</v>
      </c>
      <c r="J71" s="111">
        <v>0.6</v>
      </c>
      <c r="K71" s="111" t="s">
        <v>1751</v>
      </c>
      <c r="L71" s="116" t="s">
        <v>1744</v>
      </c>
      <c r="N71" s="119" t="s">
        <v>12</v>
      </c>
      <c r="O71" s="114" t="s">
        <v>12</v>
      </c>
      <c r="Q71" s="119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148">
        <v>46294</v>
      </c>
      <c r="Z71" s="108" t="s">
        <v>10</v>
      </c>
      <c r="AA71" s="110"/>
      <c r="AB71" s="108"/>
      <c r="AC71" s="108"/>
      <c r="AD71" s="108"/>
      <c r="AE71" s="108"/>
      <c r="AF71" s="108"/>
      <c r="AG71" s="108"/>
      <c r="AH71" s="108"/>
      <c r="AI71" s="108"/>
      <c r="AJ71" s="108" t="s">
        <v>1864</v>
      </c>
      <c r="AK71" s="108"/>
    </row>
    <row r="72" spans="1:37" ht="44.1" customHeight="1" x14ac:dyDescent="0.3">
      <c r="A72" s="110" t="s">
        <v>1748</v>
      </c>
      <c r="B72" s="108" t="s">
        <v>1378</v>
      </c>
      <c r="C72" s="108" t="s">
        <v>1750</v>
      </c>
      <c r="D72" s="214" t="s">
        <v>916</v>
      </c>
      <c r="E72" s="215">
        <v>7.6096000000000004</v>
      </c>
      <c r="F72" s="225">
        <v>5364.2951771850076</v>
      </c>
      <c r="G72" s="108" t="s">
        <v>24</v>
      </c>
      <c r="H72" s="110" t="s">
        <v>42</v>
      </c>
      <c r="J72" s="111">
        <v>1.2</v>
      </c>
      <c r="K72" s="111" t="s">
        <v>215</v>
      </c>
      <c r="L72" s="116" t="s">
        <v>1744</v>
      </c>
      <c r="N72" s="119" t="s">
        <v>12</v>
      </c>
      <c r="O72" s="114" t="s">
        <v>12</v>
      </c>
      <c r="Q72" s="119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108" t="s">
        <v>1673</v>
      </c>
      <c r="Z72" s="108" t="s">
        <v>8</v>
      </c>
      <c r="AA72" s="123">
        <v>46199</v>
      </c>
      <c r="AB72" s="108" t="s">
        <v>1728</v>
      </c>
      <c r="AC72" s="108" t="s">
        <v>1728</v>
      </c>
      <c r="AD72" s="108" t="s">
        <v>1728</v>
      </c>
      <c r="AE72" s="108" t="s">
        <v>1728</v>
      </c>
      <c r="AF72" s="108" t="s">
        <v>1728</v>
      </c>
      <c r="AG72" s="108" t="s">
        <v>1728</v>
      </c>
      <c r="AH72" s="108" t="s">
        <v>1728</v>
      </c>
      <c r="AI72" s="108" t="s">
        <v>1728</v>
      </c>
      <c r="AJ72" s="108" t="s">
        <v>1728</v>
      </c>
      <c r="AK72" s="108"/>
    </row>
    <row r="73" spans="1:37" ht="44.1" customHeight="1" x14ac:dyDescent="0.3">
      <c r="A73" s="110" t="s">
        <v>1725</v>
      </c>
      <c r="B73" s="108" t="s">
        <v>1394</v>
      </c>
      <c r="C73" s="108" t="s">
        <v>1726</v>
      </c>
      <c r="D73" s="214" t="s">
        <v>1384</v>
      </c>
      <c r="E73" s="215">
        <v>5.7246000000000006</v>
      </c>
      <c r="F73" s="210">
        <v>6072.2602971029992</v>
      </c>
      <c r="G73" s="108" t="s">
        <v>24</v>
      </c>
      <c r="H73" s="110" t="s">
        <v>51</v>
      </c>
      <c r="J73" s="111">
        <v>1.2</v>
      </c>
      <c r="K73" s="111" t="s">
        <v>1376</v>
      </c>
      <c r="L73" s="116" t="s">
        <v>1743</v>
      </c>
      <c r="N73" s="119" t="s">
        <v>12</v>
      </c>
      <c r="O73" s="114" t="s">
        <v>12</v>
      </c>
      <c r="Q73" s="119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108" t="s">
        <v>1673</v>
      </c>
      <c r="Z73" s="108" t="s">
        <v>10</v>
      </c>
      <c r="AA73" s="123">
        <v>46199</v>
      </c>
      <c r="AB73" s="108" t="s">
        <v>1728</v>
      </c>
      <c r="AC73" s="108" t="s">
        <v>1728</v>
      </c>
      <c r="AD73" s="108" t="s">
        <v>1728</v>
      </c>
      <c r="AE73" s="108" t="s">
        <v>1728</v>
      </c>
      <c r="AF73" s="108" t="s">
        <v>1728</v>
      </c>
      <c r="AG73" s="108" t="s">
        <v>1728</v>
      </c>
      <c r="AH73" s="108" t="s">
        <v>1728</v>
      </c>
      <c r="AI73" s="108" t="s">
        <v>1728</v>
      </c>
      <c r="AJ73" s="108" t="s">
        <v>1728</v>
      </c>
      <c r="AK73" s="108" t="s">
        <v>1780</v>
      </c>
    </row>
    <row r="74" spans="1:37" ht="44.1" customHeight="1" x14ac:dyDescent="0.3">
      <c r="A74" s="110" t="s">
        <v>1748</v>
      </c>
      <c r="B74" s="108" t="s">
        <v>1474</v>
      </c>
      <c r="C74" s="108" t="s">
        <v>1750</v>
      </c>
      <c r="D74" s="214" t="s">
        <v>1776</v>
      </c>
      <c r="E74" s="215">
        <v>0.36</v>
      </c>
      <c r="F74" s="225">
        <v>4056.9783891524821</v>
      </c>
      <c r="G74" s="108" t="s">
        <v>24</v>
      </c>
      <c r="H74" s="110" t="s">
        <v>42</v>
      </c>
      <c r="J74" s="111">
        <v>0.7</v>
      </c>
      <c r="K74" s="111" t="s">
        <v>215</v>
      </c>
      <c r="L74" s="116" t="s">
        <v>1744</v>
      </c>
      <c r="N74" s="119" t="s">
        <v>12</v>
      </c>
      <c r="O74" s="114" t="s">
        <v>12</v>
      </c>
      <c r="Q74" s="119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108" t="s">
        <v>1673</v>
      </c>
      <c r="Z74" s="108" t="s">
        <v>8</v>
      </c>
      <c r="AA74" s="123">
        <v>46199</v>
      </c>
      <c r="AB74" s="108" t="s">
        <v>1728</v>
      </c>
      <c r="AC74" s="108" t="s">
        <v>1728</v>
      </c>
      <c r="AD74" s="108" t="s">
        <v>1728</v>
      </c>
      <c r="AE74" s="108" t="s">
        <v>1728</v>
      </c>
      <c r="AF74" s="108" t="s">
        <v>1728</v>
      </c>
      <c r="AG74" s="108" t="s">
        <v>1728</v>
      </c>
      <c r="AH74" s="108" t="s">
        <v>1728</v>
      </c>
      <c r="AI74" s="108" t="s">
        <v>1728</v>
      </c>
      <c r="AJ74" s="108" t="s">
        <v>1728</v>
      </c>
      <c r="AK74" s="108"/>
    </row>
    <row r="75" spans="1:37" ht="44.1" customHeight="1" x14ac:dyDescent="0.3">
      <c r="A75" s="110" t="s">
        <v>1748</v>
      </c>
      <c r="B75" s="108" t="s">
        <v>784</v>
      </c>
      <c r="C75" s="108" t="s">
        <v>1750</v>
      </c>
      <c r="D75" s="214" t="s">
        <v>785</v>
      </c>
      <c r="E75" s="215">
        <v>1.37</v>
      </c>
      <c r="F75" s="210">
        <v>5301.6760721925139</v>
      </c>
      <c r="G75" s="108" t="s">
        <v>24</v>
      </c>
      <c r="H75" s="110" t="s">
        <v>1575</v>
      </c>
      <c r="J75" s="111">
        <v>0.8</v>
      </c>
      <c r="K75" s="111" t="s">
        <v>215</v>
      </c>
      <c r="L75" s="116" t="s">
        <v>1744</v>
      </c>
      <c r="N75" s="119" t="s">
        <v>12</v>
      </c>
      <c r="O75" s="114" t="s">
        <v>12</v>
      </c>
      <c r="Q75" s="119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148">
        <v>46294</v>
      </c>
      <c r="Z75" s="108" t="s">
        <v>10</v>
      </c>
      <c r="AA75" s="110"/>
      <c r="AB75" s="108"/>
      <c r="AC75" s="108"/>
      <c r="AD75" s="108"/>
      <c r="AE75" s="108"/>
      <c r="AF75" s="108"/>
      <c r="AG75" s="108"/>
      <c r="AH75" s="108"/>
      <c r="AI75" s="108"/>
      <c r="AJ75" s="108" t="s">
        <v>1864</v>
      </c>
      <c r="AK75" s="108"/>
    </row>
    <row r="76" spans="1:37" ht="44.1" customHeight="1" x14ac:dyDescent="0.3">
      <c r="A76" s="110" t="s">
        <v>1748</v>
      </c>
      <c r="B76" s="108" t="s">
        <v>1470</v>
      </c>
      <c r="C76" s="108" t="s">
        <v>1750</v>
      </c>
      <c r="D76" s="214" t="s">
        <v>1471</v>
      </c>
      <c r="E76" s="215">
        <v>0.63</v>
      </c>
      <c r="F76" s="210">
        <v>4306.029936390004</v>
      </c>
      <c r="G76" s="108" t="s">
        <v>24</v>
      </c>
      <c r="H76" s="110" t="s">
        <v>1575</v>
      </c>
      <c r="J76" s="111">
        <v>0.6</v>
      </c>
      <c r="K76" s="111" t="s">
        <v>1751</v>
      </c>
      <c r="L76" s="116" t="s">
        <v>1744</v>
      </c>
      <c r="N76" s="119" t="s">
        <v>12</v>
      </c>
      <c r="O76" s="114" t="s">
        <v>12</v>
      </c>
      <c r="Q76" s="119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148">
        <v>46294</v>
      </c>
      <c r="Z76" s="108" t="s">
        <v>10</v>
      </c>
      <c r="AA76" s="110"/>
      <c r="AB76" s="108"/>
      <c r="AC76" s="108"/>
      <c r="AD76" s="108"/>
      <c r="AE76" s="108"/>
      <c r="AF76" s="108"/>
      <c r="AG76" s="108"/>
      <c r="AH76" s="108"/>
      <c r="AI76" s="108"/>
      <c r="AJ76" s="108" t="s">
        <v>1864</v>
      </c>
      <c r="AK76" s="108"/>
    </row>
    <row r="77" spans="1:37" ht="44.1" customHeight="1" x14ac:dyDescent="0.3">
      <c r="A77" s="110" t="s">
        <v>1748</v>
      </c>
      <c r="B77" s="108" t="s">
        <v>1407</v>
      </c>
      <c r="C77" s="108" t="s">
        <v>1750</v>
      </c>
      <c r="D77" s="214" t="s">
        <v>1396</v>
      </c>
      <c r="E77" s="215">
        <v>4.1760000000000002</v>
      </c>
      <c r="F77" s="210">
        <v>3984.5269882341654</v>
      </c>
      <c r="G77" s="108" t="s">
        <v>24</v>
      </c>
      <c r="H77" s="110" t="s">
        <v>42</v>
      </c>
      <c r="J77" s="111">
        <v>2.5</v>
      </c>
      <c r="K77" s="111">
        <v>0.105</v>
      </c>
      <c r="L77" s="116" t="s">
        <v>1777</v>
      </c>
      <c r="N77" s="119" t="s">
        <v>12</v>
      </c>
      <c r="O77" s="114" t="s">
        <v>12</v>
      </c>
      <c r="Q77" s="119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108" t="s">
        <v>1673</v>
      </c>
      <c r="Z77" s="108" t="s">
        <v>8</v>
      </c>
      <c r="AA77" s="123">
        <v>46199</v>
      </c>
      <c r="AB77" s="123">
        <v>46245</v>
      </c>
      <c r="AC77" s="123">
        <v>46260</v>
      </c>
      <c r="AD77" s="123" t="s">
        <v>1842</v>
      </c>
      <c r="AE77" s="123">
        <v>46294</v>
      </c>
      <c r="AF77" s="123">
        <v>46294</v>
      </c>
      <c r="AG77" s="123">
        <v>46294</v>
      </c>
      <c r="AH77" s="123">
        <v>46311</v>
      </c>
      <c r="AI77" s="208">
        <v>46456</v>
      </c>
      <c r="AJ77" s="108" t="s">
        <v>1849</v>
      </c>
      <c r="AK77" s="108" t="s">
        <v>1747</v>
      </c>
    </row>
    <row r="78" spans="1:37" ht="44.1" customHeight="1" x14ac:dyDescent="0.3">
      <c r="A78" s="110" t="s">
        <v>1748</v>
      </c>
      <c r="B78" s="108" t="s">
        <v>1456</v>
      </c>
      <c r="C78" s="108" t="s">
        <v>1750</v>
      </c>
      <c r="D78" s="214" t="s">
        <v>1457</v>
      </c>
      <c r="E78" s="215">
        <v>1.1088</v>
      </c>
      <c r="F78" s="225">
        <v>3844.3218347519828</v>
      </c>
      <c r="G78" s="108" t="s">
        <v>24</v>
      </c>
      <c r="H78" s="110" t="s">
        <v>42</v>
      </c>
      <c r="J78" s="111">
        <v>0.65</v>
      </c>
      <c r="K78" s="111" t="s">
        <v>215</v>
      </c>
      <c r="L78" s="116" t="s">
        <v>1744</v>
      </c>
      <c r="N78" s="119" t="s">
        <v>12</v>
      </c>
      <c r="O78" s="114" t="s">
        <v>12</v>
      </c>
      <c r="Q78" s="119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108" t="s">
        <v>1673</v>
      </c>
      <c r="Z78" s="108" t="s">
        <v>8</v>
      </c>
      <c r="AA78" s="123">
        <v>46199</v>
      </c>
      <c r="AB78" s="108" t="s">
        <v>1728</v>
      </c>
      <c r="AC78" s="108" t="s">
        <v>1728</v>
      </c>
      <c r="AD78" s="108" t="s">
        <v>1728</v>
      </c>
      <c r="AE78" s="108" t="s">
        <v>1728</v>
      </c>
      <c r="AF78" s="108" t="s">
        <v>1728</v>
      </c>
      <c r="AG78" s="108" t="s">
        <v>1728</v>
      </c>
      <c r="AH78" s="108" t="s">
        <v>1728</v>
      </c>
      <c r="AI78" s="108" t="s">
        <v>1728</v>
      </c>
      <c r="AJ78" s="108" t="s">
        <v>1728</v>
      </c>
      <c r="AK78" s="108"/>
    </row>
    <row r="79" spans="1:37" ht="44.1" customHeight="1" x14ac:dyDescent="0.3">
      <c r="A79" s="110" t="s">
        <v>1748</v>
      </c>
      <c r="B79" s="108" t="s">
        <v>1432</v>
      </c>
      <c r="C79" s="108" t="s">
        <v>1750</v>
      </c>
      <c r="D79" s="214" t="s">
        <v>1433</v>
      </c>
      <c r="E79" s="215">
        <v>2.59335</v>
      </c>
      <c r="F79" s="225">
        <v>3720.6159635235795</v>
      </c>
      <c r="G79" s="108" t="s">
        <v>24</v>
      </c>
      <c r="H79" s="110" t="s">
        <v>42</v>
      </c>
      <c r="J79" s="111">
        <v>0.6</v>
      </c>
      <c r="K79" s="111" t="s">
        <v>215</v>
      </c>
      <c r="L79" s="116" t="s">
        <v>1744</v>
      </c>
      <c r="N79" s="119" t="s">
        <v>12</v>
      </c>
      <c r="O79" s="114" t="s">
        <v>12</v>
      </c>
      <c r="Q79" s="119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108" t="s">
        <v>1673</v>
      </c>
      <c r="Z79" s="108" t="s">
        <v>8</v>
      </c>
      <c r="AA79" s="123">
        <v>46199</v>
      </c>
      <c r="AB79" s="108" t="s">
        <v>1728</v>
      </c>
      <c r="AC79" s="108" t="s">
        <v>1728</v>
      </c>
      <c r="AD79" s="108" t="s">
        <v>1728</v>
      </c>
      <c r="AE79" s="108" t="s">
        <v>1728</v>
      </c>
      <c r="AF79" s="108" t="s">
        <v>1728</v>
      </c>
      <c r="AG79" s="108" t="s">
        <v>1728</v>
      </c>
      <c r="AH79" s="108" t="s">
        <v>1728</v>
      </c>
      <c r="AI79" s="108" t="s">
        <v>1728</v>
      </c>
      <c r="AJ79" s="108" t="s">
        <v>1728</v>
      </c>
      <c r="AK79" s="108"/>
    </row>
    <row r="80" spans="1:37" ht="44.1" customHeight="1" x14ac:dyDescent="0.3">
      <c r="A80" s="110" t="s">
        <v>1748</v>
      </c>
      <c r="B80" s="108" t="s">
        <v>1414</v>
      </c>
      <c r="C80" s="108" t="s">
        <v>1750</v>
      </c>
      <c r="D80" s="214" t="s">
        <v>1741</v>
      </c>
      <c r="E80" s="215">
        <v>3.6971999999999996</v>
      </c>
      <c r="F80" s="225">
        <v>3330.9095118012024</v>
      </c>
      <c r="G80" s="108" t="s">
        <v>24</v>
      </c>
      <c r="H80" s="110" t="s">
        <v>42</v>
      </c>
      <c r="J80" s="111">
        <v>0.8</v>
      </c>
      <c r="K80" s="111" t="s">
        <v>215</v>
      </c>
      <c r="L80" s="116" t="s">
        <v>1744</v>
      </c>
      <c r="N80" s="119" t="s">
        <v>12</v>
      </c>
      <c r="O80" s="114" t="s">
        <v>12</v>
      </c>
      <c r="Q80" s="119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108" t="s">
        <v>1673</v>
      </c>
      <c r="Z80" s="108" t="s">
        <v>8</v>
      </c>
      <c r="AA80" s="123">
        <v>46199</v>
      </c>
      <c r="AB80" s="108" t="s">
        <v>1728</v>
      </c>
      <c r="AC80" s="108" t="s">
        <v>1728</v>
      </c>
      <c r="AD80" s="108" t="s">
        <v>1728</v>
      </c>
      <c r="AE80" s="108" t="s">
        <v>1728</v>
      </c>
      <c r="AF80" s="108" t="s">
        <v>1728</v>
      </c>
      <c r="AG80" s="108" t="s">
        <v>1728</v>
      </c>
      <c r="AH80" s="108" t="s">
        <v>1728</v>
      </c>
      <c r="AI80" s="108" t="s">
        <v>1728</v>
      </c>
      <c r="AJ80" s="108" t="s">
        <v>1728</v>
      </c>
      <c r="AK80" s="108"/>
    </row>
    <row r="81" spans="1:37" ht="44.1" customHeight="1" x14ac:dyDescent="0.3">
      <c r="A81" s="110" t="s">
        <v>1748</v>
      </c>
      <c r="B81" s="108" t="s">
        <v>1463</v>
      </c>
      <c r="C81" s="108" t="s">
        <v>1750</v>
      </c>
      <c r="D81" s="214" t="s">
        <v>1464</v>
      </c>
      <c r="E81" s="215">
        <v>0.77905849999999999</v>
      </c>
      <c r="F81" s="210">
        <v>3516.7974475724823</v>
      </c>
      <c r="G81" s="108" t="s">
        <v>24</v>
      </c>
      <c r="H81" s="110" t="s">
        <v>45</v>
      </c>
      <c r="J81" s="111">
        <v>1.2</v>
      </c>
      <c r="K81" s="111" t="s">
        <v>1427</v>
      </c>
      <c r="L81" s="116" t="s">
        <v>1695</v>
      </c>
      <c r="N81" s="119" t="s">
        <v>12</v>
      </c>
      <c r="O81" s="114" t="s">
        <v>12</v>
      </c>
      <c r="Q81" s="119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108" t="s">
        <v>1673</v>
      </c>
      <c r="Z81" s="108" t="s">
        <v>8</v>
      </c>
      <c r="AA81" s="123">
        <v>46199</v>
      </c>
      <c r="AB81" s="108" t="s">
        <v>1728</v>
      </c>
      <c r="AC81" s="108" t="s">
        <v>1728</v>
      </c>
      <c r="AD81" s="108" t="s">
        <v>1728</v>
      </c>
      <c r="AE81" s="108" t="s">
        <v>1728</v>
      </c>
      <c r="AF81" s="108" t="s">
        <v>1728</v>
      </c>
      <c r="AG81" s="108" t="s">
        <v>1728</v>
      </c>
      <c r="AH81" s="108" t="s">
        <v>1728</v>
      </c>
      <c r="AI81" s="108" t="s">
        <v>1728</v>
      </c>
      <c r="AJ81" s="108" t="s">
        <v>1728</v>
      </c>
      <c r="AK81" s="108" t="s">
        <v>1765</v>
      </c>
    </row>
    <row r="82" spans="1:37" ht="44.1" customHeight="1" x14ac:dyDescent="0.3">
      <c r="A82" s="110" t="s">
        <v>1748</v>
      </c>
      <c r="B82" s="108" t="s">
        <v>1450</v>
      </c>
      <c r="C82" s="108" t="s">
        <v>1750</v>
      </c>
      <c r="D82" s="214" t="s">
        <v>1451</v>
      </c>
      <c r="E82" s="215">
        <v>1.26</v>
      </c>
      <c r="F82" s="210">
        <v>3471.1709000692636</v>
      </c>
      <c r="G82" s="108" t="s">
        <v>24</v>
      </c>
      <c r="H82" s="110" t="s">
        <v>51</v>
      </c>
      <c r="J82" s="111">
        <v>0.8</v>
      </c>
      <c r="K82" s="111" t="s">
        <v>215</v>
      </c>
      <c r="L82" s="116" t="s">
        <v>1744</v>
      </c>
      <c r="N82" s="119" t="s">
        <v>12</v>
      </c>
      <c r="O82" s="114" t="s">
        <v>12</v>
      </c>
      <c r="Q82" s="119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108" t="s">
        <v>1673</v>
      </c>
      <c r="Z82" s="108" t="s">
        <v>10</v>
      </c>
      <c r="AA82" s="123">
        <v>46199</v>
      </c>
      <c r="AB82" s="108" t="s">
        <v>1728</v>
      </c>
      <c r="AC82" s="108" t="s">
        <v>1728</v>
      </c>
      <c r="AD82" s="108" t="s">
        <v>1728</v>
      </c>
      <c r="AE82" s="108" t="s">
        <v>1728</v>
      </c>
      <c r="AF82" s="108" t="s">
        <v>1728</v>
      </c>
      <c r="AG82" s="108" t="s">
        <v>1728</v>
      </c>
      <c r="AH82" s="108" t="s">
        <v>1728</v>
      </c>
      <c r="AI82" s="108" t="s">
        <v>1728</v>
      </c>
      <c r="AJ82" s="108" t="s">
        <v>1728</v>
      </c>
      <c r="AK82" s="108" t="s">
        <v>1780</v>
      </c>
    </row>
    <row r="83" spans="1:37" ht="44.1" customHeight="1" x14ac:dyDescent="0.3">
      <c r="A83" s="110" t="s">
        <v>1748</v>
      </c>
      <c r="B83" s="108" t="s">
        <v>1436</v>
      </c>
      <c r="C83" s="108" t="s">
        <v>1750</v>
      </c>
      <c r="D83" s="214" t="s">
        <v>1437</v>
      </c>
      <c r="E83" s="215">
        <v>2.543625</v>
      </c>
      <c r="F83" s="225">
        <v>3305.7042804576236</v>
      </c>
      <c r="G83" s="108" t="s">
        <v>24</v>
      </c>
      <c r="H83" s="110" t="s">
        <v>42</v>
      </c>
      <c r="J83" s="111">
        <v>1.2</v>
      </c>
      <c r="K83" s="111" t="s">
        <v>215</v>
      </c>
      <c r="L83" s="116" t="s">
        <v>1744</v>
      </c>
      <c r="N83" s="119" t="s">
        <v>12</v>
      </c>
      <c r="O83" s="114" t="s">
        <v>12</v>
      </c>
      <c r="Q83" s="119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108" t="s">
        <v>1673</v>
      </c>
      <c r="Z83" s="108" t="s">
        <v>8</v>
      </c>
      <c r="AA83" s="123">
        <v>46199</v>
      </c>
      <c r="AB83" s="108" t="s">
        <v>1728</v>
      </c>
      <c r="AC83" s="108" t="s">
        <v>1728</v>
      </c>
      <c r="AD83" s="108" t="s">
        <v>1728</v>
      </c>
      <c r="AE83" s="108" t="s">
        <v>1728</v>
      </c>
      <c r="AF83" s="108" t="s">
        <v>1728</v>
      </c>
      <c r="AG83" s="108" t="s">
        <v>1728</v>
      </c>
      <c r="AH83" s="108" t="s">
        <v>1728</v>
      </c>
      <c r="AI83" s="108" t="s">
        <v>1728</v>
      </c>
      <c r="AJ83" s="108" t="s">
        <v>1728</v>
      </c>
      <c r="AK83" s="108"/>
    </row>
    <row r="84" spans="1:37" ht="44.1" customHeight="1" x14ac:dyDescent="0.3">
      <c r="A84" s="110" t="s">
        <v>1748</v>
      </c>
      <c r="B84" s="108" t="s">
        <v>1442</v>
      </c>
      <c r="C84" s="108" t="s">
        <v>1750</v>
      </c>
      <c r="D84" s="214" t="s">
        <v>916</v>
      </c>
      <c r="E84" s="215">
        <v>2.1473969999999998</v>
      </c>
      <c r="F84" s="225">
        <v>2833.8699876542555</v>
      </c>
      <c r="G84" s="108" t="s">
        <v>24</v>
      </c>
      <c r="H84" s="110" t="s">
        <v>42</v>
      </c>
      <c r="J84" s="111">
        <v>1.2</v>
      </c>
      <c r="K84" s="111" t="s">
        <v>215</v>
      </c>
      <c r="L84" s="116" t="s">
        <v>1744</v>
      </c>
      <c r="N84" s="119" t="s">
        <v>12</v>
      </c>
      <c r="O84" s="114" t="s">
        <v>12</v>
      </c>
      <c r="Q84" s="119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108" t="s">
        <v>1673</v>
      </c>
      <c r="Z84" s="108" t="s">
        <v>8</v>
      </c>
      <c r="AA84" s="123">
        <v>46199</v>
      </c>
      <c r="AB84" s="108" t="s">
        <v>1728</v>
      </c>
      <c r="AC84" s="108" t="s">
        <v>1728</v>
      </c>
      <c r="AD84" s="108" t="s">
        <v>1728</v>
      </c>
      <c r="AE84" s="108" t="s">
        <v>1728</v>
      </c>
      <c r="AF84" s="108" t="s">
        <v>1728</v>
      </c>
      <c r="AG84" s="108" t="s">
        <v>1728</v>
      </c>
      <c r="AH84" s="108" t="s">
        <v>1728</v>
      </c>
      <c r="AI84" s="108" t="s">
        <v>1728</v>
      </c>
      <c r="AJ84" s="108" t="s">
        <v>1728</v>
      </c>
      <c r="AK84" s="108"/>
    </row>
    <row r="85" spans="1:37" ht="44.1" customHeight="1" x14ac:dyDescent="0.3">
      <c r="A85" s="110" t="s">
        <v>1748</v>
      </c>
      <c r="B85" s="108" t="s">
        <v>1426</v>
      </c>
      <c r="C85" s="108" t="s">
        <v>1750</v>
      </c>
      <c r="D85" s="214" t="s">
        <v>1428</v>
      </c>
      <c r="E85" s="215">
        <v>3.29175</v>
      </c>
      <c r="F85" s="210">
        <v>2328.8325914285183</v>
      </c>
      <c r="G85" s="108" t="s">
        <v>24</v>
      </c>
      <c r="H85" s="110" t="s">
        <v>42</v>
      </c>
      <c r="J85" s="111">
        <v>1.8</v>
      </c>
      <c r="K85" s="111" t="s">
        <v>1427</v>
      </c>
      <c r="L85" s="116" t="s">
        <v>1695</v>
      </c>
      <c r="N85" s="119" t="s">
        <v>12</v>
      </c>
      <c r="O85" s="114" t="s">
        <v>12</v>
      </c>
      <c r="Q85" s="119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108" t="s">
        <v>1673</v>
      </c>
      <c r="Z85" s="108" t="s">
        <v>8</v>
      </c>
      <c r="AA85" s="123">
        <v>46199</v>
      </c>
      <c r="AB85" s="123">
        <v>46245</v>
      </c>
      <c r="AC85" s="123">
        <v>46260</v>
      </c>
      <c r="AD85" s="123" t="s">
        <v>1842</v>
      </c>
      <c r="AE85" s="123">
        <v>46294</v>
      </c>
      <c r="AF85" s="123">
        <v>46294</v>
      </c>
      <c r="AG85" s="123">
        <v>46294</v>
      </c>
      <c r="AH85" s="123">
        <v>46311</v>
      </c>
      <c r="AI85" s="208">
        <v>46456</v>
      </c>
      <c r="AJ85" s="108" t="s">
        <v>1849</v>
      </c>
      <c r="AK85" s="108" t="s">
        <v>1747</v>
      </c>
    </row>
    <row r="86" spans="1:37" ht="44.1" customHeight="1" x14ac:dyDescent="0.3">
      <c r="A86" s="110" t="s">
        <v>1748</v>
      </c>
      <c r="B86" s="108" t="s">
        <v>1438</v>
      </c>
      <c r="C86" s="108" t="s">
        <v>1750</v>
      </c>
      <c r="D86" s="214" t="s">
        <v>1778</v>
      </c>
      <c r="E86" s="215">
        <v>2.5599999999999996</v>
      </c>
      <c r="F86" s="210">
        <v>1225.2361158324156</v>
      </c>
      <c r="G86" s="108" t="s">
        <v>24</v>
      </c>
      <c r="H86" s="110" t="s">
        <v>42</v>
      </c>
      <c r="J86" s="111">
        <v>2</v>
      </c>
      <c r="K86" s="111" t="s">
        <v>1366</v>
      </c>
      <c r="L86" s="116" t="s">
        <v>1746</v>
      </c>
      <c r="N86" s="119" t="s">
        <v>12</v>
      </c>
      <c r="O86" s="114" t="s">
        <v>12</v>
      </c>
      <c r="Q86" s="119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108" t="s">
        <v>1673</v>
      </c>
      <c r="Z86" s="108" t="s">
        <v>8</v>
      </c>
      <c r="AA86" s="123">
        <v>46199</v>
      </c>
      <c r="AB86" s="123">
        <v>46245</v>
      </c>
      <c r="AC86" s="123">
        <v>46260</v>
      </c>
      <c r="AD86" s="123" t="s">
        <v>1842</v>
      </c>
      <c r="AE86" s="123">
        <v>46294</v>
      </c>
      <c r="AF86" s="123">
        <v>46294</v>
      </c>
      <c r="AG86" s="123">
        <v>46294</v>
      </c>
      <c r="AH86" s="123">
        <v>46311</v>
      </c>
      <c r="AI86" s="208">
        <v>46456</v>
      </c>
      <c r="AJ86" s="108" t="s">
        <v>1849</v>
      </c>
      <c r="AK86" s="108" t="s">
        <v>1747</v>
      </c>
    </row>
    <row r="87" spans="1:37" ht="44.1" customHeight="1" x14ac:dyDescent="0.3">
      <c r="A87" s="110" t="s">
        <v>1748</v>
      </c>
      <c r="B87" s="108" t="s">
        <v>1454</v>
      </c>
      <c r="C87" s="108" t="s">
        <v>1750</v>
      </c>
      <c r="D87" s="214" t="s">
        <v>1455</v>
      </c>
      <c r="E87" s="215">
        <v>1.2</v>
      </c>
      <c r="F87" s="210">
        <v>1802.5760172419969</v>
      </c>
      <c r="G87" s="108" t="s">
        <v>24</v>
      </c>
      <c r="H87" s="110" t="s">
        <v>1575</v>
      </c>
      <c r="J87" s="111">
        <v>1</v>
      </c>
      <c r="K87" s="111" t="s">
        <v>215</v>
      </c>
      <c r="L87" s="116" t="s">
        <v>1744</v>
      </c>
      <c r="N87" s="119" t="s">
        <v>12</v>
      </c>
      <c r="O87" s="114" t="s">
        <v>12</v>
      </c>
      <c r="Q87" s="119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148">
        <v>46294</v>
      </c>
      <c r="Z87" s="108" t="s">
        <v>10</v>
      </c>
      <c r="AA87" s="110"/>
      <c r="AB87" s="108"/>
      <c r="AC87" s="108"/>
      <c r="AD87" s="108"/>
      <c r="AE87" s="108"/>
      <c r="AF87" s="108"/>
      <c r="AG87" s="108"/>
      <c r="AH87" s="108"/>
      <c r="AI87" s="108"/>
      <c r="AJ87" s="108" t="s">
        <v>1864</v>
      </c>
      <c r="AK87" s="108"/>
    </row>
    <row r="88" spans="1:37" ht="44.1" customHeight="1" x14ac:dyDescent="0.3">
      <c r="A88" s="110" t="s">
        <v>1748</v>
      </c>
      <c r="B88" s="108" t="s">
        <v>1461</v>
      </c>
      <c r="C88" s="108" t="s">
        <v>1750</v>
      </c>
      <c r="D88" s="214" t="s">
        <v>1779</v>
      </c>
      <c r="E88" s="215">
        <v>0.84000000000000008</v>
      </c>
      <c r="F88" s="210">
        <v>1532.677728582004</v>
      </c>
      <c r="G88" s="108" t="s">
        <v>24</v>
      </c>
      <c r="H88" s="110" t="s">
        <v>51</v>
      </c>
      <c r="J88" s="111">
        <v>1.5</v>
      </c>
      <c r="K88" s="111" t="s">
        <v>1427</v>
      </c>
      <c r="L88" s="116" t="s">
        <v>1695</v>
      </c>
      <c r="N88" s="119" t="s">
        <v>12</v>
      </c>
      <c r="O88" s="114" t="s">
        <v>12</v>
      </c>
      <c r="Q88" s="119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108" t="s">
        <v>1673</v>
      </c>
      <c r="Z88" s="108" t="s">
        <v>10</v>
      </c>
      <c r="AA88" s="123">
        <v>46199</v>
      </c>
      <c r="AB88" s="108" t="s">
        <v>1728</v>
      </c>
      <c r="AC88" s="108" t="s">
        <v>1728</v>
      </c>
      <c r="AD88" s="108" t="s">
        <v>1728</v>
      </c>
      <c r="AE88" s="108" t="s">
        <v>1728</v>
      </c>
      <c r="AF88" s="108" t="s">
        <v>1728</v>
      </c>
      <c r="AG88" s="108" t="s">
        <v>1728</v>
      </c>
      <c r="AH88" s="108" t="s">
        <v>1728</v>
      </c>
      <c r="AI88" s="108" t="s">
        <v>1728</v>
      </c>
      <c r="AJ88" s="108" t="s">
        <v>1728</v>
      </c>
      <c r="AK88" s="108" t="s">
        <v>1780</v>
      </c>
    </row>
    <row r="89" spans="1:37" ht="44.1" customHeight="1" x14ac:dyDescent="0.3">
      <c r="A89" s="110" t="s">
        <v>1748</v>
      </c>
      <c r="B89" s="108" t="s">
        <v>1482</v>
      </c>
      <c r="C89" s="108" t="s">
        <v>1750</v>
      </c>
      <c r="D89" s="214" t="s">
        <v>1781</v>
      </c>
      <c r="E89" s="215">
        <v>0.02</v>
      </c>
      <c r="F89" s="210">
        <v>1307.9087699461895</v>
      </c>
      <c r="G89" s="108" t="s">
        <v>24</v>
      </c>
      <c r="H89" s="110" t="s">
        <v>1575</v>
      </c>
      <c r="J89" s="111">
        <v>1</v>
      </c>
      <c r="K89" s="111" t="s">
        <v>215</v>
      </c>
      <c r="L89" s="116" t="s">
        <v>1744</v>
      </c>
      <c r="N89" s="119" t="s">
        <v>12</v>
      </c>
      <c r="O89" s="114" t="s">
        <v>12</v>
      </c>
      <c r="Q89" s="119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148">
        <v>46294</v>
      </c>
      <c r="Z89" s="108" t="s">
        <v>10</v>
      </c>
      <c r="AA89" s="110"/>
      <c r="AB89" s="108"/>
      <c r="AC89" s="108"/>
      <c r="AD89" s="108"/>
      <c r="AE89" s="108"/>
      <c r="AF89" s="108"/>
      <c r="AG89" s="108"/>
      <c r="AH89" s="108"/>
      <c r="AI89" s="108"/>
      <c r="AJ89" s="108" t="s">
        <v>1864</v>
      </c>
      <c r="AK89" s="108"/>
    </row>
    <row r="90" spans="1:37" ht="44.1" customHeight="1" x14ac:dyDescent="0.3">
      <c r="A90" s="110" t="s">
        <v>1748</v>
      </c>
      <c r="B90" s="108" t="s">
        <v>1465</v>
      </c>
      <c r="C90" s="108" t="s">
        <v>1750</v>
      </c>
      <c r="D90" s="214" t="s">
        <v>1466</v>
      </c>
      <c r="E90" s="215">
        <v>0.60875999999999997</v>
      </c>
      <c r="F90" s="225">
        <v>664.60043776376756</v>
      </c>
      <c r="G90" s="108" t="s">
        <v>24</v>
      </c>
      <c r="H90" s="110" t="s">
        <v>42</v>
      </c>
      <c r="J90" s="111">
        <v>2</v>
      </c>
      <c r="K90" s="111" t="s">
        <v>1366</v>
      </c>
      <c r="L90" s="116" t="s">
        <v>1746</v>
      </c>
      <c r="N90" s="119" t="s">
        <v>12</v>
      </c>
      <c r="O90" s="114" t="s">
        <v>12</v>
      </c>
      <c r="Q90" s="119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108" t="s">
        <v>1673</v>
      </c>
      <c r="Z90" s="108" t="s">
        <v>8</v>
      </c>
      <c r="AA90" s="123">
        <v>46199</v>
      </c>
      <c r="AB90" s="108" t="s">
        <v>1728</v>
      </c>
      <c r="AC90" s="108" t="s">
        <v>1728</v>
      </c>
      <c r="AD90" s="108" t="s">
        <v>1728</v>
      </c>
      <c r="AE90" s="108" t="s">
        <v>1728</v>
      </c>
      <c r="AF90" s="108" t="s">
        <v>1728</v>
      </c>
      <c r="AG90" s="108" t="s">
        <v>1728</v>
      </c>
      <c r="AH90" s="108" t="s">
        <v>1728</v>
      </c>
      <c r="AI90" s="108" t="s">
        <v>1728</v>
      </c>
      <c r="AJ90" s="108" t="s">
        <v>1728</v>
      </c>
      <c r="AK90" s="108"/>
    </row>
    <row r="91" spans="1:37" ht="44.1" customHeight="1" x14ac:dyDescent="0.3">
      <c r="A91" s="110" t="s">
        <v>1748</v>
      </c>
      <c r="B91" s="108" t="s">
        <v>1472</v>
      </c>
      <c r="C91" s="108" t="s">
        <v>1750</v>
      </c>
      <c r="D91" s="214" t="s">
        <v>1782</v>
      </c>
      <c r="E91" s="215">
        <v>0.40049999999999997</v>
      </c>
      <c r="F91" s="225">
        <v>465.26020107839747</v>
      </c>
      <c r="G91" s="108" t="s">
        <v>24</v>
      </c>
      <c r="H91" s="110" t="s">
        <v>42</v>
      </c>
      <c r="J91" s="111">
        <v>1</v>
      </c>
      <c r="K91" s="111" t="s">
        <v>215</v>
      </c>
      <c r="L91" s="116" t="s">
        <v>1744</v>
      </c>
      <c r="N91" s="119" t="s">
        <v>12</v>
      </c>
      <c r="O91" s="114" t="s">
        <v>12</v>
      </c>
      <c r="Q91" s="119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108" t="s">
        <v>1673</v>
      </c>
      <c r="Z91" s="108" t="s">
        <v>8</v>
      </c>
      <c r="AA91" s="123">
        <v>46199</v>
      </c>
      <c r="AB91" s="108" t="s">
        <v>1728</v>
      </c>
      <c r="AC91" s="108" t="s">
        <v>1728</v>
      </c>
      <c r="AD91" s="108" t="s">
        <v>1728</v>
      </c>
      <c r="AE91" s="108" t="s">
        <v>1728</v>
      </c>
      <c r="AF91" s="108" t="s">
        <v>1728</v>
      </c>
      <c r="AG91" s="108" t="s">
        <v>1728</v>
      </c>
      <c r="AH91" s="108" t="s">
        <v>1728</v>
      </c>
      <c r="AI91" s="108" t="s">
        <v>1728</v>
      </c>
      <c r="AJ91" s="108" t="s">
        <v>1728</v>
      </c>
      <c r="AK91" s="108"/>
    </row>
    <row r="92" spans="1:37" ht="44.1" customHeight="1" x14ac:dyDescent="0.3">
      <c r="A92" s="110" t="s">
        <v>1725</v>
      </c>
      <c r="B92" s="108" t="s">
        <v>1783</v>
      </c>
      <c r="C92" s="108" t="s">
        <v>1726</v>
      </c>
      <c r="D92" s="214" t="s">
        <v>1755</v>
      </c>
      <c r="E92" s="215">
        <v>15.71</v>
      </c>
      <c r="F92" s="210">
        <v>573.93427343616383</v>
      </c>
      <c r="G92" s="108" t="s">
        <v>24</v>
      </c>
      <c r="H92" s="110" t="s">
        <v>53</v>
      </c>
      <c r="J92" s="111">
        <v>1.5</v>
      </c>
      <c r="K92" s="111" t="s">
        <v>215</v>
      </c>
      <c r="L92" s="116" t="s">
        <v>1744</v>
      </c>
      <c r="N92" s="119" t="s">
        <v>12</v>
      </c>
      <c r="O92" s="114" t="s">
        <v>12</v>
      </c>
      <c r="Q92" s="119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108" t="s">
        <v>1673</v>
      </c>
      <c r="Z92" s="108" t="s">
        <v>10</v>
      </c>
      <c r="AA92" s="123">
        <v>46199</v>
      </c>
      <c r="AB92" s="108" t="s">
        <v>1728</v>
      </c>
      <c r="AC92" s="108" t="s">
        <v>1728</v>
      </c>
      <c r="AD92" s="108" t="s">
        <v>1728</v>
      </c>
      <c r="AE92" s="108" t="s">
        <v>1728</v>
      </c>
      <c r="AF92" s="108" t="s">
        <v>1728</v>
      </c>
      <c r="AG92" s="108" t="s">
        <v>1728</v>
      </c>
      <c r="AH92" s="108" t="s">
        <v>1728</v>
      </c>
      <c r="AI92" s="108" t="s">
        <v>1728</v>
      </c>
      <c r="AJ92" s="108" t="s">
        <v>1728</v>
      </c>
      <c r="AK92" s="108" t="s">
        <v>1862</v>
      </c>
    </row>
    <row r="93" spans="1:37" ht="44.1" customHeight="1" x14ac:dyDescent="0.3">
      <c r="A93" s="110" t="s">
        <v>1748</v>
      </c>
      <c r="B93" s="108" t="s">
        <v>1477</v>
      </c>
      <c r="C93" s="108" t="s">
        <v>1750</v>
      </c>
      <c r="D93" s="214" t="s">
        <v>1478</v>
      </c>
      <c r="E93" s="215">
        <v>0.13750000000000001</v>
      </c>
      <c r="F93" s="225">
        <v>317.9601744250665</v>
      </c>
      <c r="G93" s="108" t="s">
        <v>24</v>
      </c>
      <c r="H93" s="110" t="s">
        <v>42</v>
      </c>
      <c r="J93" s="111">
        <v>1.6</v>
      </c>
      <c r="K93" s="111" t="s">
        <v>215</v>
      </c>
      <c r="L93" s="116" t="s">
        <v>1744</v>
      </c>
      <c r="N93" s="119" t="s">
        <v>12</v>
      </c>
      <c r="O93" s="114" t="s">
        <v>12</v>
      </c>
      <c r="Q93" s="119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108" t="s">
        <v>1673</v>
      </c>
      <c r="Z93" s="108" t="s">
        <v>8</v>
      </c>
      <c r="AA93" s="123">
        <v>46199</v>
      </c>
      <c r="AB93" s="108" t="s">
        <v>1728</v>
      </c>
      <c r="AC93" s="108" t="s">
        <v>1728</v>
      </c>
      <c r="AD93" s="108" t="s">
        <v>1728</v>
      </c>
      <c r="AE93" s="108" t="s">
        <v>1728</v>
      </c>
      <c r="AF93" s="108" t="s">
        <v>1728</v>
      </c>
      <c r="AG93" s="108" t="s">
        <v>1728</v>
      </c>
      <c r="AH93" s="108" t="s">
        <v>1728</v>
      </c>
      <c r="AI93" s="108" t="s">
        <v>1728</v>
      </c>
      <c r="AJ93" s="108" t="s">
        <v>1728</v>
      </c>
      <c r="AK93" s="108"/>
    </row>
    <row r="94" spans="1:37" ht="46.35" customHeight="1" x14ac:dyDescent="0.3">
      <c r="A94" s="110" t="s">
        <v>1748</v>
      </c>
      <c r="B94" s="108" t="s">
        <v>1479</v>
      </c>
      <c r="C94" s="108" t="s">
        <v>1750</v>
      </c>
      <c r="D94" s="214" t="s">
        <v>1359</v>
      </c>
      <c r="E94" s="215">
        <v>0.14774400000000001</v>
      </c>
      <c r="F94" s="225">
        <v>281.14016879970018</v>
      </c>
      <c r="G94" s="108" t="s">
        <v>24</v>
      </c>
      <c r="H94" s="110" t="s">
        <v>42</v>
      </c>
      <c r="J94" s="111">
        <v>0.7</v>
      </c>
      <c r="K94" s="111" t="s">
        <v>215</v>
      </c>
      <c r="L94" s="116" t="s">
        <v>1744</v>
      </c>
      <c r="N94" s="119" t="s">
        <v>12</v>
      </c>
      <c r="O94" s="114" t="s">
        <v>12</v>
      </c>
      <c r="Q94" s="119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108" t="s">
        <v>1673</v>
      </c>
      <c r="Z94" s="108" t="s">
        <v>8</v>
      </c>
      <c r="AA94" s="123">
        <v>46199</v>
      </c>
      <c r="AB94" s="108" t="s">
        <v>1728</v>
      </c>
      <c r="AC94" s="108" t="s">
        <v>1728</v>
      </c>
      <c r="AD94" s="108" t="s">
        <v>1728</v>
      </c>
      <c r="AE94" s="108" t="s">
        <v>1728</v>
      </c>
      <c r="AF94" s="108" t="s">
        <v>1728</v>
      </c>
      <c r="AG94" s="108" t="s">
        <v>1728</v>
      </c>
      <c r="AH94" s="108" t="s">
        <v>1728</v>
      </c>
      <c r="AI94" s="108" t="s">
        <v>1728</v>
      </c>
      <c r="AJ94" s="108" t="s">
        <v>1728</v>
      </c>
      <c r="AK94" s="108"/>
    </row>
    <row r="95" spans="1:37" ht="44.1" customHeight="1" x14ac:dyDescent="0.3">
      <c r="A95" s="195" t="s">
        <v>1784</v>
      </c>
      <c r="B95" s="108" t="s">
        <v>46</v>
      </c>
      <c r="C95" s="108"/>
      <c r="D95" s="214" t="s">
        <v>221</v>
      </c>
      <c r="E95" s="215">
        <v>36.24</v>
      </c>
      <c r="F95" s="210">
        <v>128107.04</v>
      </c>
      <c r="G95" s="108" t="s">
        <v>34</v>
      </c>
      <c r="H95" s="110" t="s">
        <v>42</v>
      </c>
      <c r="J95" s="111">
        <v>1.8</v>
      </c>
      <c r="K95" s="111" t="s">
        <v>1785</v>
      </c>
      <c r="L95" s="116" t="s">
        <v>12</v>
      </c>
      <c r="N95" s="119" t="s">
        <v>12</v>
      </c>
      <c r="O95" s="114" t="s">
        <v>12</v>
      </c>
      <c r="Q95" s="108" t="s">
        <v>12</v>
      </c>
      <c r="R95" s="115" t="s">
        <v>12</v>
      </c>
      <c r="T95" s="141">
        <v>840</v>
      </c>
      <c r="U95" s="142">
        <v>820</v>
      </c>
      <c r="V95" s="111" t="s">
        <v>1786</v>
      </c>
      <c r="W95" s="116" t="s">
        <v>12</v>
      </c>
      <c r="Y95" s="123">
        <v>46078</v>
      </c>
      <c r="Z95" s="108" t="s">
        <v>8</v>
      </c>
      <c r="AA95" s="123">
        <v>46093</v>
      </c>
      <c r="AB95" s="123">
        <v>46237</v>
      </c>
      <c r="AC95" s="123">
        <v>46204</v>
      </c>
      <c r="AD95" s="123" t="s">
        <v>1842</v>
      </c>
      <c r="AE95" s="123">
        <v>46219</v>
      </c>
      <c r="AF95" s="123">
        <v>46219</v>
      </c>
      <c r="AG95" s="123">
        <v>46269</v>
      </c>
      <c r="AH95" s="123">
        <v>46279</v>
      </c>
      <c r="AI95" s="108" t="s">
        <v>1733</v>
      </c>
      <c r="AJ95" s="108" t="s">
        <v>1856</v>
      </c>
      <c r="AK95" s="108"/>
    </row>
    <row r="96" spans="1:37" ht="44.1" customHeight="1" x14ac:dyDescent="0.3">
      <c r="A96" s="110" t="s">
        <v>1682</v>
      </c>
      <c r="B96" s="108" t="s">
        <v>1308</v>
      </c>
      <c r="C96" s="108" t="s">
        <v>1683</v>
      </c>
      <c r="D96" s="110" t="s">
        <v>1787</v>
      </c>
      <c r="E96" s="108">
        <v>59.36</v>
      </c>
      <c r="F96" s="210">
        <v>0</v>
      </c>
      <c r="G96" s="108" t="s">
        <v>24</v>
      </c>
      <c r="H96" s="110" t="s">
        <v>45</v>
      </c>
      <c r="J96" s="111" t="s">
        <v>12</v>
      </c>
      <c r="K96" s="111" t="s">
        <v>12</v>
      </c>
      <c r="L96" s="116" t="s">
        <v>12</v>
      </c>
      <c r="N96" s="119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6" t="s">
        <v>12</v>
      </c>
      <c r="W96" s="116" t="s">
        <v>12</v>
      </c>
      <c r="Y96" s="108" t="s">
        <v>1673</v>
      </c>
      <c r="Z96" s="108" t="s">
        <v>8</v>
      </c>
      <c r="AA96" s="108" t="s">
        <v>12</v>
      </c>
      <c r="AB96" s="108" t="s">
        <v>12</v>
      </c>
      <c r="AC96" s="108" t="s">
        <v>12</v>
      </c>
      <c r="AD96" s="108" t="s">
        <v>1866</v>
      </c>
      <c r="AE96" s="108" t="s">
        <v>12</v>
      </c>
      <c r="AF96" s="108" t="s">
        <v>12</v>
      </c>
      <c r="AG96" s="108" t="s">
        <v>12</v>
      </c>
      <c r="AH96" s="108" t="s">
        <v>12</v>
      </c>
      <c r="AI96" s="108" t="s">
        <v>12</v>
      </c>
      <c r="AJ96" s="108" t="s">
        <v>1728</v>
      </c>
      <c r="AK96" s="108" t="s">
        <v>1788</v>
      </c>
    </row>
    <row r="97" spans="1:37" ht="44.1" customHeight="1" x14ac:dyDescent="0.3">
      <c r="A97" s="110" t="s">
        <v>1682</v>
      </c>
      <c r="B97" s="110" t="s">
        <v>1789</v>
      </c>
      <c r="C97" s="110" t="s">
        <v>1683</v>
      </c>
      <c r="D97" s="214" t="s">
        <v>1790</v>
      </c>
      <c r="E97" s="108">
        <v>43.23</v>
      </c>
      <c r="F97" s="210">
        <v>0</v>
      </c>
      <c r="G97" s="108" t="s">
        <v>24</v>
      </c>
      <c r="H97" s="110" t="s">
        <v>1791</v>
      </c>
      <c r="J97" s="111" t="s">
        <v>12</v>
      </c>
      <c r="K97" s="111" t="s">
        <v>12</v>
      </c>
      <c r="L97" s="116" t="s">
        <v>12</v>
      </c>
      <c r="N97" s="119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108" t="s">
        <v>1673</v>
      </c>
      <c r="Z97" s="108" t="s">
        <v>8</v>
      </c>
      <c r="AA97" s="108" t="s">
        <v>12</v>
      </c>
      <c r="AB97" s="108" t="s">
        <v>12</v>
      </c>
      <c r="AC97" s="108" t="s">
        <v>12</v>
      </c>
      <c r="AD97" s="108" t="s">
        <v>1866</v>
      </c>
      <c r="AE97" s="108" t="s">
        <v>12</v>
      </c>
      <c r="AF97" s="108" t="s">
        <v>12</v>
      </c>
      <c r="AG97" s="108" t="s">
        <v>12</v>
      </c>
      <c r="AH97" s="108" t="s">
        <v>12</v>
      </c>
      <c r="AI97" s="108" t="s">
        <v>12</v>
      </c>
      <c r="AJ97" s="108" t="s">
        <v>1728</v>
      </c>
      <c r="AK97" s="108" t="s">
        <v>1792</v>
      </c>
    </row>
    <row r="98" spans="1:37" ht="44.1" customHeight="1" x14ac:dyDescent="0.3">
      <c r="A98" s="108"/>
      <c r="B98" s="108" t="s">
        <v>311</v>
      </c>
      <c r="C98" s="108"/>
      <c r="D98" s="214" t="s">
        <v>1793</v>
      </c>
      <c r="E98" s="214">
        <v>18.899999999999999</v>
      </c>
      <c r="F98" s="225"/>
      <c r="G98" s="214" t="s">
        <v>37</v>
      </c>
      <c r="H98" s="110" t="s">
        <v>42</v>
      </c>
      <c r="J98" s="111" t="s">
        <v>12</v>
      </c>
      <c r="K98" s="111" t="s">
        <v>12</v>
      </c>
      <c r="L98" s="116" t="s">
        <v>12</v>
      </c>
      <c r="N98" s="119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108" t="s">
        <v>1673</v>
      </c>
      <c r="Z98" s="108" t="s">
        <v>8</v>
      </c>
      <c r="AA98" s="123">
        <v>46199</v>
      </c>
      <c r="AB98" s="123">
        <v>46237</v>
      </c>
      <c r="AC98" s="123">
        <v>46237</v>
      </c>
      <c r="AD98" s="108" t="s">
        <v>1841</v>
      </c>
      <c r="AE98" s="108" t="s">
        <v>1674</v>
      </c>
      <c r="AF98" s="108"/>
      <c r="AG98" s="108"/>
      <c r="AH98" s="108"/>
      <c r="AI98" s="108"/>
      <c r="AJ98" s="108" t="s">
        <v>1850</v>
      </c>
      <c r="AK98" s="108"/>
    </row>
    <row r="99" spans="1:37" ht="44.1" customHeight="1" x14ac:dyDescent="0.3">
      <c r="A99" s="108"/>
      <c r="B99" s="108" t="s">
        <v>386</v>
      </c>
      <c r="C99" s="108"/>
      <c r="D99" s="214" t="s">
        <v>1794</v>
      </c>
      <c r="E99" s="214">
        <v>11.18</v>
      </c>
      <c r="F99" s="225"/>
      <c r="G99" s="214" t="s">
        <v>37</v>
      </c>
      <c r="H99" s="110" t="s">
        <v>42</v>
      </c>
      <c r="J99" s="111" t="s">
        <v>12</v>
      </c>
      <c r="K99" s="111" t="s">
        <v>12</v>
      </c>
      <c r="L99" s="116" t="s">
        <v>12</v>
      </c>
      <c r="N99" s="119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108" t="s">
        <v>1673</v>
      </c>
      <c r="Z99" s="108" t="s">
        <v>8</v>
      </c>
      <c r="AA99" s="123">
        <v>46199</v>
      </c>
      <c r="AB99" s="123">
        <v>46237</v>
      </c>
      <c r="AC99" s="123">
        <v>46237</v>
      </c>
      <c r="AD99" s="108" t="s">
        <v>1841</v>
      </c>
      <c r="AE99" s="108" t="s">
        <v>1674</v>
      </c>
      <c r="AF99" s="108"/>
      <c r="AG99" s="108"/>
      <c r="AH99" s="108"/>
      <c r="AI99" s="108"/>
      <c r="AJ99" s="108" t="s">
        <v>1850</v>
      </c>
      <c r="AK99" s="108"/>
    </row>
    <row r="100" spans="1:37" ht="44.1" customHeight="1" x14ac:dyDescent="0.3">
      <c r="A100" s="108"/>
      <c r="B100" s="108" t="s">
        <v>404</v>
      </c>
      <c r="C100" s="108"/>
      <c r="D100" s="214" t="s">
        <v>1795</v>
      </c>
      <c r="E100" s="214">
        <v>8</v>
      </c>
      <c r="F100" s="225"/>
      <c r="G100" s="214" t="s">
        <v>37</v>
      </c>
      <c r="H100" s="110" t="s">
        <v>42</v>
      </c>
      <c r="J100" s="111" t="s">
        <v>12</v>
      </c>
      <c r="K100" s="111" t="s">
        <v>12</v>
      </c>
      <c r="L100" s="116" t="s">
        <v>12</v>
      </c>
      <c r="N100" s="119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108" t="s">
        <v>1673</v>
      </c>
      <c r="Z100" s="108" t="s">
        <v>8</v>
      </c>
      <c r="AA100" s="123">
        <v>46199</v>
      </c>
      <c r="AB100" s="123">
        <v>46237</v>
      </c>
      <c r="AC100" s="123">
        <v>46237</v>
      </c>
      <c r="AD100" s="108" t="s">
        <v>1841</v>
      </c>
      <c r="AE100" s="108" t="s">
        <v>1674</v>
      </c>
      <c r="AF100" s="108"/>
      <c r="AG100" s="108"/>
      <c r="AH100" s="108"/>
      <c r="AI100" s="108"/>
      <c r="AJ100" s="108" t="s">
        <v>1850</v>
      </c>
      <c r="AK100" s="108"/>
    </row>
    <row r="101" spans="1:37" ht="44.1" customHeight="1" x14ac:dyDescent="0.3">
      <c r="A101" s="195" t="s">
        <v>1796</v>
      </c>
      <c r="B101" s="108" t="s">
        <v>1797</v>
      </c>
      <c r="C101" s="108"/>
      <c r="D101" s="214" t="s">
        <v>1528</v>
      </c>
      <c r="E101" s="108">
        <v>6.88</v>
      </c>
      <c r="F101" s="210">
        <v>29532.29</v>
      </c>
      <c r="G101" s="108" t="s">
        <v>34</v>
      </c>
      <c r="H101" s="110" t="s">
        <v>53</v>
      </c>
      <c r="J101" s="111">
        <v>6</v>
      </c>
      <c r="K101" s="111" t="s">
        <v>12</v>
      </c>
      <c r="L101" s="116" t="s">
        <v>12</v>
      </c>
      <c r="N101" s="121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108" t="s">
        <v>8</v>
      </c>
      <c r="Z101" s="108" t="s">
        <v>12</v>
      </c>
      <c r="AA101" s="108" t="s">
        <v>12</v>
      </c>
      <c r="AB101" s="108" t="s">
        <v>12</v>
      </c>
      <c r="AC101" s="108" t="s">
        <v>12</v>
      </c>
      <c r="AD101" s="123" t="s">
        <v>1842</v>
      </c>
      <c r="AE101" s="108" t="s">
        <v>12</v>
      </c>
      <c r="AF101" s="108" t="s">
        <v>12</v>
      </c>
      <c r="AG101" s="108" t="s">
        <v>12</v>
      </c>
      <c r="AH101" s="108" t="s">
        <v>12</v>
      </c>
      <c r="AI101" s="108" t="s">
        <v>1733</v>
      </c>
      <c r="AJ101" s="108" t="s">
        <v>1861</v>
      </c>
      <c r="AK101" s="108" t="s">
        <v>1798</v>
      </c>
    </row>
    <row r="102" spans="1:37" ht="44.1" customHeight="1" x14ac:dyDescent="0.3">
      <c r="A102" s="108"/>
      <c r="B102" s="108" t="s">
        <v>275</v>
      </c>
      <c r="C102" s="108"/>
      <c r="D102" s="214" t="s">
        <v>276</v>
      </c>
      <c r="E102" s="108">
        <v>25.574999999999999</v>
      </c>
      <c r="F102" s="225"/>
      <c r="G102" s="108" t="s">
        <v>34</v>
      </c>
      <c r="H102" s="110" t="s">
        <v>54</v>
      </c>
      <c r="J102" s="120">
        <v>2.75</v>
      </c>
      <c r="K102" s="117" t="s">
        <v>1799</v>
      </c>
      <c r="L102" s="114" t="s">
        <v>12</v>
      </c>
      <c r="N102" s="119" t="s">
        <v>12</v>
      </c>
      <c r="O102" s="114" t="s">
        <v>12</v>
      </c>
      <c r="Q102" s="119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108" t="s">
        <v>1673</v>
      </c>
      <c r="Z102" s="108" t="s">
        <v>8</v>
      </c>
      <c r="AA102" s="123">
        <v>46199</v>
      </c>
      <c r="AB102" s="108" t="s">
        <v>1728</v>
      </c>
      <c r="AC102" s="108" t="s">
        <v>1728</v>
      </c>
      <c r="AD102" s="108" t="s">
        <v>1728</v>
      </c>
      <c r="AE102" s="108" t="s">
        <v>1728</v>
      </c>
      <c r="AF102" s="108" t="s">
        <v>1728</v>
      </c>
      <c r="AG102" s="108" t="s">
        <v>1728</v>
      </c>
      <c r="AH102" s="108" t="s">
        <v>1728</v>
      </c>
      <c r="AI102" s="108" t="s">
        <v>1728</v>
      </c>
      <c r="AJ102" s="108" t="s">
        <v>1728</v>
      </c>
      <c r="AK102" s="108" t="s">
        <v>1863</v>
      </c>
    </row>
    <row r="103" spans="1:37" ht="44.85" customHeight="1" x14ac:dyDescent="0.3">
      <c r="A103" s="195" t="s">
        <v>1800</v>
      </c>
      <c r="B103" s="108" t="s">
        <v>328</v>
      </c>
      <c r="C103" s="108"/>
      <c r="D103" s="214" t="s">
        <v>1801</v>
      </c>
      <c r="E103" s="108">
        <v>16.989999999999998</v>
      </c>
      <c r="F103" s="225">
        <v>70963.59</v>
      </c>
      <c r="G103" s="108" t="s">
        <v>34</v>
      </c>
      <c r="H103" s="110" t="s">
        <v>54</v>
      </c>
      <c r="J103" s="120">
        <v>2</v>
      </c>
      <c r="K103" s="117" t="s">
        <v>12</v>
      </c>
      <c r="L103" s="114" t="s">
        <v>12</v>
      </c>
      <c r="N103" s="119" t="s">
        <v>12</v>
      </c>
      <c r="O103" s="114" t="s">
        <v>12</v>
      </c>
      <c r="Q103" s="116" t="s">
        <v>12</v>
      </c>
      <c r="R103" s="111" t="s">
        <v>12</v>
      </c>
      <c r="T103" s="108">
        <v>400</v>
      </c>
      <c r="U103" s="108">
        <v>366</v>
      </c>
      <c r="V103" s="108" t="s">
        <v>12</v>
      </c>
      <c r="W103" s="123" t="s">
        <v>12</v>
      </c>
      <c r="X103" s="123"/>
      <c r="Y103" s="123">
        <v>46142</v>
      </c>
      <c r="Z103" s="108" t="s">
        <v>8</v>
      </c>
      <c r="AA103" s="123">
        <v>46199</v>
      </c>
      <c r="AB103" s="123">
        <v>46237</v>
      </c>
      <c r="AC103" s="108"/>
      <c r="AD103" s="108"/>
      <c r="AE103" s="108"/>
      <c r="AF103" s="108"/>
      <c r="AG103" s="108"/>
      <c r="AH103" s="108"/>
      <c r="AI103" s="108"/>
      <c r="AJ103" s="108" t="s">
        <v>1848</v>
      </c>
      <c r="AK103" s="108"/>
    </row>
    <row r="104" spans="1:37" ht="44.1" customHeight="1" x14ac:dyDescent="0.3">
      <c r="A104" s="108"/>
      <c r="B104" s="108" t="s">
        <v>1007</v>
      </c>
      <c r="C104" s="108"/>
      <c r="D104" s="214" t="s">
        <v>1802</v>
      </c>
      <c r="E104" s="108">
        <v>37.409999999999997</v>
      </c>
      <c r="F104" s="210">
        <v>115203.58357199997</v>
      </c>
      <c r="G104" s="108" t="s">
        <v>27</v>
      </c>
      <c r="H104" s="110" t="s">
        <v>42</v>
      </c>
      <c r="J104" s="108">
        <v>8.75</v>
      </c>
      <c r="K104" s="112" t="s">
        <v>1803</v>
      </c>
      <c r="L104" s="116" t="s">
        <v>1804</v>
      </c>
      <c r="N104" s="121" t="s">
        <v>1672</v>
      </c>
      <c r="O104" s="114" t="s">
        <v>1672</v>
      </c>
      <c r="Q104" s="108" t="s">
        <v>12</v>
      </c>
      <c r="R104" s="115" t="s">
        <v>12</v>
      </c>
      <c r="T104" s="108">
        <v>1400</v>
      </c>
      <c r="U104" s="122" t="s">
        <v>1805</v>
      </c>
      <c r="V104" s="108">
        <v>7665</v>
      </c>
      <c r="W104" s="122" t="s">
        <v>1806</v>
      </c>
      <c r="Y104" s="123">
        <v>46172</v>
      </c>
      <c r="Z104" s="219" t="s">
        <v>8</v>
      </c>
      <c r="AA104" s="205" t="s">
        <v>1728</v>
      </c>
      <c r="AB104" s="205" t="s">
        <v>1728</v>
      </c>
      <c r="AC104" s="205" t="s">
        <v>1728</v>
      </c>
      <c r="AD104" s="205" t="s">
        <v>1728</v>
      </c>
      <c r="AE104" s="205" t="s">
        <v>1728</v>
      </c>
      <c r="AF104" s="205" t="s">
        <v>1728</v>
      </c>
      <c r="AG104" s="205" t="s">
        <v>1728</v>
      </c>
      <c r="AH104" s="205" t="s">
        <v>1728</v>
      </c>
      <c r="AI104" s="205" t="s">
        <v>1728</v>
      </c>
      <c r="AJ104" s="205" t="s">
        <v>1728</v>
      </c>
      <c r="AK104" s="110" t="s">
        <v>1807</v>
      </c>
    </row>
    <row r="105" spans="1:37" ht="61.35" customHeight="1" x14ac:dyDescent="0.3">
      <c r="A105" s="108"/>
      <c r="B105" s="108" t="s">
        <v>280</v>
      </c>
      <c r="C105" s="108"/>
      <c r="D105" s="214" t="s">
        <v>1112</v>
      </c>
      <c r="E105" s="108">
        <v>29.09</v>
      </c>
      <c r="F105" s="210">
        <v>44357.51</v>
      </c>
      <c r="G105" s="108" t="s">
        <v>27</v>
      </c>
      <c r="H105" s="110" t="s">
        <v>36</v>
      </c>
      <c r="J105" s="108">
        <v>7</v>
      </c>
      <c r="K105" s="111" t="s">
        <v>1808</v>
      </c>
      <c r="L105" s="116" t="s">
        <v>12</v>
      </c>
      <c r="N105" s="121" t="s">
        <v>1672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4" t="s">
        <v>1809</v>
      </c>
      <c r="W105" s="122" t="s">
        <v>1810</v>
      </c>
      <c r="Y105" s="123">
        <v>46203</v>
      </c>
      <c r="Z105" s="220" t="s">
        <v>12</v>
      </c>
      <c r="AA105" s="220" t="s">
        <v>12</v>
      </c>
      <c r="AB105" s="221" t="s">
        <v>12</v>
      </c>
      <c r="AC105" s="108" t="s">
        <v>12</v>
      </c>
      <c r="AD105" s="108" t="s">
        <v>1842</v>
      </c>
      <c r="AE105" s="108" t="s">
        <v>1674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1861</v>
      </c>
      <c r="AK105" s="108"/>
    </row>
    <row r="106" spans="1:37" ht="44.1" customHeight="1" x14ac:dyDescent="0.3">
      <c r="A106" s="108"/>
      <c r="B106" s="108" t="s">
        <v>1003</v>
      </c>
      <c r="C106" s="108"/>
      <c r="D106" s="214" t="s">
        <v>958</v>
      </c>
      <c r="E106" s="108">
        <v>30.92</v>
      </c>
      <c r="F106" s="225">
        <v>0</v>
      </c>
      <c r="G106" s="108" t="s">
        <v>27</v>
      </c>
      <c r="H106" s="110" t="s">
        <v>39</v>
      </c>
      <c r="J106" s="111">
        <v>10.75</v>
      </c>
      <c r="K106" s="111" t="s">
        <v>1811</v>
      </c>
      <c r="L106" s="116" t="s">
        <v>1812</v>
      </c>
      <c r="N106" s="121" t="s">
        <v>1672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123">
        <v>46238</v>
      </c>
      <c r="Z106" s="219" t="s">
        <v>8</v>
      </c>
      <c r="AA106" s="205">
        <v>46269</v>
      </c>
      <c r="AB106" s="222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1848</v>
      </c>
      <c r="AK106" s="108"/>
    </row>
    <row r="107" spans="1:37" ht="44.1" customHeight="1" x14ac:dyDescent="0.3">
      <c r="A107" s="108"/>
      <c r="B107" s="108" t="s">
        <v>1047</v>
      </c>
      <c r="C107" s="108"/>
      <c r="D107" s="214" t="s">
        <v>1034</v>
      </c>
      <c r="E107" s="108">
        <v>13.39</v>
      </c>
      <c r="F107" s="210">
        <v>27672.57</v>
      </c>
      <c r="G107" s="108" t="s">
        <v>27</v>
      </c>
      <c r="H107" s="110" t="s">
        <v>51</v>
      </c>
      <c r="J107" s="108">
        <v>7.25</v>
      </c>
      <c r="K107" s="111" t="s">
        <v>1813</v>
      </c>
      <c r="L107" s="116" t="s">
        <v>1814</v>
      </c>
      <c r="N107" s="121" t="s">
        <v>1672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123">
        <v>46238</v>
      </c>
      <c r="Z107" s="219" t="s">
        <v>8</v>
      </c>
      <c r="AA107" s="205">
        <v>46240</v>
      </c>
      <c r="AB107" s="222">
        <v>46247</v>
      </c>
      <c r="AC107" s="123">
        <v>46247</v>
      </c>
      <c r="AD107" s="123" t="s">
        <v>1842</v>
      </c>
      <c r="AE107" s="108" t="s">
        <v>12</v>
      </c>
      <c r="AF107" s="108" t="s">
        <v>12</v>
      </c>
      <c r="AG107" s="123">
        <v>46266</v>
      </c>
      <c r="AH107" s="123">
        <v>46266</v>
      </c>
      <c r="AI107" s="108"/>
      <c r="AJ107" s="108" t="s">
        <v>1861</v>
      </c>
      <c r="AK107" s="108" t="s">
        <v>1815</v>
      </c>
    </row>
    <row r="108" spans="1:37" ht="44.1" customHeight="1" x14ac:dyDescent="0.3">
      <c r="A108" s="108"/>
      <c r="B108" s="108" t="s">
        <v>1033</v>
      </c>
      <c r="C108" s="108"/>
      <c r="D108" s="214" t="s">
        <v>1034</v>
      </c>
      <c r="E108" s="108">
        <v>13.94</v>
      </c>
      <c r="F108" s="210">
        <v>14891.724396000045</v>
      </c>
      <c r="G108" s="108" t="s">
        <v>27</v>
      </c>
      <c r="H108" s="110" t="s">
        <v>51</v>
      </c>
      <c r="J108" s="108">
        <v>7.75</v>
      </c>
      <c r="K108" s="111" t="s">
        <v>1816</v>
      </c>
      <c r="L108" s="116" t="s">
        <v>1817</v>
      </c>
      <c r="N108" s="121" t="s">
        <v>1818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123">
        <v>46238</v>
      </c>
      <c r="Z108" s="219" t="s">
        <v>8</v>
      </c>
      <c r="AA108" s="205">
        <v>46240</v>
      </c>
      <c r="AB108" s="222">
        <v>46247</v>
      </c>
      <c r="AC108" s="123">
        <v>46247</v>
      </c>
      <c r="AD108" s="123" t="s">
        <v>1842</v>
      </c>
      <c r="AE108" s="108" t="s">
        <v>12</v>
      </c>
      <c r="AF108" s="108" t="s">
        <v>12</v>
      </c>
      <c r="AG108" s="123">
        <v>46266</v>
      </c>
      <c r="AH108" s="123">
        <v>46266</v>
      </c>
      <c r="AI108" s="108"/>
      <c r="AJ108" s="108" t="s">
        <v>1861</v>
      </c>
      <c r="AK108" s="108" t="s">
        <v>1815</v>
      </c>
    </row>
    <row r="109" spans="1:37" ht="44.1" customHeight="1" x14ac:dyDescent="0.3">
      <c r="A109" s="108"/>
      <c r="B109" s="108" t="s">
        <v>1023</v>
      </c>
      <c r="C109" s="108"/>
      <c r="D109" s="214" t="s">
        <v>1024</v>
      </c>
      <c r="E109" s="108">
        <v>26.39</v>
      </c>
      <c r="F109" s="225">
        <v>3778.79</v>
      </c>
      <c r="G109" s="108" t="s">
        <v>27</v>
      </c>
      <c r="H109" s="110" t="s">
        <v>39</v>
      </c>
      <c r="J109" s="108">
        <v>6</v>
      </c>
      <c r="K109" s="111" t="s">
        <v>1819</v>
      </c>
      <c r="L109" s="116" t="s">
        <v>12</v>
      </c>
      <c r="N109" s="121" t="s">
        <v>1671</v>
      </c>
      <c r="O109" s="114" t="s">
        <v>1677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123">
        <v>46240</v>
      </c>
      <c r="Z109" s="219" t="s">
        <v>8</v>
      </c>
      <c r="AA109" s="205">
        <v>46269</v>
      </c>
      <c r="AB109" s="222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1848</v>
      </c>
      <c r="AK109" s="108"/>
    </row>
    <row r="110" spans="1:37" ht="44.1" customHeight="1" x14ac:dyDescent="0.3">
      <c r="A110" s="108"/>
      <c r="B110" s="108" t="s">
        <v>1041</v>
      </c>
      <c r="C110" s="108"/>
      <c r="D110" s="214" t="s">
        <v>972</v>
      </c>
      <c r="E110" s="108">
        <v>14.55</v>
      </c>
      <c r="F110" s="223">
        <v>12996.11</v>
      </c>
      <c r="G110" s="108" t="s">
        <v>27</v>
      </c>
      <c r="H110" s="110" t="s">
        <v>39</v>
      </c>
      <c r="J110" s="111">
        <v>7.75</v>
      </c>
      <c r="K110" s="111" t="s">
        <v>1820</v>
      </c>
      <c r="L110" s="116" t="s">
        <v>1821</v>
      </c>
      <c r="N110" s="121" t="s">
        <v>1680</v>
      </c>
      <c r="O110" s="114" t="s">
        <v>1677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123">
        <v>46241</v>
      </c>
      <c r="Z110" s="219" t="s">
        <v>10</v>
      </c>
      <c r="AA110" s="220"/>
      <c r="AB110" s="221"/>
      <c r="AC110" s="108"/>
      <c r="AD110" s="108"/>
      <c r="AE110" s="108"/>
      <c r="AF110" s="108"/>
      <c r="AG110" s="108"/>
      <c r="AH110" s="108"/>
      <c r="AI110" s="108"/>
      <c r="AJ110" s="108" t="s">
        <v>1852</v>
      </c>
      <c r="AK110" s="108" t="s">
        <v>1822</v>
      </c>
    </row>
    <row r="111" spans="1:37" ht="57.6" x14ac:dyDescent="0.3">
      <c r="A111" s="108"/>
      <c r="B111" s="110" t="s">
        <v>1823</v>
      </c>
      <c r="C111" s="108"/>
      <c r="D111" s="214" t="s">
        <v>1824</v>
      </c>
      <c r="E111" s="108" t="s">
        <v>161</v>
      </c>
      <c r="F111" s="108"/>
      <c r="G111" s="108" t="s">
        <v>34</v>
      </c>
      <c r="H111" s="110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4" t="s">
        <v>1825</v>
      </c>
      <c r="W111" s="122" t="s">
        <v>1826</v>
      </c>
      <c r="Y111" s="123">
        <v>46248</v>
      </c>
      <c r="Z111" s="219" t="s">
        <v>12</v>
      </c>
      <c r="AA111" s="220" t="s">
        <v>12</v>
      </c>
      <c r="AB111" s="221" t="s">
        <v>12</v>
      </c>
      <c r="AC111" s="108" t="s">
        <v>12</v>
      </c>
      <c r="AD111" s="108"/>
      <c r="AE111" s="108" t="s">
        <v>1674</v>
      </c>
      <c r="AF111" s="108"/>
      <c r="AG111" s="108"/>
      <c r="AH111" s="108"/>
      <c r="AI111" s="108"/>
      <c r="AJ111" s="108" t="s">
        <v>1850</v>
      </c>
      <c r="AK111" s="108"/>
    </row>
    <row r="112" spans="1:37" ht="44.1" customHeight="1" x14ac:dyDescent="0.3">
      <c r="A112" s="108"/>
      <c r="B112" s="108"/>
      <c r="C112" s="108"/>
      <c r="D112" s="109"/>
      <c r="E112" s="120"/>
      <c r="F112" s="120"/>
      <c r="G112" s="108"/>
      <c r="H112" s="110"/>
      <c r="J112" s="111"/>
      <c r="K112" s="111"/>
      <c r="L112" s="116"/>
      <c r="N112" s="121"/>
      <c r="O112" s="114"/>
      <c r="Q112" s="108"/>
      <c r="R112" s="115"/>
      <c r="T112" s="111"/>
      <c r="U112" s="116"/>
      <c r="V112" s="111"/>
      <c r="W112" s="116"/>
      <c r="Y112" s="127"/>
      <c r="Z112" s="137"/>
      <c r="AA112" s="218"/>
      <c r="AB112" s="138"/>
      <c r="AC112" s="127"/>
      <c r="AD112" s="127"/>
      <c r="AE112" s="127"/>
      <c r="AF112" s="127"/>
      <c r="AG112" s="127"/>
      <c r="AH112" s="127"/>
      <c r="AI112" s="127"/>
      <c r="AJ112" s="127"/>
      <c r="AK112" s="127"/>
    </row>
    <row r="113" spans="1:37" ht="44.1" customHeight="1" x14ac:dyDescent="0.3">
      <c r="A113" s="108"/>
      <c r="B113" s="108"/>
      <c r="C113" s="108"/>
      <c r="D113" s="109"/>
      <c r="E113" s="120"/>
      <c r="F113" s="120"/>
      <c r="G113" s="108"/>
      <c r="H113" s="110"/>
      <c r="J113" s="111"/>
      <c r="K113" s="111"/>
      <c r="L113" s="116"/>
      <c r="N113" s="121"/>
      <c r="O113" s="114"/>
      <c r="Q113" s="108"/>
      <c r="R113" s="115"/>
      <c r="T113" s="111"/>
      <c r="U113" s="116"/>
      <c r="V113" s="111"/>
      <c r="W113" s="116"/>
      <c r="Y113" s="127"/>
      <c r="Z113" s="137"/>
      <c r="AA113" s="127"/>
      <c r="AB113" s="138"/>
      <c r="AC113" s="127"/>
      <c r="AD113" s="127"/>
      <c r="AE113" s="127"/>
      <c r="AF113" s="127"/>
      <c r="AG113" s="127"/>
      <c r="AH113" s="127"/>
      <c r="AI113" s="127"/>
      <c r="AJ113" s="127"/>
      <c r="AK113" s="127"/>
    </row>
    <row r="114" spans="1:37" ht="44.1" customHeight="1" x14ac:dyDescent="0.3">
      <c r="A114" s="108"/>
      <c r="B114" s="108"/>
      <c r="C114" s="108"/>
      <c r="D114" s="109"/>
      <c r="E114" s="120"/>
      <c r="F114" s="120"/>
      <c r="G114" s="108"/>
      <c r="H114" s="110"/>
      <c r="J114" s="111"/>
      <c r="K114" s="111"/>
      <c r="L114" s="116"/>
      <c r="N114" s="121"/>
      <c r="O114" s="114"/>
      <c r="Q114" s="108"/>
      <c r="R114" s="115"/>
      <c r="T114" s="111"/>
      <c r="U114" s="116"/>
      <c r="V114" s="111"/>
      <c r="W114" s="116"/>
      <c r="Y114" s="127"/>
      <c r="Z114" s="137"/>
      <c r="AA114" s="217"/>
      <c r="AB114" s="138"/>
      <c r="AC114" s="127"/>
      <c r="AD114" s="127"/>
      <c r="AE114" s="127"/>
      <c r="AF114" s="127"/>
      <c r="AG114" s="127"/>
      <c r="AH114" s="127"/>
      <c r="AI114" s="127"/>
      <c r="AJ114" s="127"/>
      <c r="AK114" s="127"/>
    </row>
    <row r="115" spans="1:37" ht="44.1" customHeight="1" x14ac:dyDescent="0.3">
      <c r="A115" s="108"/>
      <c r="B115" s="108"/>
      <c r="C115" s="108"/>
      <c r="D115" s="109"/>
      <c r="E115" s="120"/>
      <c r="F115" s="120"/>
      <c r="G115" s="108"/>
      <c r="H115" s="110"/>
      <c r="J115" s="111"/>
      <c r="K115" s="111"/>
      <c r="L115" s="116"/>
      <c r="N115" s="121"/>
      <c r="O115" s="114"/>
      <c r="Q115" s="108"/>
      <c r="R115" s="115"/>
      <c r="T115" s="111"/>
      <c r="U115" s="116"/>
      <c r="V115" s="111"/>
      <c r="W115" s="116"/>
      <c r="Y115" s="127"/>
      <c r="Z115" s="137"/>
      <c r="AA115" s="139"/>
      <c r="AC115" s="127"/>
      <c r="AD115" s="127"/>
      <c r="AE115" s="127"/>
      <c r="AF115" s="127"/>
      <c r="AG115" s="127"/>
      <c r="AH115" s="127"/>
      <c r="AI115" s="127"/>
      <c r="AJ115" s="127"/>
      <c r="AK115" s="127"/>
    </row>
    <row r="116" spans="1:37" ht="44.1" customHeight="1" x14ac:dyDescent="0.3">
      <c r="A116" s="108"/>
      <c r="B116" s="108"/>
      <c r="C116" s="108"/>
      <c r="D116" s="109"/>
      <c r="E116" s="120"/>
      <c r="F116" s="120"/>
      <c r="G116" s="108"/>
      <c r="H116" s="110"/>
      <c r="J116" s="111"/>
      <c r="K116" s="111"/>
      <c r="L116" s="116"/>
      <c r="N116" s="121"/>
      <c r="O116" s="114"/>
      <c r="Q116" s="108"/>
      <c r="R116" s="115"/>
      <c r="T116" s="111"/>
      <c r="U116" s="116"/>
      <c r="V116" s="111"/>
      <c r="W116" s="116"/>
      <c r="Y116" s="127"/>
      <c r="Z116" s="137"/>
      <c r="AA116" s="139"/>
      <c r="AB116" s="138"/>
      <c r="AC116" s="127"/>
      <c r="AD116" s="127"/>
      <c r="AE116" s="127"/>
      <c r="AF116" s="127"/>
      <c r="AG116" s="127"/>
      <c r="AH116" s="127"/>
      <c r="AI116" s="127"/>
      <c r="AJ116" s="127"/>
      <c r="AK116" s="127"/>
    </row>
    <row r="117" spans="1:37" ht="44.1" customHeight="1" x14ac:dyDescent="0.3">
      <c r="A117" s="108"/>
      <c r="B117" s="108"/>
      <c r="C117" s="108"/>
      <c r="D117" s="109"/>
      <c r="E117" s="120"/>
      <c r="F117" s="120"/>
      <c r="G117" s="108"/>
      <c r="H117" s="110"/>
      <c r="J117" s="111"/>
      <c r="K117" s="111"/>
      <c r="L117" s="116"/>
      <c r="N117" s="121"/>
      <c r="O117" s="114"/>
      <c r="Q117" s="108"/>
      <c r="R117" s="115"/>
      <c r="T117" s="111"/>
      <c r="U117" s="116"/>
      <c r="V117" s="111"/>
      <c r="W117" s="116"/>
      <c r="Y117" s="127"/>
      <c r="Z117" s="137"/>
      <c r="AA117" s="139"/>
      <c r="AB117" s="138"/>
      <c r="AC117" s="127"/>
      <c r="AD117" s="127"/>
      <c r="AE117" s="127"/>
      <c r="AF117" s="127"/>
      <c r="AG117" s="127"/>
      <c r="AH117" s="127"/>
      <c r="AI117" s="127"/>
      <c r="AJ117" s="127"/>
      <c r="AK117" s="127"/>
    </row>
    <row r="118" spans="1:37" ht="44.1" customHeight="1" x14ac:dyDescent="0.3">
      <c r="A118" s="108"/>
      <c r="B118" s="108"/>
      <c r="C118" s="108"/>
      <c r="D118" s="109"/>
      <c r="E118" s="120"/>
      <c r="F118" s="120"/>
      <c r="G118" s="108"/>
      <c r="H118" s="110"/>
      <c r="J118" s="111"/>
      <c r="K118" s="111"/>
      <c r="L118" s="116"/>
      <c r="N118" s="121"/>
      <c r="O118" s="114"/>
      <c r="Q118" s="108"/>
      <c r="R118" s="115"/>
      <c r="T118" s="111"/>
      <c r="U118" s="116"/>
      <c r="V118" s="111"/>
      <c r="W118" s="116"/>
      <c r="Y118" s="127"/>
      <c r="Z118" s="137"/>
      <c r="AA118" s="139"/>
      <c r="AB118" s="138"/>
      <c r="AC118" s="127"/>
      <c r="AD118" s="127"/>
      <c r="AE118" s="127"/>
      <c r="AF118" s="127"/>
      <c r="AG118" s="127"/>
      <c r="AH118" s="127"/>
      <c r="AI118" s="127"/>
      <c r="AJ118" s="127"/>
      <c r="AK118" s="127"/>
    </row>
  </sheetData>
  <autoFilter ref="A5:AM111" xr:uid="{C4FFBCF1-480D-45A5-ACB8-5A5348C4C9C4}"/>
  <mergeCells count="7">
    <mergeCell ref="Y2:AK3"/>
    <mergeCell ref="J21:L21"/>
    <mergeCell ref="J29:L29"/>
    <mergeCell ref="T4:W4"/>
    <mergeCell ref="N4:O4"/>
    <mergeCell ref="J4:L4"/>
    <mergeCell ref="Q4:R4"/>
  </mergeCells>
  <conditionalFormatting sqref="A9:A10">
    <cfRule type="duplicateValues" dxfId="67" priority="12"/>
  </conditionalFormatting>
  <conditionalFormatting sqref="A16">
    <cfRule type="duplicateValues" dxfId="66" priority="8"/>
  </conditionalFormatting>
  <conditionalFormatting sqref="A23">
    <cfRule type="duplicateValues" dxfId="65" priority="7"/>
  </conditionalFormatting>
  <conditionalFormatting sqref="A24">
    <cfRule type="duplicateValues" dxfId="64" priority="6"/>
  </conditionalFormatting>
  <conditionalFormatting sqref="A25">
    <cfRule type="duplicateValues" dxfId="63" priority="5"/>
  </conditionalFormatting>
  <conditionalFormatting sqref="A26">
    <cfRule type="duplicateValues" dxfId="62" priority="4"/>
  </conditionalFormatting>
  <conditionalFormatting sqref="A27">
    <cfRule type="duplicateValues" dxfId="61" priority="3"/>
  </conditionalFormatting>
  <conditionalFormatting sqref="A28">
    <cfRule type="duplicateValues" dxfId="60" priority="74"/>
  </conditionalFormatting>
  <conditionalFormatting sqref="A34">
    <cfRule type="duplicateValues" dxfId="59" priority="72"/>
  </conditionalFormatting>
  <conditionalFormatting sqref="A35">
    <cfRule type="duplicateValues" dxfId="58" priority="71"/>
  </conditionalFormatting>
  <conditionalFormatting sqref="A36">
    <cfRule type="duplicateValues" dxfId="57" priority="70"/>
  </conditionalFormatting>
  <conditionalFormatting sqref="A37">
    <cfRule type="duplicateValues" dxfId="56" priority="69"/>
  </conditionalFormatting>
  <conditionalFormatting sqref="A38">
    <cfRule type="duplicateValues" dxfId="55" priority="68"/>
  </conditionalFormatting>
  <conditionalFormatting sqref="A39">
    <cfRule type="duplicateValues" dxfId="54" priority="50"/>
  </conditionalFormatting>
  <conditionalFormatting sqref="A41">
    <cfRule type="duplicateValues" dxfId="53" priority="49"/>
  </conditionalFormatting>
  <conditionalFormatting sqref="A42">
    <cfRule type="duplicateValues" dxfId="52" priority="48"/>
  </conditionalFormatting>
  <conditionalFormatting sqref="A43">
    <cfRule type="duplicateValues" dxfId="51" priority="67"/>
  </conditionalFormatting>
  <conditionalFormatting sqref="A44">
    <cfRule type="duplicateValues" dxfId="50" priority="47"/>
  </conditionalFormatting>
  <conditionalFormatting sqref="A45">
    <cfRule type="duplicateValues" dxfId="49" priority="66"/>
  </conditionalFormatting>
  <conditionalFormatting sqref="A47">
    <cfRule type="duplicateValues" dxfId="48" priority="65"/>
  </conditionalFormatting>
  <conditionalFormatting sqref="A48">
    <cfRule type="duplicateValues" dxfId="47" priority="45"/>
  </conditionalFormatting>
  <conditionalFormatting sqref="A49">
    <cfRule type="duplicateValues" dxfId="46" priority="44"/>
  </conditionalFormatting>
  <conditionalFormatting sqref="A50">
    <cfRule type="duplicateValues" dxfId="45" priority="43"/>
  </conditionalFormatting>
  <conditionalFormatting sqref="A51">
    <cfRule type="duplicateValues" dxfId="44" priority="42"/>
  </conditionalFormatting>
  <conditionalFormatting sqref="A52">
    <cfRule type="duplicateValues" dxfId="43" priority="41"/>
  </conditionalFormatting>
  <conditionalFormatting sqref="A53">
    <cfRule type="duplicateValues" dxfId="42" priority="64"/>
  </conditionalFormatting>
  <conditionalFormatting sqref="A54">
    <cfRule type="duplicateValues" dxfId="41" priority="63"/>
  </conditionalFormatting>
  <conditionalFormatting sqref="A55">
    <cfRule type="duplicateValues" dxfId="40" priority="40"/>
  </conditionalFormatting>
  <conditionalFormatting sqref="A56">
    <cfRule type="duplicateValues" dxfId="39" priority="39"/>
  </conditionalFormatting>
  <conditionalFormatting sqref="A57">
    <cfRule type="duplicateValues" dxfId="38" priority="62"/>
  </conditionalFormatting>
  <conditionalFormatting sqref="A58">
    <cfRule type="duplicateValues" dxfId="37" priority="38"/>
  </conditionalFormatting>
  <conditionalFormatting sqref="A59">
    <cfRule type="duplicateValues" dxfId="36" priority="61"/>
  </conditionalFormatting>
  <conditionalFormatting sqref="A60">
    <cfRule type="duplicateValues" dxfId="35" priority="60"/>
  </conditionalFormatting>
  <conditionalFormatting sqref="A62">
    <cfRule type="duplicateValues" dxfId="34" priority="59"/>
  </conditionalFormatting>
  <conditionalFormatting sqref="A63">
    <cfRule type="duplicateValues" dxfId="33" priority="37"/>
  </conditionalFormatting>
  <conditionalFormatting sqref="A64">
    <cfRule type="duplicateValues" dxfId="32" priority="58"/>
  </conditionalFormatting>
  <conditionalFormatting sqref="A65">
    <cfRule type="duplicateValues" dxfId="31" priority="57"/>
  </conditionalFormatting>
  <conditionalFormatting sqref="A66">
    <cfRule type="duplicateValues" dxfId="30" priority="56"/>
  </conditionalFormatting>
  <conditionalFormatting sqref="A67">
    <cfRule type="duplicateValues" dxfId="29" priority="55"/>
  </conditionalFormatting>
  <conditionalFormatting sqref="A68">
    <cfRule type="duplicateValues" dxfId="28" priority="54"/>
  </conditionalFormatting>
  <conditionalFormatting sqref="A69">
    <cfRule type="duplicateValues" dxfId="27" priority="53"/>
  </conditionalFormatting>
  <conditionalFormatting sqref="A70">
    <cfRule type="duplicateValues" dxfId="26" priority="52"/>
  </conditionalFormatting>
  <conditionalFormatting sqref="A71">
    <cfRule type="duplicateValues" dxfId="25" priority="36"/>
  </conditionalFormatting>
  <conditionalFormatting sqref="A72">
    <cfRule type="duplicateValues" dxfId="24" priority="35"/>
  </conditionalFormatting>
  <conditionalFormatting sqref="A73">
    <cfRule type="duplicateValues" dxfId="23" priority="51"/>
  </conditionalFormatting>
  <conditionalFormatting sqref="A74">
    <cfRule type="duplicateValues" dxfId="22" priority="33"/>
  </conditionalFormatting>
  <conditionalFormatting sqref="A75">
    <cfRule type="duplicateValues" dxfId="21" priority="32"/>
  </conditionalFormatting>
  <conditionalFormatting sqref="A76">
    <cfRule type="duplicateValues" dxfId="20" priority="31"/>
  </conditionalFormatting>
  <conditionalFormatting sqref="A77">
    <cfRule type="duplicateValues" dxfId="19" priority="30"/>
  </conditionalFormatting>
  <conditionalFormatting sqref="A78">
    <cfRule type="duplicateValues" dxfId="18" priority="29"/>
  </conditionalFormatting>
  <conditionalFormatting sqref="A79">
    <cfRule type="duplicateValues" dxfId="17" priority="28"/>
  </conditionalFormatting>
  <conditionalFormatting sqref="A80">
    <cfRule type="duplicateValues" dxfId="16" priority="27"/>
  </conditionalFormatting>
  <conditionalFormatting sqref="A81">
    <cfRule type="duplicateValues" dxfId="15" priority="25"/>
  </conditionalFormatting>
  <conditionalFormatting sqref="A82">
    <cfRule type="duplicateValues" dxfId="14" priority="24"/>
  </conditionalFormatting>
  <conditionalFormatting sqref="A83">
    <cfRule type="duplicateValues" dxfId="13" priority="23"/>
  </conditionalFormatting>
  <conditionalFormatting sqref="A84">
    <cfRule type="duplicateValues" dxfId="12" priority="22"/>
  </conditionalFormatting>
  <conditionalFormatting sqref="A85">
    <cfRule type="duplicateValues" dxfId="11" priority="21"/>
  </conditionalFormatting>
  <conditionalFormatting sqref="A86">
    <cfRule type="duplicateValues" dxfId="10" priority="20"/>
  </conditionalFormatting>
  <conditionalFormatting sqref="A87">
    <cfRule type="duplicateValues" dxfId="9" priority="19"/>
  </conditionalFormatting>
  <conditionalFormatting sqref="A88">
    <cfRule type="duplicateValues" dxfId="8" priority="18"/>
  </conditionalFormatting>
  <conditionalFormatting sqref="A89">
    <cfRule type="duplicateValues" dxfId="7" priority="17"/>
  </conditionalFormatting>
  <conditionalFormatting sqref="A90">
    <cfRule type="duplicateValues" dxfId="6" priority="16"/>
  </conditionalFormatting>
  <conditionalFormatting sqref="A91">
    <cfRule type="duplicateValues" dxfId="5" priority="15"/>
  </conditionalFormatting>
  <conditionalFormatting sqref="A92 A1:A2 A4:A8 A46 A61 A40 A95 A17:A22 A97:A1048576 A11:A15 A29:A33">
    <cfRule type="duplicateValues" dxfId="4" priority="81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1827</v>
      </c>
      <c r="B1" s="69" t="s">
        <v>1828</v>
      </c>
      <c r="C1" s="70" t="s">
        <v>1829</v>
      </c>
      <c r="D1" s="69" t="s">
        <v>1830</v>
      </c>
      <c r="E1" s="69" t="s">
        <v>1831</v>
      </c>
      <c r="F1" s="69" t="s">
        <v>1832</v>
      </c>
      <c r="H1" s="69" t="s">
        <v>1833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1834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1835</v>
      </c>
      <c r="B9" s="69" t="s">
        <v>1836</v>
      </c>
      <c r="C9" s="69" t="s">
        <v>1837</v>
      </c>
      <c r="D9" s="69" t="s">
        <v>1838</v>
      </c>
      <c r="E9" s="69" t="s">
        <v>1839</v>
      </c>
    </row>
    <row r="10" spans="1:8" x14ac:dyDescent="0.3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1840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1834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f5ab1930-d403-4c69-b2cd-8cc48f527d10"/>
    <ds:schemaRef ds:uri="http://schemas.microsoft.com/office/2006/documentManagement/types"/>
    <ds:schemaRef ds:uri="c06ce65c-ed18-47f4-a957-afd315448c9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cp:lastPrinted>2026-09-29T21:15:34Z</cp:lastPrinted>
  <dcterms:created xsi:type="dcterms:W3CDTF">2026-01-28T19:47:17Z</dcterms:created>
  <dcterms:modified xsi:type="dcterms:W3CDTF">2026-09-29T21:18:11Z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