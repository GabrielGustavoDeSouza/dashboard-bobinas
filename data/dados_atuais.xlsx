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073" documentId="1_{DDE4A242-D13A-46DE-8B65-653B9F6ECEB2}" xr6:coauthVersionLast="47" xr6:coauthVersionMax="47" xr10:uidLastSave="{436CA382-832B-42FD-9A32-DAEDA6753AC5}"/>
  <bookViews>
    <workbookView xWindow="-110" yWindow="-110" windowWidth="19420" windowHeight="10300" xr2:uid="{3E398004-7492-4AA0-94C2-EA9B761AAA49}"/>
  </bookViews>
  <sheets>
    <sheet name="Controle" sheetId="1" r:id="rId1"/>
    <sheet name="Formulas" sheetId="2" r:id="rId2"/>
  </sheets>
  <definedNames>
    <definedName name="_xlnm._FilterDatabase" localSheetId="1" hidden="1">Formulas!$A$9:$D$41</definedName>
    <definedName name="_xlnm._FilterDatabase" localSheetId="0" hidden="1">Controle!$A$2:$AL$710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<sst xmlns="http://schemas.openxmlformats.org/spreadsheetml/2006/main" count="7118" uniqueCount="1497">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</sst>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133836.72333333336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479111.14083333325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Normal="100" workbookViewId="0">
      <pane xSplit="1" ySplit="2" topLeftCell="AM534" activePane="bottomRight" state="frozen"/>
      <selection pane="bottomRight" activeCell="AN1" sqref="AN1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hidden="1" customWidth="1"/>
    <col min="21" max="21" width="16.42578125" hidden="1" customWidth="1"/>
    <col min="22" max="24" width="15.42578125" hidden="1" customWidth="1"/>
    <col min="25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4.140625" customWidth="1"/>
    <col min="37" max="37" width="16.42578125" bestFit="1" customWidth="1"/>
    <col min="38" max="38" width="14.85546875" hidden="1" customWidth="1"/>
    <col min="39" max="39" width="91.140625" customWidth="1"/>
    <col min="40" max="40" width="28.28515625" style="50" customWidth="1"/>
  </cols>
  <sheetData>
    <row r="1" spans="1:40" ht="151.35" customHeight="1"/>
    <row r="2" spans="1:40" ht="31.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ht="15" hidden="1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46.25" hidden="1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ht="15" hidden="1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ht="15" hidden="1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ht="15" hidden="1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ht="15" hidden="1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2.5" hidden="1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ht="15" hidden="1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ht="15" hidden="1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ht="15" hidden="1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2.5" hidden="1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33.75" hidden="1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ht="15" hidden="1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3.75" hidden="1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2.5" hidden="1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6.25" hidden="1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ht="15" hidden="1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ht="15" hidden="1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ht="15" hidden="1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ht="15" hidden="1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ht="15" hidden="1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ht="15" hidden="1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ht="15" hidden="1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3.75" hidden="1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ht="15" hidden="1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ht="15" hidden="1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ht="15" hidden="1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ht="15" hidden="1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ht="15" hidden="1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ht="15" hidden="1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ht="15" hidden="1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ht="15" hidden="1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ht="15" hidden="1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ht="15" hidden="1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ht="15" hidden="1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ht="15" hidden="1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8.75" hidden="1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ht="15" hidden="1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ht="15" hidden="1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ht="15" hidden="1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ht="15" hidden="1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ht="15" hidden="1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ht="15" hidden="1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ht="15" hidden="1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ht="15" hidden="1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ht="15" hidden="1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ht="15" hidden="1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ht="15" hidden="1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ht="15" hidden="1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ht="15" hidden="1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ht="15" hidden="1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ht="15" hidden="1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ht="15" hidden="1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ht="15" hidden="1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ht="15" hidden="1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ht="15" hidden="1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ht="15" hidden="1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2.5" hidden="1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ht="15" hidden="1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ht="15" hidden="1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ht="15" hidden="1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ht="15" hidden="1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ht="15" hidden="1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ht="15" hidden="1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ht="15" hidden="1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ht="15" hidden="1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ht="15" hidden="1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ht="15" hidden="1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ht="15" hidden="1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ht="15" hidden="1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ht="15" hidden="1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ht="15" hidden="1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ht="15" hidden="1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ht="15" hidden="1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ht="15" hidden="1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ht="15" hidden="1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ht="15" hidden="1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ht="15" hidden="1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ht="15" hidden="1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ht="15" hidden="1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ht="15" hidden="1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ht="15" hidden="1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ht="15" hidden="1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ht="15" hidden="1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ht="15" hidden="1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ht="15" hidden="1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ht="15" hidden="1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ht="15" hidden="1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ht="15" hidden="1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ht="15" hidden="1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ht="15" hidden="1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ht="15" hidden="1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ht="15" hidden="1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ht="15" hidden="1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ht="15" hidden="1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ht="15" hidden="1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ht="15" hidden="1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ht="15" hidden="1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ht="15" hidden="1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ht="15" hidden="1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ht="15" hidden="1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ht="15" hidden="1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ht="15" hidden="1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ht="15" hidden="1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ht="15" hidden="1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ht="15" hidden="1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ht="15" hidden="1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ht="15" hidden="1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ht="15" hidden="1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ht="15" hidden="1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ht="15" hidden="1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ht="15" hidden="1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ht="15" hidden="1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ht="15" hidden="1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ht="15" hidden="1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ht="15" hidden="1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ht="15" hidden="1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ht="15" hidden="1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ht="15" hidden="1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ht="15" hidden="1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ht="15" hidden="1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ht="15" hidden="1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ht="15" hidden="1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ht="15" hidden="1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ht="15" hidden="1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ht="15" hidden="1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ht="15" hidden="1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ht="15" hidden="1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ht="15" hidden="1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ht="15" hidden="1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ht="15" hidden="1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ht="15" hidden="1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ht="15" hidden="1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ht="15" hidden="1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ht="15" hidden="1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ht="15" hidden="1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ht="15" hidden="1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ht="15" hidden="1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ht="15" hidden="1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ht="15" hidden="1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ht="15" hidden="1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ht="15" hidden="1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ht="15" hidden="1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ht="15" hidden="1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ht="15" hidden="1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ht="15" hidden="1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ht="15" hidden="1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ht="15" hidden="1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ht="15" hidden="1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ht="15" hidden="1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ht="15" hidden="1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ht="15" hidden="1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ht="15" hidden="1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ht="15" hidden="1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ht="15" hidden="1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ht="15" hidden="1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ht="15" hidden="1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ht="15" hidden="1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ht="15" hidden="1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ht="15" hidden="1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ht="15" hidden="1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ht="15" hidden="1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ht="15" hidden="1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ht="15" hidden="1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ht="15" hidden="1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ht="15" hidden="1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ht="15" hidden="1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ht="15" hidden="1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ht="15" hidden="1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ht="15" hidden="1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ht="15" hidden="1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ht="15" hidden="1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ht="15" hidden="1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ht="15" hidden="1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ht="15" hidden="1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ht="15" hidden="1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ht="15" hidden="1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ht="15" hidden="1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ht="15" hidden="1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ht="15" hidden="1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ht="15" hidden="1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ht="15" hidden="1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ht="15" hidden="1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ht="15" hidden="1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ht="15" hidden="1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ht="15" hidden="1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ht="15" hidden="1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ht="15" hidden="1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ht="15" hidden="1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ht="15" hidden="1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ht="15" hidden="1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ht="15" hidden="1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ht="15" hidden="1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ht="15" hidden="1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ht="15" hidden="1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ht="15" hidden="1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ht="15" hidden="1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ht="15" hidden="1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ht="15" hidden="1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ht="15" hidden="1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ht="15" hidden="1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ht="15" hidden="1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ht="15" hidden="1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ht="15" hidden="1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ht="15" hidden="1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ht="15" hidden="1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ht="15" hidden="1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ht="15" hidden="1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ht="15" hidden="1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ht="15" hidden="1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ht="15" hidden="1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ht="15" hidden="1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ht="15" hidden="1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ht="15" hidden="1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ht="15" hidden="1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ht="15" hidden="1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ht="15" hidden="1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ht="15" hidden="1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ht="15" hidden="1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ht="15" hidden="1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ht="15" hidden="1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ht="15" hidden="1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ht="15" hidden="1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ht="15" hidden="1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ht="15" hidden="1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ht="15" hidden="1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ht="15" hidden="1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ht="15" hidden="1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ht="15" hidden="1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ht="15" hidden="1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ht="15" hidden="1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ht="15" hidden="1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ht="15" hidden="1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ht="15" hidden="1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ht="15" hidden="1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ht="15" hidden="1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ht="15" hidden="1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ht="15" hidden="1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ht="15" hidden="1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ht="15" hidden="1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ht="15" hidden="1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ht="15" hidden="1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ht="15" hidden="1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ht="15" hidden="1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ht="15" hidden="1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ht="15" hidden="1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ht="15" hidden="1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ht="15" hidden="1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ht="15" hidden="1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ht="15" hidden="1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ht="15" hidden="1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ht="15" hidden="1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ht="15" hidden="1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ht="15" hidden="1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ht="15" hidden="1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ht="15" hidden="1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ht="15" hidden="1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ht="15" hidden="1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ht="15" hidden="1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ht="15" hidden="1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ht="15" hidden="1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ht="15" hidden="1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ht="15" hidden="1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ht="15" hidden="1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ht="15" hidden="1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ht="15" hidden="1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ht="15" hidden="1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ht="15" hidden="1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ht="15" hidden="1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ht="15" hidden="1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ht="15" hidden="1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ht="15" hidden="1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ht="15" hidden="1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ht="15" hidden="1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ht="15" hidden="1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ht="15" hidden="1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25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25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25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ht="15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45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2.5" hidden="1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ht="15" hidden="1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ht="15" hidden="1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ht="15" hidden="1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2.5" hidden="1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ht="15" hidden="1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ht="15" hidden="1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t="15" hidden="1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ht="15" hidden="1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3.75" hidden="1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ht="15" hidden="1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t="15" hidden="1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ht="15" hidden="1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ht="15" hidden="1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t="15" hidden="1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2.5" hidden="1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ht="15" hidden="1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ht="15" hidden="1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ht="15" hidden="1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2.5" hidden="1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 ht="20.25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 ht="20.25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/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ht="15" hidden="1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ht="15" hidden="1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2.5" hidden="1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ht="15" hidden="1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t="15" hidden="1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ht="15" hidden="1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ht="15" hidden="1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ht="15" hidden="1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ht="15" hidden="1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2.5" hidden="1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ht="15" hidden="1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t="15" hidden="1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ht="15" hidden="1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ht="15" hidden="1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ht="15" hidden="1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ht="15" hidden="1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ht="15" hidden="1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ht="15" hidden="1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ht="15" hidden="1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ht="15" hidden="1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ht="15" hidden="1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ht="15" hidden="1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ht="15" hidden="1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ht="15" hidden="1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ht="15" hidden="1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ht="15" hidden="1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ht="15" hidden="1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ht="15" hidden="1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ht="15" hidden="1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ht="15" hidden="1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ht="15" hidden="1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ht="15" hidden="1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ht="15" hidden="1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ht="15" hidden="1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ht="15" hidden="1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ht="15" hidden="1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ht="15" hidden="1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ht="15" hidden="1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ht="15" hidden="1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ht="15" hidden="1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ht="15" hidden="1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ht="15" hidden="1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ht="15" hidden="1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ht="15" hidden="1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ht="15" hidden="1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ht="15" hidden="1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ht="15" hidden="1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ht="15" hidden="1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ht="15" hidden="1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ht="15" hidden="1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ht="15" hidden="1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ht="15" hidden="1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ht="15" hidden="1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ht="15" hidden="1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ht="15" hidden="1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ht="15" hidden="1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ht="15" hidden="1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ht="15" hidden="1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ht="15" hidden="1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ht="15" hidden="1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ht="15" hidden="1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ht="15" hidden="1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ht="15" hidden="1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t="15" hidden="1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ht="15" hidden="1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ht="15" hidden="1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ht="15" hidden="1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ht="15" hidden="1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ht="15" hidden="1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t="15" hidden="1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ht="15" hidden="1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t="15" hidden="1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t="15" hidden="1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t="15" hidden="1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t="15" hidden="1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t="15" hidden="1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t="15" hidden="1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t="15" hidden="1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t="15" hidden="1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t="15" hidden="1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t="15" hidden="1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t="15" hidden="1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t="15" hidden="1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t="15" hidden="1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t="15" hidden="1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t="15" hidden="1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t="15" hidden="1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t="15" hidden="1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t="15" hidden="1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t="15" hidden="1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t="15" hidden="1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t="15" hidden="1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t="15" hidden="1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t="15" hidden="1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t="15" hidden="1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t="15" hidden="1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t="15" hidden="1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t="15" hidden="1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t="15" hidden="1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t="15" hidden="1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t="15" hidden="1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t="15" hidden="1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t="15" hidden="1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t="15" hidden="1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t="15" hidden="1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t="15" hidden="1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t="15" hidden="1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t="15" hidden="1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t="15" hidden="1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t="15" hidden="1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t="15" hidden="1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t="15" hidden="1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t="15" hidden="1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t="15" hidden="1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t="15" hidden="1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t="15" hidden="1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t="15" hidden="1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t="15" hidden="1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t="15" hidden="1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t="15" hidden="1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t="15" hidden="1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t="15" hidden="1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t="15" hidden="1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t="15" hidden="1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t="15" hidden="1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t="15" hidden="1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t="15" hidden="1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t="15" hidden="1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t="15" hidden="1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t="15" hidden="1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t="15" hidden="1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t="15" hidden="1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t="15" hidden="1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t="15" hidden="1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t="15" hidden="1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t="15" hidden="1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t="15" hidden="1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t="15" hidden="1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t="15" hidden="1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t="15" hidden="1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t="15" hidden="1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t="15" hidden="1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t="15" hidden="1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t="15" hidden="1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t="15" hidden="1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t="15" hidden="1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t="15" hidden="1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t="15" hidden="1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t="15" hidden="1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t="15" hidden="1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t="15" hidden="1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t="15" hidden="1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t="15" hidden="1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t="15" hidden="1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t="15" hidden="1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t="15" hidden="1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t="15" hidden="1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t="15" hidden="1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t="15" hidden="1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t="15" hidden="1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t="15" hidden="1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t="15" hidden="1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t="15" hidden="1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t="15" hidden="1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t="15" hidden="1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t="15" hidden="1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t="15" hidden="1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t="15" hidden="1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t="15" hidden="1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t="15" hidden="1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t="15" hidden="1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t="15" hidden="1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t="15" hidden="1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t="15" hidden="1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t="15" hidden="1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t="15" hidden="1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t="15" hidden="1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t="15" hidden="1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t="15" hidden="1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t="15" hidden="1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t="15" hidden="1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t="15" hidden="1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t="15" hidden="1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t="15" hidden="1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t="15" hidden="1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t="15" hidden="1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t="15" hidden="1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t="15" hidden="1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t="15" hidden="1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t="15" hidden="1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t="15" hidden="1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 ht="15">
      <c r="AA716" s="73"/>
      <c r="AB716" s="73"/>
      <c r="AC716" s="73"/>
      <c r="AN716" s="94"/>
    </row>
    <row r="717" spans="1:40" ht="15">
      <c r="Z717" s="73"/>
      <c r="AA717" s="73"/>
      <c r="AB717" s="73"/>
      <c r="AC717" s="73"/>
      <c r="AN717" s="94"/>
    </row>
    <row r="718" spans="1:40">
      <c r="Z718" s="73"/>
      <c r="AA718" s="73"/>
      <c r="AB718" s="73"/>
    </row>
    <row r="719" spans="1:40">
      <c r="Z719" s="73"/>
    </row>
    <row r="720" spans="1:40">
      <c r="Z720" s="73"/>
      <c r="AA720" s="73"/>
      <c r="AB720" s="73"/>
    </row>
  </sheetData>
  <autoFilter ref="A2:AL710" xr:uid="{2AA437EE-405D-4A43-9EB9-23F1BEB36011}">
    <filterColumn colId="17">
      <filters>
        <filter val="Ferraz"/>
      </filters>
    </filterColumn>
    <sortState xmlns:xlrd2="http://schemas.microsoft.com/office/spreadsheetml/2017/richdata2" ref="A3:AL278">
      <sortCondition descending="1" ref="Y2:Y710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6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>
      <c r="A4" t="s">
        <v>151</v>
      </c>
      <c r="B4" s="50">
        <f>COUNTIF(Controle!$R$4:$R$711,A4)</f>
        <v>91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133836.72333333336</v>
      </c>
    </row>
    <row r="5" spans="1:6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>
      <c r="A6" s="53" t="s">
        <v>1491</v>
      </c>
      <c r="B6" s="54">
        <f>SUM(B2:B5)</f>
        <v>705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479111.14083333325</v>
      </c>
    </row>
    <row r="9" spans="1:6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AE495743-F761-4961-A762-7A3D120C6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Joao Carlos Nogueira Cardoso</cp:lastModifiedBy>
  <cp:revision/>
  <dcterms:created xsi:type="dcterms:W3CDTF">2026-01-28T19:47:17Z</dcterms:created>
  <dcterms:modified xsi:type="dcterms:W3CDTF">2026-05-15T11:59:55Z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