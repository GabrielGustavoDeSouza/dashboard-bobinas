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121" documentId="1_{DDE4A242-D13A-46DE-8B65-653B9F6ECEB2}" xr6:coauthVersionLast="47" xr6:coauthVersionMax="47" xr10:uidLastSave="{E2C8DB98-9027-4611-BF89-9C238FB9BC56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Controle!$A$2:$AN$710</definedName>
    <definedName name="_xlnm._FilterDatabase" localSheetId="1" hidden="1">Formulas!$A$9:$D$41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<sst xmlns="http://schemas.openxmlformats.org/spreadsheetml/2006/main" count="7139" uniqueCount="1504">
  <si>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</si>
  <si>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</si>
  <si>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</si>
  <si>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</si>
  <si>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</si>
  <si>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</si>
  <si>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</si>
  <si>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</si>
  <si>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</si>
  <si>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</si>
  <si>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</si>
  <si>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</si>
  <si>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</si>
  <si>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</si>
  <si>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</si>
  <si>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</si>
  <si>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</si>
  <si>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</si>
  <si>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</si>
  <si>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</si>
  <si>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</si>
  <si>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</si>
  <si>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</si>
  <si>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</si>
  <si>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</si>
  <si>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</si>
  <si>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</si>
  <si>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</si>
  <si>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</si>
  <si>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</si>
  <si>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</si>
  <si>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</si>
  <si>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</si>
  <si>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</si>
  <si>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</si>
  <si>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</si>
  <si>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</si>
  <si>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</si>
  <si>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</si>
  <si>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</si>
  <si>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</si>
  <si>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</si>
  <si>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</si>
  <si>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</si>
  <si>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</si>
  <si>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</si>
  <si>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</si>
  <si>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</si>
  <si>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</si>
  <si>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</si>
  <si>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</si>
  <si>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</si>
  <si>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</si>
  <si>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</si>
  <si>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</si>
  <si>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</si>
  <si>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</si>
  <si>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</si>
  <si>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</si>
  <si>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</si>
  <si>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</si>
  <si>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</si>
  <si>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</si>
  <si>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</si>
  <si>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</si>
  <si>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</si>
  <si>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</si>
  <si>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</si>
  <si>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</si>
  <si>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</si>
  <si>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</si>
  <si>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</si>
  <si>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</si>
  <si>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</si>
  <si>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</si>
  <si>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</si>
  <si>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</si>
  <si>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</si>
  <si>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</si>
  <si>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</si>
  <si>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</si>
  <si>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</si>
  <si>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</si>
  <si>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</si>
  <si>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</si>
  <si>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</si>
  <si>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</si>
  <si>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</si>
  <si>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</si>
  <si>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</si>
  <si>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</si>
  <si>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</si>
  <si>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</si>
  <si>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</si>
  <si>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</si>
  <si>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</si>
  <si>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</si>
  <si>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</si>
  <si>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</si>
  <si>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</si>
  <si>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</si>
  <si>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</si>
  <si>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</si>
  <si>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</si>
  <si>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</si>
  <si>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</si>
  <si>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</si>
  <si>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</si>
  <si>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</si>
  <si>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</si>
  <si>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</si>
  <si>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</si>
  <si>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</si>
  <si>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</si>
  <si>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</si>
  <si>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</si>
  <si>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</si>
  <si>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</si>
  <si>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</si>
  <si>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</si>
  <si>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</si>
  <si>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</si>
  <si>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</si>
  <si>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</si>
  <si>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</si>
  <si>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</si>
  <si>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</si>
  <si>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</si>
  <si>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</si>
  <si>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</si>
  <si>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</si>
  <si>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</si>
  <si>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</si>
  <si>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</si>
  <si>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</si>
  <si>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</si>
  <si>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</si>
  <si>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</si>
  <si>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</si>
  <si>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</si>
  <si>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</si>
  <si>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</si>
  <si>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</si>
  <si>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</si>
  <si>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</si>
  <si>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</si>
  <si>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</si>
  <si>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</si>
  <si>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</si>
  <si>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</si>
  <si>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</si>
  <si>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</si>
  <si>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</si>
  <si>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</si>
  <si>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</si>
  <si>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</si>
  <si>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</si>
  <si>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</si>
  <si>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</si>
  <si>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</si>
  <si>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</si>
  <si>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</si>
  <si>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</si>
  <si>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</si>
  <si>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</si>
  <si>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</si>
  <si>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</si>
  <si>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</si>
  <si>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</si>
  <si>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</si>
  <si>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</si>
  <si>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</si>
  <si>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</si>
  <si>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</si>
  <si>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</si>
  <si>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</si>
  <si>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</si>
  <si>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</si>
  <si>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</si>
  <si>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</si>
  <si>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</si>
  <si>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</si>
  <si>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</si>
  <si>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</si>
  <si>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</si>
  <si>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</si>
  <si>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</si>
  <si>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</si>
  <si>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</si>
  <si>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</si>
  <si>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</si>
  <si>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</si>
  <si>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</si>
  <si>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</si>
  <si>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</si>
  <si>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</si>
  <si>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</si>
  <si>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</si>
  <si>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</si>
  <si>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</si>
  <si>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</si>
  <si>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</si>
  <si>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</si>
  <si>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</si>
  <si>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</si>
  <si>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</si>
  <si>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</si>
  <si>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</si>
  <si>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</si>
  <si>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</si>
  <si>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</si>
  <si>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</si>
  <si>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</si>
  <si>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</si>
  <si>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</si>
  <si>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</si>
  <si>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</si>
  <si>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</si>
  <si>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</si>
  <si>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</si>
  <si>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</si>
  <si>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</si>
  <si>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</si>
  <si>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</si>
  <si>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</si>
  <si>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</si>
  <si>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</si>
  <si>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</si>
  <si>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</si>
  <si>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</si>
  <si>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</si>
  <si>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</si>
  <si>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</si>
  <si>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</si>
  <si>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</si>
  <si>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</si>
  <si>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</si>
  <si>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</si>
  <si>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</si>
  <si>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</si>
  <si>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</si>
  <si>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</si>
  <si>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</si>
  <si>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</si>
  <si>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</si>
  <si>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</si>
  <si>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</si>
  <si>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</si>
  <si>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</si>
  <si>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</si>
  <si>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</si>
  <si>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</si>
  <si>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</si>
  <si>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</si>
  <si>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</si>
  <si>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</si>
  <si>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</si>
  <si>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</si>
  <si>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</si>
  <si>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</si>
  <si>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</si>
  <si>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</si>
  <si>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</si>
  <si>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</si>
  <si>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</si>
  <si>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</si>
  <si>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</si>
  <si>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</si>
  <si>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</si>
  <si>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</si>
  <si>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</si>
  <si>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</si>
  <si>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</si>
  <si>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</si>
  <si>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</si>
  <si>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</si>
  <si>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</si>
  <si>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</si>
  <si>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</si>
  <si>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</si>
  <si>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</si>
  <si>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</si>
  <si>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</si>
  <si>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</si>
  <si>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</si>
  <si>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</si>
  <si>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</si>
  <si>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</si>
  <si>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</si>
  <si>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</si>
  <si>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</si>
  <si>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</si>
  <si>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</si>
  <si>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</si>
  <si>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</si>
  <si>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</si>
  <si>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</si>
  <si>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</si>
  <si>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</si>
  <si>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</si>
  <si>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</si>
  <si>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</si>
  <si>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</si>
  <si>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</si>
  <si>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</si>
  <si>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</si>
  <si>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</si>
  <si>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</si>
  <si>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</si>
  <si>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</si>
  <si>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</si>
  <si>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</si>
  <si>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</si>
  <si>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</si>
  <si>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</si>
  <si>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</si>
  <si>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</si>
  <si>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</si>
  <si>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</si>
  <si>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</si>
  <si>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</si>
  <si>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</si>
  <si>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</si>
  <si>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</si>
  <si>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</si>
  <si>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</si>
  <si>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</si>
  <si>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</si>
  <si>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</si>
  <si>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</si>
  <si>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</si>
  <si>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</si>
  <si>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</si>
  <si>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</si>
  <si>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</si>
  <si>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</si>
  <si>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</si>
  <si>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</si>
  <si>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</si>
  <si>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</si>
  <si>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</si>
  <si>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</si>
  <si>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</si>
  <si>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</si>
  <si>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</si>
  <si>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</si>
  <si>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</si>
  <si>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</si>
  <si>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</si>
  <si>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</si>
  <si>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</si>
  <si>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</si>
  <si>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</si>
  <si>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</si>
  <si>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</si>
  <si>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</si>
  <si>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</si>
  <si>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</si>
  <si>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</si>
  <si>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</si>
  <si>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</si>
  <si>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</si>
  <si>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</si>
  <si>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</si>
  <si>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</si>
  <si>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</si>
  <si>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</si>
  <si>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</si>
  <si>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</si>
  <si>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</si>
  <si>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</si>
  <si>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</si>
  <si>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</si>
  <si>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</si>
  <si>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</si>
  <si>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</si>
  <si>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</si>
  <si>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</si>
  <si>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</si>
  <si>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</si>
  <si>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</si>
  <si>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</si>
  <si>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</si>
  <si>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</si>
  <si>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</si>
  <si>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</si>
  <si>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</si>
  <si>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</si>
  <si>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</si>
  <si>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</si>
  <si>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</si>
  <si>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</si>
  <si>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</si>
  <si>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</si>
  <si>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</si>
  <si>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</si>
  <si>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</si>
  <si>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</si>
  <si>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</si>
  <si>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</si>
  <si>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</si>
  <si>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</si>
  <si>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</si>
  <si>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</si>
  <si>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</si>
  <si>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</si>
  <si>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</si>
  <si>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</si>
  <si>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</si>
  <si>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</si>
  <si>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</si>
  <si>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</si>
  <si>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</si>
  <si>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</si>
  <si>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</si>
  <si>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</si>
  <si>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</si>
  <si>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</si>
  <si>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</si>
  <si>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</si>
  <si>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</si>
  <si>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</si>
  <si>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</si>
  <si>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</si>
  <si>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</si>
  <si>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</si>
  <si>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</si>
  <si>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</si>
  <si>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</si>
  <si>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</si>
  <si>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</si>
  <si>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</si>
  <si>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</si>
  <si>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</si>
  <si>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</si>
  <si>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</si>
  <si>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</si>
  <si>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</si>
  <si>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</si>
  <si>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</si>
  <si>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</si>
  <si>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</si>
  <si>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</si>
  <si>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</si>
  <si>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</si>
  <si>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</si>
  <si>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</si>
  <si>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</si>
  <si>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</si>
  <si>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</si>
  <si>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</si>
  <si>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</si>
  <si>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</si>
  <si>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</si>
  <si>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</si>
  <si>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</si>
  <si>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</si>
  <si>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</si>
  <si>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</si>
  <si>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</si>
  <si>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</si>
  <si>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</si>
  <si>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</si>
  <si>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</si>
  <si>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</si>
  <si>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</si>
  <si>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</si>
  <si>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</si>
  <si>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</si>
  <si>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</si>
  <si>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</si>
  <si>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</si>
  <si>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</si>
  <si>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</si>
  <si>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</si>
  <si>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</si>
  <si>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</si>
  <si>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</si>
  <si>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</si>
  <si>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</si>
  <si>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</si>
  <si>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</si>
  <si>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</si>
  <si>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</si>
  <si>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</si>
  <si>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</si>
  <si>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</si>
  <si>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</si>
  <si>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</si>
  <si>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</si>
  <si>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</si>
  <si>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</si>
  <si>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</si>
  <si>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</si>
  <si>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</si>
  <si>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</si>
  <si>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</si>
  <si>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</si>
  <si>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</si>
  <si>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</si>
  <si>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</si>
  <si>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</si>
  <si>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</si>
  <si>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</si>
  <si>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</si>
  <si>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</si>
  <si>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</si>
  <si>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</si>
  <si>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</si>
  <si>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</si>
  <si>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</si>
  <si>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</si>
  <si>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</si>
  <si>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</si>
  <si>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</si>
  <si>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</si>
  <si>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</si>
  <si>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</si>
  <si>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</si>
  <si>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</si>
  <si>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</si>
  <si>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</si>
  <si>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</si>
  <si>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</si>
  <si>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</si>
  <si>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</si>
  <si>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</si>
  <si>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</si>
  <si>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</si>
  <si>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</si>
  <si>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</si>
  <si>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</si>
  <si>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</si>
  <si>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</si>
  <si>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</si>
  <si>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</si>
  <si>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</si>
  <si>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</si>
  <si>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</si>
  <si>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</si>
  <si>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</si>
  <si>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</si>
  <si>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</si>
  <si>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</si>
  <si>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</si>
  <si>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</si>
  <si>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</si>
  <si>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</si>
  <si>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</si>
  <si>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</si>
  <si>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</si>
  <si>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</si>
  <si>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</si>
  <si>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</si>
  <si>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</si>
  <si>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</si>
  <si>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</si>
  <si>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</si>
  <si>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</si>
  <si>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</si>
  <si>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</si>
  <si>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</si>
  <si>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</si>
  <si>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</si>
  <si>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</si>
  <si>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</si>
  <si>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</si>
  <si>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</si>
  <si>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</si>
  <si>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</si>
  <si>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</si>
  <si>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</si>
  <si>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</si>
  <si>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</si>
  <si>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</si>
  <si>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</si>
  <si>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</si>
  <si>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</si>
  <si>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</si>
  <si>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</si>
  <si>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</si>
  <si>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</si>
  <si>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</si>
  <si>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</si>
  <si>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</si>
  <si>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</si>
  <si>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</si>
  <si>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</si>
  <si>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</si>
  <si>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</si>
  <si>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</si>
  <si>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</si>
  <si>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</si>
  <si>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</si>
  <si>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</si>
  <si>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</si>
  <si>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</si>
  <si>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</si>
  <si>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</si>
  <si>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</si>
  <si>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</si>
  <si>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</si>
  <si>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</si>
  <si>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</si>
  <si>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</si>
  <si>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</si>
  <si>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</si>
  <si>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</si>
  <si>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</si>
  <si>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</si>
  <si>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</si>
  <si>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</si>
  <si>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</si>
  <si>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</si>
  <si>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</si>
  <si>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</si>
  <si>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</si>
  <si>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</si>
  <si>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</si>
  <si>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</si>
  <si>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</si>
  <si>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</si>
  <si>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</si>
  <si>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</si>
  <si>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</si>
  <si>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</si>
  <si>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</si>
  <si>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</si>
  <si>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</si>
  <si>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</si>
  <si>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</si>
  <si>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</si>
  <si>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</si>
  <si>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</si>
  <si>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</si>
  <si>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</si>
  <si>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</si>
  <si>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</si>
  <si>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</si>
  <si>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</si>
  <si>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</si>
  <si>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</si>
  <si>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</si>
  <si>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</si>
  <si>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</si>
  <si>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</si>
  <si>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</si>
  <si>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</si>
  <si>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</si>
  <si>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</si>
  <si>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</si>
  <si>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</si>
  <si>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</si>
  <si>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</si>
  <si>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</si>
  <si>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</si>
  <si>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</si>
  <si>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</si>
  <si>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</si>
  <si>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</si>
  <si>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</si>
  <si>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</si>
  <si>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</si>
  <si>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</si>
  <si>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</si>
  <si>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</si>
  <si>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</si>
  <si>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</si>
  <si>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</si>
  <si>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</si>
  <si>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</si>
  <si>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</si>
  <si>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</si>
  <si>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</si>
  <si>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</si>
  <si>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</si>
  <si>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</si>
  <si>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</si>
  <si>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</si>
  <si>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</si>
  <si>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</si>
  <si>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</si>
  <si>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</si>
  <si>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</si>
  <si>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</si>
  <si>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</si>
  <si>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</si>
  <si>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</si>
  <si>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</si>
  <si>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</si>
  <si>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</si>
  <si>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</si>
  <si>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</si>
  <si>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</si>
  <si>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</si>
  <si>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</si>
  <si>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</si>
  <si>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</si>
  <si>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</si>
  <si>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</si>
  <si>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</si>
  <si>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</si>
  <si>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</si>
  <si>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</si>
  <si>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</si>
  <si>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</si>
  <si>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</si>
  <si>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</si>
  <si>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</si>
  <si>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</si>
  <si>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</si>
  <si>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</si>
  <si>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</si>
  <si>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</si>
  <si>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</si>
  <si>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</si>
  <si>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</si>
  <si>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</si>
  <si>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</si>
  <si>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</si>
  <si>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</si>
  <si>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</si>
  <si>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</si>
  <si>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</si>
  <si>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</si>
  <si>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</si>
  <si>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</si>
  <si>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</si>
  <si>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</si>
  <si>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</si>
  <si>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</si>
  <si>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</si>
  <si>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</si>
  <si>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</si>
  <si>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</si>
  <si>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</si>
  <si>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</si>
  <si>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</si>
  <si>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</si>
  <si>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</si>
  <si>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</si>
  <si>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</si>
  <si>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</si>
  <si>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</si>
  <si>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</si>
  <si>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</si>
  <si>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</si>
  <si>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</si>
  <si>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</si>
  <si>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</si>
  <si>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</si>
  <si>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</si>
  <si>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</si>
  <si>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</si>
  <si>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</si>
  <si>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</si>
  <si>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</si>
  <si>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</si>
  <si>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</si>
  <si>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</si>
  <si>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</si>
  <si>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</si>
  <si>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</si>
  <si>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</si>
  <si>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</si>
  <si>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</si>
  <si>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</si>
  <si>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</si>
  <si>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</si>
  <si>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</si>
  <si>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</si>
  <si>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</si>
  <si>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</si>
  <si>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</si>
  <si>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</si>
  <si>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</si>
  <si>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</si>
  <si>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</si>
  <si>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</si>
  <si>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</si>
  <si>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</si>
  <si>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</si>
  <si>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</si>
  <si>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</si>
  <si>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</si>
  <si>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</si>
  <si>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</si>
  <si>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</si>
  <si>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</si>
  <si>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</si>
  <si>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</si>
  <si>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</si>
  <si>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</si>
  <si>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</si>
  <si>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</si>
  <si>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</si>
  <si>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</si>
  <si>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</si>
  <si>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</si>
  <si>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</si>
  <si>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</si>
  <si>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</si>
  <si>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</si>
  <si>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</si>
  <si>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</si>
  <si>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</si>
  <si>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</si>
  <si>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</si>
  <si>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</si>
  <si>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</si>
  <si>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</si>
  <si>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</si>
  <si>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</si>
  <si>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</si>
  <si>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</si>
  <si>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</si>
  <si>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</si>
  <si>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</si>
  <si>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</si>
  <si>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</si>
  <si>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</si>
  <si>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</si>
  <si>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</si>
  <si>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</si>
  <si>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</si>
  <si>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</si>
  <si>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</si>
  <si>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</si>
  <si>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</si>
  <si>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</si>
  <si>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</si>
  <si>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</si>
  <si>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</si>
  <si>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</si>
  <si>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</si>
  <si>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</si>
  <si>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</si>
  <si>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</si>
  <si>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</si>
  <si>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</si>
  <si>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</si>
  <si>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</si>
  <si>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</si>
  <si>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</si>
  <si>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</si>
  <si>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</si>
  <si>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</si>
  <si>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</si>
  <si>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</si>
  <si>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</si>
  <si>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</si>
  <si>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</si>
  <si>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</si>
  <si>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</si>
  <si>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</si>
  <si>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</si>
  <si>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</si>
  <si>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</si>
  <si>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</si>
  <si>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</si>
  <si>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</si>
  <si>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</si>
  <si>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</si>
  <si>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</si>
  <si>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</si>
  <si>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</si>
  <si>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</si>
  <si>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</si>
  <si>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</si>
  <si>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</si>
  <si>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</si>
  <si>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</si>
  <si>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</si>
  <si>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</si>
  <si>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</si>
  <si>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</si>
  <si>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</si>
  <si>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</si>
  <si>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</si>
  <si>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</si>
  <si>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</si>
  <si>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</si>
  <si>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</si>
  <si>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</si>
  <si>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</si>
  <si>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</si>
  <si>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</si>
  <si>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</si>
  <si>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</si>
  <si>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</si>
  <si>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</si>
  <si>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</si>
  <si>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</si>
  <si>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</si>
  <si>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</si>
  <si>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</si>
  <si>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</si>
  <si>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</si>
  <si>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</si>
  <si>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</si>
  <si>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</si>
  <si>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</si>
  <si>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</si>
  <si>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</si>
  <si>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</si>
  <si>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</si>
  <si>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</si>
  <si>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</si>
  <si>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</si>
  <si>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</si>
  <si>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</si>
  <si>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</si>
  <si>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</si>
  <si>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</si>
  <si>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</si>
  <si>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</si>
  <si>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</si>
  <si>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</si>
  <si>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</si>
  <si>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</si>
  <si>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</si>
  <si>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</si>
  <si>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</si>
  <si>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</si>
  <si>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</si>
  <si>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</si>
  <si>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</si>
  <si>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</si>
  <si>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</si>
  <si>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</si>
  <si>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</si>
  <si>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</si>
  <si>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</si>
  <si>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</si>
  <si>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</si>
  <si>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</si>
  <si>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</si>
  <si>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</si>
  <si>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</si>
  <si>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</si>
  <si>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</si>
  <si>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</si>
  <si>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</si>
  <si>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</si>
  <si>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</si>
  <si>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</si>
  <si>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</si>
  <si>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</si>
  <si>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</si>
  <si>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</si>
  <si>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</si>
  <si>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</si>
  <si>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</si>
  <si>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</si>
  <si>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</si>
  <si>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</si>
  <si>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</si>
  <si>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</si>
  <si>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</si>
  <si>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</si>
  <si>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</si>
  <si>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</si>
  <si>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</si>
  <si>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</si>
  <si>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</si>
  <si>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</si>
  <si>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</si>
  <si>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</si>
  <si>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</si>
  <si>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</si>
  <si>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</si>
  <si>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</si>
  <si>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</si>
  <si>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</si>
  <si>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</si>
  <si>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</si>
  <si>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</si>
  <si>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</si>
  <si>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</si>
  <si>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</si>
  <si>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</si>
  <si>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</si>
  <si>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</si>
  <si>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</si>
  <si>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</si>
  <si>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</si>
  <si>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</si>
  <si>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</si>
  <si>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</si>
  <si>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</si>
  <si>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</si>
  <si>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</si>
  <si>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</si>
  <si>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</si>
  <si>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</si>
  <si>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</si>
  <si>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</si>
  <si>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</si>
  <si>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</si>
  <si>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</si>
  <si>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</si>
  <si>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</si>
  <si>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</si>
  <si>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</si>
  <si>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</si>
  <si>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</si>
  <si>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</si>
  <si>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</si>
  <si>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</si>
  <si>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</si>
  <si>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</si>
  <si>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</si>
  <si>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</si>
  <si>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</si>
  <si>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</si>
  <si>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</si>
  <si>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</si>
  <si>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</si>
  <si>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</si>
  <si>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</si>
  <si>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</si>
  <si>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</si>
  <si>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</si>
  <si>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</si>
  <si>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</si>
  <si>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</si>
  <si>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</si>
  <si>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</si>
  <si>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</si>
  <si>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</si>
  <si>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</si>
  <si>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</si>
  <si>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</si>
  <si>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</si>
  <si>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</si>
  <si>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</si>
  <si>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</si>
  <si>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</si>
  <si>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</si>
  <si>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</si>
  <si>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</si>
  <si>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</si>
  <si>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</si>
  <si>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</si>
  <si>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</si>
  <si>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</si>
  <si>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</si>
  <si>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</si>
  <si>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</si>
  <si>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</si>
  <si>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</si>
  <si>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</si>
  <si>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</si>
  <si>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</si>
  <si>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</si>
  <si>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</si>
  <si>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</si>
  <si>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</si>
  <si>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</si>
  <si>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</si>
  <si>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</si>
  <si>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</si>
  <si>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</si>
  <si>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</si>
  <si>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</si>
  <si>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</si>
  <si>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</si>
  <si>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</si>
  <si>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</si>
  <si>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</si>
  <si>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</si>
  <si>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</si>
  <si>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</si>
  <si>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</si>
  <si>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</si>
  <si>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</si>
  <si>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</si>
  <si>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</si>
  <si>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</si>
  <si>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</si>
  <si>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</si>
  <si>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</si>
  <si>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</si>
  <si>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</si>
  <si>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</si>
  <si>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</si>
  <si>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</si>
  <si>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</si>
  <si>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</si>
  <si>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</si>
  <si>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</si>
  <si>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</si>
  <si>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</si>
  <si>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</si>
  <si>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</si>
  <si>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</si>
  <si>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</si>
  <si>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</si>
  <si>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</si>
  <si>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</si>
  <si>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</si>
  <si>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</si>
  <si>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</si>
  <si>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</si>
  <si>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</si>
  <si>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</si>
  <si>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</si>
  <si>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</si>
  <si>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</si>
  <si>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</si>
  <si>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</si>
  <si>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</si>
  <si>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</si>
  <si>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</si>
  <si>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</si>
  <si>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</si>
  <si>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</si>
  <si>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</si>
  <si>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</si>
  <si>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</si>
  <si>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</si>
  <si>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</si>
  <si>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</si>
  <si>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</si>
  <si>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</si>
  <si>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</si>
  <si>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</si>
  <si>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</si>
  <si>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</si>
  <si>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</si>
  <si>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</si>
  <si>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</si>
  <si>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</si>
  <si>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</si>
  <si>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</si>
  <si>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</si>
  <si>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</si>
  <si>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</si>
  <si>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</si>
  <si>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</si>
  <si>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</si>
  <si>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</si>
  <si>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</si>
  <si>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</si>
  <si>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</si>
  <si>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</si>
  <si>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</si>
  <si>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</si>
  <si>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</si>
  <si>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</si>
  <si>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</si>
  <si>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</si>
  <si>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</si>
  <si>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</si>
  <si>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</si>
  <si>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</si>
  <si>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</si>
  <si>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</si>
  <si>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</si>
  <si>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</si>
  <si>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</si>
  <si>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</si>
  <si>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</si>
  <si>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</si>
  <si>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</si>
  <si>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</si>
  <si>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</si>
  <si>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</si>
  <si>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</si>
  <si>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</si>
  <si>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</si>
  <si>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</si>
  <si>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</si>
  <si>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</si>
  <si>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</si>
  <si>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</si>
  <si>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</si>
  <si>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</si>
  <si>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</si>
  <si>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</si>
  <si>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</si>
  <si>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</si>
  <si>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</si>
  <si>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</si>
  <si>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</si>
  <si>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</si>
  <si>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</si>
  <si>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</si>
  <si>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</si>
  <si>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</si>
  <si>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</si>
  <si>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</si>
  <si>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</si>
  <si>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</si>
  <si>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</si>
  <si>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</si>
  <si>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</si>
  <si>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</si>
  <si>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</si>
  <si>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</si>
  <si>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</si>
  <si>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</si>
  <si>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</si>
  <si>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</si>
  <si>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</si>
  <si>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</si>
  <si>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</si>
  <si>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</si>
  <si>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</si>
  <si>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</si>
  <si>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</si>
  <si>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</si>
  <si>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</si>
  <si>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</si>
  <si>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</si>
  <si>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</si>
  <si>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</si>
  <si>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</si>
  <si>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</si>
  <si>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</si>
  <si>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</si>
  <si>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</si>
  <si>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</si>
  <si>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</si>
  <si>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</si>
  <si>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</si>
  <si>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</si>
  <si>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</si>
  <si>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</si>
  <si>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</si>
  <si>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</si>
  <si>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</si>
  <si>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</si>
  <si>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</si>
  <si>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</si>
  <si>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</si>
  <si>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</si>
  <si>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</si>
  <si>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</si>
  <si>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</si>
  <si>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</si>
  <si>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</si>
  <si>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</si>
  <si>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</si>
  <si>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</si>
  <si>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</si>
  <si>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</si>
  <si>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</si>
  <si>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</si>
  <si>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</si>
  <si>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</si>
  <si>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</si>
  <si>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</si>
  <si>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</si>
  <si>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</si>
  <si>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</si>
  <si>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</si>
  <si>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</si>
  <si>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</si>
  <si>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</si>
  <si>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</si>
  <si>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</si>
  <si>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</si>
  <si>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</si>
  <si>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</si>
  <si>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</si>
  <si>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</si>
  <si>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</si>
  <si>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</si>
  <si>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</si>
  <si>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</si>
  <si>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</si>
  <si>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</si>
  <si>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</si>
  <si>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</si>
  <si>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</si>
  <si>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</si>
  <si>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</si>
  <si>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</si>
  <si>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</si>
  <si>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</si>
  <si>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</si>
  <si>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</si>
  <si>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</si>
  <si>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</si>
  <si>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</si>
  <si>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</si>
  <si>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</si>
  <si>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</si>
  <si>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</si>
  <si>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</si>
  <si>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</si>
  <si>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</si>
  <si>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</si>
  <si>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</si>
  <si>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</si>
  <si>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</si>
  <si>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</si>
  <si>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</si>
  <si>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</si>
  <si>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</si>
  <si>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</si>
  <si>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</si>
  <si>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</si>
  <si>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</si>
  <si>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</si>
  <si>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</si>
  <si>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</si>
  <si>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</si>
  <si>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</si>
  <si>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</si>
  <si>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</si>
  <si>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</si>
  <si>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</si>
  <si>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</si>
  <si>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</si>
  <si>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</si>
  <si>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</si>
  <si>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</si>
  <si>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</si>
  <si>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</si>
  <si>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</si>
  <si>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</si>
  <si>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</si>
  <si>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</si>
  <si>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</si>
  <si>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</si>
  <si>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</si>
  <si>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</si>
  <si>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</si>
  <si>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</si>
  <si>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</si>
  <si>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</si>
  <si>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</si>
  <si>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</si>
  <si>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</si>
  <si>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</si>
  <si>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</si>
  <si>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</si>
  <si>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</si>
  <si>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</si>
  <si>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</si>
  <si>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</si>
  <si>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</si>
  <si>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</si>
  <si>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</si>
  <si>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</si>
  <si>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</si>
  <si>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</si>
  <si>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</si>
  <si>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</si>
  <si>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</si>
  <si>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</si>
  <si>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</si>
  <si>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</si>
  <si>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</si>
  <si>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</si>
  <si>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</si>
  <si>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</si>
  <si>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</si>
  <si>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</si>
  <si>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</si>
  <si>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</si>
  <si>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</si>
  <si>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</si>
  <si>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</si>
  <si>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</si>
  <si>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</si>
  <si>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</si>
  <si>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</si>
  <si>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</si>
  <si>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</si>
  <si>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</si>
  <si>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</si>
  <si>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</si>
  <si>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</si>
  <si>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</si>
  <si>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</si>
  <si>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</si>
  <si>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</si>
  <si>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</si>
  <si>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</si>
  <si>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</si>
  <si>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</si>
  <si>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</si>
  <si>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</si>
  <si>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</si>
  <si>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</si>
  <si>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</si>
  <si>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</si>
  <si>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</si>
  <si>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</si>
  <si>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</si>
  <si>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</si>
  <si>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</si>
  <si>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</si>
  <si>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</si>
  <si>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</si>
  <si>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</si>
  <si>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</si>
  <si>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</si>
  <si>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</si>
  <si>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</si>
  <si>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</si>
  <si>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</si>
  <si>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</si>
  <si>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</si>
  <si>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</si>
  <si>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</si>
  <si>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</si>
  <si>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</si>
  <si>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</si>
  <si>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</si>
  <si>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</si>
  <si>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</si>
  <si>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</si>
  <si>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</si>
  <si>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</si>
  <si>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</si>
  <si>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</si>
  <si>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</si>
  <si>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</si>
  <si>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</si>
  <si>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</si>
  <si>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</si>
  <si>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</si>
  <si>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</si>
  <si>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</si>
  <si>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</si>
  <si>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</si>
  <si>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</si>
  <si>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</si>
  <si>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</si>
  <si>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</si>
  <si>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</si>
  <si>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</si>
  <si>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</si>
  <si>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</si>
  <si>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</si>
  <si>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</si>
  <si>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</si>
  <si>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</si>
  <si>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</si>
  <si>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</si>
  <si>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</si>
  <si>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</si>
  <si>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</si>
  <si>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</si>
  <si>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</si>
  <si>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</si>
  <si>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</si>
  <si>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</si>
  <si>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</si>
  <si>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</si>
  <si>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</si>
  <si>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</si>
  <si>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</si>
  <si>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</si>
  <si>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</si>
  <si>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</si>
  <si>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</si>
  <si>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</si>
  <si>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</si>
  <si>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</si>
  <si>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</si>
  <si>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</si>
  <si>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</si>
  <si>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</si>
  <si>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</si>
  <si>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</si>
  <si>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</si>
  <si>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</si>
  <si>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</si>
  <si>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</si>
  <si>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</si>
  <si>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</si>
  <si>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</si>
  <si>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</si>
  <si>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</si>
  <si>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</si>
  <si>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</si>
  <si>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</si>
  <si>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</si>
  <si>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</si>
  <si>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</si>
  <si>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</si>
  <si>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</si>
  <si>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</si>
  <si>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</si>
  <si>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</si>
  <si>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</si>
  <si>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</si>
  <si>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</si>
  <si>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</si>
  <si>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</si>
  <si>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</si>
  <si>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</si>
  <si>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900 para 880 (10mm/peça). Aguardando validação da controladoria.</t>
  </si>
  <si>
    <t>Processo terceirizado.</t>
  </si>
  <si>
    <t>DA000503Z</t>
  </si>
  <si>
    <t>Reduzir 20mm no passo do blank, de 240 para 220 (10mm/peça). Aguardando validação da controladoria.</t>
  </si>
  <si>
    <t>Material em análise (Thiago Cardoso). Aguardando produção do produto para acompanhamento.</t>
  </si>
  <si>
    <t>Material em análise (Edson Lupis). Aguardando produção do produto para acompanhamento.</t>
  </si>
  <si>
    <t>Material em análise (Izaias Claro). Possibilidade na redução da largura da bobina / chapa.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</si>
</sst>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0.69079740726203986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0.50880756061198085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481711.14083333325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710.88959879999993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Normal="100" workbookViewId="0">
      <pane xSplit="1" ySplit="2" topLeftCell="B11" activePane="bottomRight" state="frozen"/>
      <selection pane="topRight" activeCell="B1" sqref="B1"/>
      <selection pane="bottomLeft" activeCell="A3" sqref="A3"/>
      <selection pane="bottomRight" activeCell="M18" sqref="M18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3320312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x14ac:dyDescent="0.3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x14ac:dyDescent="0.3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x14ac:dyDescent="0.3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x14ac:dyDescent="0.3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x14ac:dyDescent="0.3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 t="s">
        <v>1498</v>
      </c>
      <c r="AN8" s="83"/>
    </row>
    <row r="9" spans="1:40" s="26" customFormat="1" ht="20.399999999999999" x14ac:dyDescent="0.3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x14ac:dyDescent="0.3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x14ac:dyDescent="0.3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x14ac:dyDescent="0.3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50</v>
      </c>
      <c r="AA12" s="10" t="s">
        <v>50</v>
      </c>
      <c r="AB12" s="10" t="s">
        <v>50</v>
      </c>
      <c r="AC12" s="10" t="s">
        <v>50</v>
      </c>
      <c r="AD12" s="10" t="s">
        <v>50</v>
      </c>
      <c r="AE12" s="10" t="s">
        <v>50</v>
      </c>
      <c r="AF12" s="10" t="s">
        <v>50</v>
      </c>
      <c r="AG12" s="38">
        <f t="shared" si="1"/>
        <v>1</v>
      </c>
      <c r="AH12" s="51">
        <f t="shared" si="2"/>
        <v>32.190310400000001</v>
      </c>
      <c r="AI12" s="64">
        <v>2</v>
      </c>
      <c r="AJ12" s="87" t="s">
        <v>110</v>
      </c>
      <c r="AK12" s="95">
        <v>0</v>
      </c>
      <c r="AL12" s="1"/>
      <c r="AM12" s="1" t="s">
        <v>1497</v>
      </c>
      <c r="AN12" s="83">
        <v>46204</v>
      </c>
    </row>
    <row r="13" spans="1:40" s="26" customFormat="1" ht="20.399999999999999" x14ac:dyDescent="0.3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 t="s">
        <v>1502</v>
      </c>
      <c r="AN13" s="83"/>
    </row>
    <row r="14" spans="1:40" s="26" customFormat="1" ht="20.399999999999999" x14ac:dyDescent="0.3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 t="s">
        <v>50</v>
      </c>
      <c r="AE14" s="10"/>
      <c r="AF14" s="10" t="s">
        <v>50</v>
      </c>
      <c r="AG14" s="38">
        <f t="shared" si="1"/>
        <v>0.8571428571428571</v>
      </c>
      <c r="AH14" s="51" t="str">
        <f t="shared" si="2"/>
        <v xml:space="preserve"> </v>
      </c>
      <c r="AI14" s="64">
        <v>6</v>
      </c>
      <c r="AJ14" s="22" t="s">
        <v>117</v>
      </c>
      <c r="AK14" s="95">
        <v>0</v>
      </c>
      <c r="AL14" s="1"/>
      <c r="AM14" s="1" t="s">
        <v>1500</v>
      </c>
      <c r="AN14" s="83">
        <v>46204</v>
      </c>
    </row>
    <row r="15" spans="1:40" s="26" customFormat="1" x14ac:dyDescent="0.3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50</v>
      </c>
      <c r="AA15" s="10"/>
      <c r="AB15" s="10" t="s">
        <v>50</v>
      </c>
      <c r="AC15" s="10" t="s">
        <v>50</v>
      </c>
      <c r="AD15" s="10" t="s">
        <v>50</v>
      </c>
      <c r="AE15" s="10"/>
      <c r="AF15" s="10" t="s">
        <v>50</v>
      </c>
      <c r="AG15" s="38">
        <f t="shared" si="1"/>
        <v>0.7142857142857143</v>
      </c>
      <c r="AH15" s="51" t="str">
        <f t="shared" si="2"/>
        <v xml:space="preserve"> </v>
      </c>
      <c r="AI15" s="64">
        <v>1</v>
      </c>
      <c r="AJ15" s="86" t="s">
        <v>1499</v>
      </c>
      <c r="AK15" s="65">
        <v>0</v>
      </c>
      <c r="AL15" s="1"/>
      <c r="AM15" s="1" t="s">
        <v>1503</v>
      </c>
      <c r="AN15" s="83"/>
    </row>
    <row r="16" spans="1:40" s="26" customFormat="1" ht="30.6" x14ac:dyDescent="0.3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399999999999999" x14ac:dyDescent="0.3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 t="s">
        <v>1501</v>
      </c>
      <c r="AN17" s="83"/>
    </row>
    <row r="18" spans="1:40" s="26" customFormat="1" ht="51" x14ac:dyDescent="0.3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x14ac:dyDescent="0.3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x14ac:dyDescent="0.3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x14ac:dyDescent="0.3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x14ac:dyDescent="0.3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x14ac:dyDescent="0.3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x14ac:dyDescent="0.3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x14ac:dyDescent="0.3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x14ac:dyDescent="0.3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x14ac:dyDescent="0.3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x14ac:dyDescent="0.3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x14ac:dyDescent="0.3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x14ac:dyDescent="0.3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x14ac:dyDescent="0.3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x14ac:dyDescent="0.3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x14ac:dyDescent="0.3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x14ac:dyDescent="0.3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x14ac:dyDescent="0.3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x14ac:dyDescent="0.3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x14ac:dyDescent="0.3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x14ac:dyDescent="0.3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x14ac:dyDescent="0.3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x14ac:dyDescent="0.3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x14ac:dyDescent="0.3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x14ac:dyDescent="0.3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x14ac:dyDescent="0.3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x14ac:dyDescent="0.3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x14ac:dyDescent="0.3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x14ac:dyDescent="0.3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x14ac:dyDescent="0.3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x14ac:dyDescent="0.3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x14ac:dyDescent="0.3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x14ac:dyDescent="0.3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x14ac:dyDescent="0.3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x14ac:dyDescent="0.3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x14ac:dyDescent="0.3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x14ac:dyDescent="0.3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x14ac:dyDescent="0.3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x14ac:dyDescent="0.3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x14ac:dyDescent="0.3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x14ac:dyDescent="0.3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x14ac:dyDescent="0.3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x14ac:dyDescent="0.3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x14ac:dyDescent="0.3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x14ac:dyDescent="0.3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x14ac:dyDescent="0.3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x14ac:dyDescent="0.3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x14ac:dyDescent="0.3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x14ac:dyDescent="0.3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x14ac:dyDescent="0.3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x14ac:dyDescent="0.3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x14ac:dyDescent="0.3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x14ac:dyDescent="0.3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x14ac:dyDescent="0.3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x14ac:dyDescent="0.3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x14ac:dyDescent="0.3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x14ac:dyDescent="0.3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x14ac:dyDescent="0.3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x14ac:dyDescent="0.3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x14ac:dyDescent="0.3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x14ac:dyDescent="0.3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x14ac:dyDescent="0.3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x14ac:dyDescent="0.3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x14ac:dyDescent="0.3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x14ac:dyDescent="0.3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x14ac:dyDescent="0.3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x14ac:dyDescent="0.3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x14ac:dyDescent="0.3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x14ac:dyDescent="0.3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x14ac:dyDescent="0.3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x14ac:dyDescent="0.3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x14ac:dyDescent="0.3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x14ac:dyDescent="0.3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x14ac:dyDescent="0.3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x14ac:dyDescent="0.3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x14ac:dyDescent="0.3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x14ac:dyDescent="0.3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x14ac:dyDescent="0.3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x14ac:dyDescent="0.3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x14ac:dyDescent="0.3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x14ac:dyDescent="0.3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x14ac:dyDescent="0.3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x14ac:dyDescent="0.3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x14ac:dyDescent="0.3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x14ac:dyDescent="0.3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x14ac:dyDescent="0.3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x14ac:dyDescent="0.3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x14ac:dyDescent="0.3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x14ac:dyDescent="0.3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x14ac:dyDescent="0.3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x14ac:dyDescent="0.3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x14ac:dyDescent="0.3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x14ac:dyDescent="0.3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x14ac:dyDescent="0.3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x14ac:dyDescent="0.3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x14ac:dyDescent="0.3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x14ac:dyDescent="0.3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x14ac:dyDescent="0.3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x14ac:dyDescent="0.3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x14ac:dyDescent="0.3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x14ac:dyDescent="0.3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x14ac:dyDescent="0.3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x14ac:dyDescent="0.3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x14ac:dyDescent="0.3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x14ac:dyDescent="0.3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x14ac:dyDescent="0.3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x14ac:dyDescent="0.3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x14ac:dyDescent="0.3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x14ac:dyDescent="0.3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x14ac:dyDescent="0.3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x14ac:dyDescent="0.3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x14ac:dyDescent="0.3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x14ac:dyDescent="0.3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x14ac:dyDescent="0.3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x14ac:dyDescent="0.3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x14ac:dyDescent="0.3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x14ac:dyDescent="0.3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x14ac:dyDescent="0.3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x14ac:dyDescent="0.3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x14ac:dyDescent="0.3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x14ac:dyDescent="0.3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x14ac:dyDescent="0.3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x14ac:dyDescent="0.3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x14ac:dyDescent="0.3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x14ac:dyDescent="0.3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x14ac:dyDescent="0.3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x14ac:dyDescent="0.3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x14ac:dyDescent="0.3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x14ac:dyDescent="0.3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x14ac:dyDescent="0.3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x14ac:dyDescent="0.3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x14ac:dyDescent="0.3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x14ac:dyDescent="0.3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x14ac:dyDescent="0.3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x14ac:dyDescent="0.3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x14ac:dyDescent="0.3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x14ac:dyDescent="0.3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x14ac:dyDescent="0.3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x14ac:dyDescent="0.3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x14ac:dyDescent="0.3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x14ac:dyDescent="0.3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x14ac:dyDescent="0.3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x14ac:dyDescent="0.3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x14ac:dyDescent="0.3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x14ac:dyDescent="0.3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x14ac:dyDescent="0.3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x14ac:dyDescent="0.3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x14ac:dyDescent="0.3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x14ac:dyDescent="0.3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x14ac:dyDescent="0.3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x14ac:dyDescent="0.3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x14ac:dyDescent="0.3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x14ac:dyDescent="0.3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x14ac:dyDescent="0.3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x14ac:dyDescent="0.3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x14ac:dyDescent="0.3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x14ac:dyDescent="0.3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x14ac:dyDescent="0.3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x14ac:dyDescent="0.3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x14ac:dyDescent="0.3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x14ac:dyDescent="0.3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x14ac:dyDescent="0.3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x14ac:dyDescent="0.3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x14ac:dyDescent="0.3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x14ac:dyDescent="0.3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x14ac:dyDescent="0.3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x14ac:dyDescent="0.3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x14ac:dyDescent="0.3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x14ac:dyDescent="0.3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x14ac:dyDescent="0.3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x14ac:dyDescent="0.3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x14ac:dyDescent="0.3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x14ac:dyDescent="0.3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x14ac:dyDescent="0.3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x14ac:dyDescent="0.3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x14ac:dyDescent="0.3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x14ac:dyDescent="0.3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x14ac:dyDescent="0.3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x14ac:dyDescent="0.3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x14ac:dyDescent="0.3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x14ac:dyDescent="0.3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x14ac:dyDescent="0.3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x14ac:dyDescent="0.3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x14ac:dyDescent="0.3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x14ac:dyDescent="0.3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x14ac:dyDescent="0.3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x14ac:dyDescent="0.3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x14ac:dyDescent="0.3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x14ac:dyDescent="0.3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x14ac:dyDescent="0.3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x14ac:dyDescent="0.3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x14ac:dyDescent="0.3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x14ac:dyDescent="0.3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x14ac:dyDescent="0.3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x14ac:dyDescent="0.3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x14ac:dyDescent="0.3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x14ac:dyDescent="0.3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x14ac:dyDescent="0.3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x14ac:dyDescent="0.3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x14ac:dyDescent="0.3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x14ac:dyDescent="0.3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x14ac:dyDescent="0.3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x14ac:dyDescent="0.3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x14ac:dyDescent="0.3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x14ac:dyDescent="0.3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x14ac:dyDescent="0.3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x14ac:dyDescent="0.3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x14ac:dyDescent="0.3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x14ac:dyDescent="0.3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x14ac:dyDescent="0.3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x14ac:dyDescent="0.3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x14ac:dyDescent="0.3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x14ac:dyDescent="0.3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x14ac:dyDescent="0.3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x14ac:dyDescent="0.3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x14ac:dyDescent="0.3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x14ac:dyDescent="0.3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x14ac:dyDescent="0.3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x14ac:dyDescent="0.3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x14ac:dyDescent="0.3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x14ac:dyDescent="0.3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x14ac:dyDescent="0.3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x14ac:dyDescent="0.3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x14ac:dyDescent="0.3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x14ac:dyDescent="0.3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x14ac:dyDescent="0.3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x14ac:dyDescent="0.3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x14ac:dyDescent="0.3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x14ac:dyDescent="0.3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x14ac:dyDescent="0.3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x14ac:dyDescent="0.3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x14ac:dyDescent="0.3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x14ac:dyDescent="0.3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x14ac:dyDescent="0.3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x14ac:dyDescent="0.3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x14ac:dyDescent="0.3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x14ac:dyDescent="0.3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x14ac:dyDescent="0.3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x14ac:dyDescent="0.3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x14ac:dyDescent="0.3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x14ac:dyDescent="0.3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x14ac:dyDescent="0.3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x14ac:dyDescent="0.3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x14ac:dyDescent="0.3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x14ac:dyDescent="0.3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x14ac:dyDescent="0.3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x14ac:dyDescent="0.3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x14ac:dyDescent="0.3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x14ac:dyDescent="0.3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x14ac:dyDescent="0.3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x14ac:dyDescent="0.3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x14ac:dyDescent="0.3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x14ac:dyDescent="0.3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x14ac:dyDescent="0.3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x14ac:dyDescent="0.3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x14ac:dyDescent="0.3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x14ac:dyDescent="0.3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x14ac:dyDescent="0.3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x14ac:dyDescent="0.3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x14ac:dyDescent="0.3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x14ac:dyDescent="0.3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hidden="1" x14ac:dyDescent="0.3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399999999999999" hidden="1" x14ac:dyDescent="0.3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" hidden="1" x14ac:dyDescent="0.3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 hidden="1" x14ac:dyDescent="0.3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hidden="1" x14ac:dyDescent="0.3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 hidden="1" x14ac:dyDescent="0.3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hidden="1" x14ac:dyDescent="0.3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hidden="1" x14ac:dyDescent="0.3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399999999999999" hidden="1" x14ac:dyDescent="0.3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hidden="1" x14ac:dyDescent="0.3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hidden="1" x14ac:dyDescent="0.3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hidden="1" x14ac:dyDescent="0.3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hidden="1" x14ac:dyDescent="0.3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 hidden="1" x14ac:dyDescent="0.3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idden="1" x14ac:dyDescent="0.3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idden="1" x14ac:dyDescent="0.3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idden="1" x14ac:dyDescent="0.3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idden="1" x14ac:dyDescent="0.3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idden="1" x14ac:dyDescent="0.3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 hidden="1" x14ac:dyDescent="0.3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idden="1" x14ac:dyDescent="0.3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idden="1" x14ac:dyDescent="0.3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idden="1" x14ac:dyDescent="0.3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idden="1" x14ac:dyDescent="0.3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idden="1" x14ac:dyDescent="0.3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idden="1" x14ac:dyDescent="0.3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idden="1" x14ac:dyDescent="0.3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idden="1" x14ac:dyDescent="0.3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idden="1" x14ac:dyDescent="0.3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idden="1" x14ac:dyDescent="0.3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idden="1" x14ac:dyDescent="0.3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hidden="1" x14ac:dyDescent="0.3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idden="1" x14ac:dyDescent="0.3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idden="1" x14ac:dyDescent="0.3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idden="1" x14ac:dyDescent="0.3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idden="1" x14ac:dyDescent="0.3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idden="1" x14ac:dyDescent="0.3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idden="1" x14ac:dyDescent="0.3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idden="1" x14ac:dyDescent="0.3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idden="1" x14ac:dyDescent="0.3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idden="1" x14ac:dyDescent="0.3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idden="1" x14ac:dyDescent="0.3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idden="1" x14ac:dyDescent="0.3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idden="1" x14ac:dyDescent="0.3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idden="1" x14ac:dyDescent="0.3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idden="1" x14ac:dyDescent="0.3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idden="1" x14ac:dyDescent="0.3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idden="1" x14ac:dyDescent="0.3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idden="1" x14ac:dyDescent="0.3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idden="1" x14ac:dyDescent="0.3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idden="1" x14ac:dyDescent="0.3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idden="1" x14ac:dyDescent="0.3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idden="1" x14ac:dyDescent="0.3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idden="1" x14ac:dyDescent="0.3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idden="1" x14ac:dyDescent="0.3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idden="1" x14ac:dyDescent="0.3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idden="1" x14ac:dyDescent="0.3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idden="1" x14ac:dyDescent="0.3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idden="1" x14ac:dyDescent="0.3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idden="1" x14ac:dyDescent="0.3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idden="1" x14ac:dyDescent="0.3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idden="1" x14ac:dyDescent="0.3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idden="1" x14ac:dyDescent="0.3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idden="1" x14ac:dyDescent="0.3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idden="1" x14ac:dyDescent="0.3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idden="1" x14ac:dyDescent="0.3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idden="1" x14ac:dyDescent="0.3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idden="1" x14ac:dyDescent="0.3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idden="1" x14ac:dyDescent="0.3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idden="1" x14ac:dyDescent="0.3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idden="1" x14ac:dyDescent="0.3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idden="1" x14ac:dyDescent="0.3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idden="1" x14ac:dyDescent="0.3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idden="1" x14ac:dyDescent="0.3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idden="1" x14ac:dyDescent="0.3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idden="1" x14ac:dyDescent="0.3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idden="1" x14ac:dyDescent="0.3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idden="1" x14ac:dyDescent="0.3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idden="1" x14ac:dyDescent="0.3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idden="1" x14ac:dyDescent="0.3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idden="1" x14ac:dyDescent="0.3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idden="1" x14ac:dyDescent="0.3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idden="1" x14ac:dyDescent="0.3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idden="1" x14ac:dyDescent="0.3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idden="1" x14ac:dyDescent="0.3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idden="1" x14ac:dyDescent="0.3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idden="1" x14ac:dyDescent="0.3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idden="1" x14ac:dyDescent="0.3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idden="1" x14ac:dyDescent="0.3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idden="1" x14ac:dyDescent="0.3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idden="1" x14ac:dyDescent="0.3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idden="1" x14ac:dyDescent="0.3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idden="1" x14ac:dyDescent="0.3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idden="1" x14ac:dyDescent="0.3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idden="1" x14ac:dyDescent="0.3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idden="1" x14ac:dyDescent="0.3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idden="1" x14ac:dyDescent="0.3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idden="1" x14ac:dyDescent="0.3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idden="1" x14ac:dyDescent="0.3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idden="1" x14ac:dyDescent="0.3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idden="1" x14ac:dyDescent="0.3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idden="1" x14ac:dyDescent="0.3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idden="1" x14ac:dyDescent="0.3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idden="1" x14ac:dyDescent="0.3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idden="1" x14ac:dyDescent="0.3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idden="1" x14ac:dyDescent="0.3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idden="1" x14ac:dyDescent="0.3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idden="1" x14ac:dyDescent="0.3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idden="1" x14ac:dyDescent="0.3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idden="1" x14ac:dyDescent="0.3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idden="1" x14ac:dyDescent="0.3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idden="1" x14ac:dyDescent="0.3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idden="1" x14ac:dyDescent="0.3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idden="1" x14ac:dyDescent="0.3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idden="1" x14ac:dyDescent="0.3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idden="1" x14ac:dyDescent="0.3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idden="1" x14ac:dyDescent="0.3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idden="1" x14ac:dyDescent="0.3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idden="1" x14ac:dyDescent="0.3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hidden="1" x14ac:dyDescent="0.3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idden="1" x14ac:dyDescent="0.3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idden="1" x14ac:dyDescent="0.3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idden="1" x14ac:dyDescent="0.3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idden="1" x14ac:dyDescent="0.3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idden="1" x14ac:dyDescent="0.3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idden="1" x14ac:dyDescent="0.3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idden="1" x14ac:dyDescent="0.3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idden="1" x14ac:dyDescent="0.3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idden="1" x14ac:dyDescent="0.3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idden="1" x14ac:dyDescent="0.3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idden="1" x14ac:dyDescent="0.3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idden="1" x14ac:dyDescent="0.3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idden="1" x14ac:dyDescent="0.3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idden="1" x14ac:dyDescent="0.3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idden="1" x14ac:dyDescent="0.3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idden="1" x14ac:dyDescent="0.3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idden="1" x14ac:dyDescent="0.3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idden="1" x14ac:dyDescent="0.3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idden="1" x14ac:dyDescent="0.3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idden="1" x14ac:dyDescent="0.3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idden="1" x14ac:dyDescent="0.3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idden="1" x14ac:dyDescent="0.3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idden="1" x14ac:dyDescent="0.3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idden="1" x14ac:dyDescent="0.3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idden="1" x14ac:dyDescent="0.3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idden="1" x14ac:dyDescent="0.3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idden="1" x14ac:dyDescent="0.3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idden="1" x14ac:dyDescent="0.3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idden="1" x14ac:dyDescent="0.3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idden="1" x14ac:dyDescent="0.3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idden="1" x14ac:dyDescent="0.3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idden="1" x14ac:dyDescent="0.3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idden="1" x14ac:dyDescent="0.3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idden="1" x14ac:dyDescent="0.3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idden="1" x14ac:dyDescent="0.3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idden="1" x14ac:dyDescent="0.3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idden="1" x14ac:dyDescent="0.3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idden="1" x14ac:dyDescent="0.3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hidden="1" x14ac:dyDescent="0.3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hidden="1" x14ac:dyDescent="0.3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hidden="1" x14ac:dyDescent="0.3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hidden="1" x14ac:dyDescent="0.3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idden="1" x14ac:dyDescent="0.3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idden="1" x14ac:dyDescent="0.3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idden="1" x14ac:dyDescent="0.3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idden="1" x14ac:dyDescent="0.3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idden="1" x14ac:dyDescent="0.3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idden="1" x14ac:dyDescent="0.3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idden="1" x14ac:dyDescent="0.3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idden="1" x14ac:dyDescent="0.3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idden="1" x14ac:dyDescent="0.3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idden="1" x14ac:dyDescent="0.3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idden="1" x14ac:dyDescent="0.3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idden="1" x14ac:dyDescent="0.3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idden="1" x14ac:dyDescent="0.3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idden="1" x14ac:dyDescent="0.3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idden="1" x14ac:dyDescent="0.3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idden="1" x14ac:dyDescent="0.3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idden="1" x14ac:dyDescent="0.3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idden="1" x14ac:dyDescent="0.3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idden="1" x14ac:dyDescent="0.3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idden="1" x14ac:dyDescent="0.3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idden="1" x14ac:dyDescent="0.3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idden="1" x14ac:dyDescent="0.3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idden="1" x14ac:dyDescent="0.3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idden="1" x14ac:dyDescent="0.3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idden="1" x14ac:dyDescent="0.3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idden="1" x14ac:dyDescent="0.3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idden="1" x14ac:dyDescent="0.3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idden="1" x14ac:dyDescent="0.3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idden="1" x14ac:dyDescent="0.3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idden="1" x14ac:dyDescent="0.3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idden="1" x14ac:dyDescent="0.3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idden="1" x14ac:dyDescent="0.3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idden="1" x14ac:dyDescent="0.3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idden="1" x14ac:dyDescent="0.3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idden="1" x14ac:dyDescent="0.3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idden="1" x14ac:dyDescent="0.3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idden="1" x14ac:dyDescent="0.3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idden="1" x14ac:dyDescent="0.3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idden="1" x14ac:dyDescent="0.3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idden="1" x14ac:dyDescent="0.3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idden="1" x14ac:dyDescent="0.3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idden="1" x14ac:dyDescent="0.3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idden="1" x14ac:dyDescent="0.3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idden="1" x14ac:dyDescent="0.3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idden="1" x14ac:dyDescent="0.3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idden="1" x14ac:dyDescent="0.3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idden="1" x14ac:dyDescent="0.3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idden="1" x14ac:dyDescent="0.3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idden="1" x14ac:dyDescent="0.3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idden="1" x14ac:dyDescent="0.3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idden="1" x14ac:dyDescent="0.3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idden="1" x14ac:dyDescent="0.3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idden="1" x14ac:dyDescent="0.3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idden="1" x14ac:dyDescent="0.3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idden="1" x14ac:dyDescent="0.3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idden="1" x14ac:dyDescent="0.3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idden="1" x14ac:dyDescent="0.3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idden="1" x14ac:dyDescent="0.3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idden="1" x14ac:dyDescent="0.3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399999999999999" hidden="1" x14ac:dyDescent="0.3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idden="1" x14ac:dyDescent="0.3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idden="1" x14ac:dyDescent="0.3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 x14ac:dyDescent="0.3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idden="1" x14ac:dyDescent="0.3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hidden="1" x14ac:dyDescent="0.3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idden="1" x14ac:dyDescent="0.3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 x14ac:dyDescent="0.3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idden="1" x14ac:dyDescent="0.3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idden="1" x14ac:dyDescent="0.3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 x14ac:dyDescent="0.3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399999999999999" hidden="1" x14ac:dyDescent="0.3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idden="1" x14ac:dyDescent="0.3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idden="1" x14ac:dyDescent="0.3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idden="1" x14ac:dyDescent="0.3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399999999999999" hidden="1" x14ac:dyDescent="0.3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hidden="1" x14ac:dyDescent="0.3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 hidden="1" x14ac:dyDescent="0.3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151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idden="1" x14ac:dyDescent="0.3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idden="1" x14ac:dyDescent="0.3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399999999999999" hidden="1" x14ac:dyDescent="0.3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idden="1" x14ac:dyDescent="0.3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 x14ac:dyDescent="0.3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idden="1" x14ac:dyDescent="0.3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idden="1" x14ac:dyDescent="0.3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idden="1" x14ac:dyDescent="0.3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idden="1" x14ac:dyDescent="0.3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399999999999999" hidden="1" x14ac:dyDescent="0.3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idden="1" x14ac:dyDescent="0.3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 x14ac:dyDescent="0.3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idden="1" x14ac:dyDescent="0.3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idden="1" x14ac:dyDescent="0.3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idden="1" x14ac:dyDescent="0.3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idden="1" x14ac:dyDescent="0.3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idden="1" x14ac:dyDescent="0.3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idden="1" x14ac:dyDescent="0.3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idden="1" x14ac:dyDescent="0.3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idden="1" x14ac:dyDescent="0.3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idden="1" x14ac:dyDescent="0.3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idden="1" x14ac:dyDescent="0.3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 x14ac:dyDescent="0.3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idden="1" x14ac:dyDescent="0.3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idden="1" x14ac:dyDescent="0.3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idden="1" x14ac:dyDescent="0.3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idden="1" x14ac:dyDescent="0.3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idden="1" x14ac:dyDescent="0.3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 x14ac:dyDescent="0.3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idden="1" x14ac:dyDescent="0.3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 x14ac:dyDescent="0.3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 x14ac:dyDescent="0.3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idden="1" x14ac:dyDescent="0.3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 x14ac:dyDescent="0.3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idden="1" x14ac:dyDescent="0.3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idden="1" x14ac:dyDescent="0.3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 x14ac:dyDescent="0.3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idden="1" x14ac:dyDescent="0.3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 x14ac:dyDescent="0.3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idden="1" x14ac:dyDescent="0.3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 x14ac:dyDescent="0.3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idden="1" x14ac:dyDescent="0.3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idden="1" x14ac:dyDescent="0.3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idden="1" x14ac:dyDescent="0.3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idden="1" x14ac:dyDescent="0.3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idden="1" x14ac:dyDescent="0.3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 x14ac:dyDescent="0.3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 x14ac:dyDescent="0.3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idden="1" x14ac:dyDescent="0.3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 x14ac:dyDescent="0.3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idden="1" x14ac:dyDescent="0.3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 x14ac:dyDescent="0.3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 x14ac:dyDescent="0.3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 x14ac:dyDescent="0.3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 x14ac:dyDescent="0.3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 x14ac:dyDescent="0.3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 x14ac:dyDescent="0.3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 x14ac:dyDescent="0.3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 x14ac:dyDescent="0.3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 x14ac:dyDescent="0.3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 x14ac:dyDescent="0.3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 x14ac:dyDescent="0.3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 x14ac:dyDescent="0.3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 x14ac:dyDescent="0.3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idden="1" x14ac:dyDescent="0.3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 x14ac:dyDescent="0.3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 x14ac:dyDescent="0.3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 x14ac:dyDescent="0.3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 x14ac:dyDescent="0.3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 x14ac:dyDescent="0.3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 x14ac:dyDescent="0.3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 x14ac:dyDescent="0.3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 x14ac:dyDescent="0.3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 x14ac:dyDescent="0.3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 x14ac:dyDescent="0.3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 x14ac:dyDescent="0.3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 x14ac:dyDescent="0.3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 x14ac:dyDescent="0.3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 x14ac:dyDescent="0.3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 x14ac:dyDescent="0.3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 x14ac:dyDescent="0.3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 x14ac:dyDescent="0.3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 x14ac:dyDescent="0.3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 x14ac:dyDescent="0.3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 x14ac:dyDescent="0.3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 x14ac:dyDescent="0.3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 x14ac:dyDescent="0.3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 x14ac:dyDescent="0.3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 x14ac:dyDescent="0.3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 x14ac:dyDescent="0.3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 x14ac:dyDescent="0.3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 x14ac:dyDescent="0.3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 x14ac:dyDescent="0.3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 x14ac:dyDescent="0.3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 x14ac:dyDescent="0.3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 x14ac:dyDescent="0.3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 x14ac:dyDescent="0.3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 x14ac:dyDescent="0.3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 x14ac:dyDescent="0.3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 x14ac:dyDescent="0.3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 x14ac:dyDescent="0.3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 x14ac:dyDescent="0.3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 x14ac:dyDescent="0.3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 x14ac:dyDescent="0.3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 x14ac:dyDescent="0.3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 x14ac:dyDescent="0.3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 x14ac:dyDescent="0.3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 x14ac:dyDescent="0.3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 x14ac:dyDescent="0.3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 x14ac:dyDescent="0.3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 x14ac:dyDescent="0.3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 x14ac:dyDescent="0.3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 x14ac:dyDescent="0.3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 x14ac:dyDescent="0.3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 x14ac:dyDescent="0.3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 x14ac:dyDescent="0.3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 x14ac:dyDescent="0.3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 x14ac:dyDescent="0.3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 x14ac:dyDescent="0.3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 x14ac:dyDescent="0.3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 x14ac:dyDescent="0.3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 x14ac:dyDescent="0.3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 x14ac:dyDescent="0.3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 x14ac:dyDescent="0.3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 x14ac:dyDescent="0.3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 x14ac:dyDescent="0.3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 x14ac:dyDescent="0.3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 x14ac:dyDescent="0.3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 x14ac:dyDescent="0.3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 x14ac:dyDescent="0.3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 x14ac:dyDescent="0.3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 x14ac:dyDescent="0.3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 x14ac:dyDescent="0.3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 x14ac:dyDescent="0.3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 x14ac:dyDescent="0.3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 x14ac:dyDescent="0.3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 x14ac:dyDescent="0.3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 x14ac:dyDescent="0.3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 x14ac:dyDescent="0.3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 x14ac:dyDescent="0.3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 x14ac:dyDescent="0.3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 x14ac:dyDescent="0.3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 x14ac:dyDescent="0.3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 x14ac:dyDescent="0.3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 x14ac:dyDescent="0.3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 x14ac:dyDescent="0.3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 x14ac:dyDescent="0.3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 x14ac:dyDescent="0.3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 x14ac:dyDescent="0.3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 x14ac:dyDescent="0.3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 x14ac:dyDescent="0.3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 x14ac:dyDescent="0.3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 x14ac:dyDescent="0.3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 x14ac:dyDescent="0.3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 x14ac:dyDescent="0.3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 x14ac:dyDescent="0.3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 x14ac:dyDescent="0.3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 x14ac:dyDescent="0.3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 x14ac:dyDescent="0.3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 x14ac:dyDescent="0.3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 x14ac:dyDescent="0.3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 x14ac:dyDescent="0.3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 x14ac:dyDescent="0.3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 x14ac:dyDescent="0.3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 x14ac:dyDescent="0.3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 x14ac:dyDescent="0.3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 x14ac:dyDescent="0.3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 x14ac:dyDescent="0.3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 x14ac:dyDescent="0.3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 x14ac:dyDescent="0.3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 x14ac:dyDescent="0.3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 x14ac:dyDescent="0.3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 x14ac:dyDescent="0.3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 x14ac:dyDescent="0.3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 x14ac:dyDescent="0.3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 x14ac:dyDescent="0.3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 x14ac:dyDescent="0.3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 x14ac:dyDescent="0.3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 x14ac:dyDescent="0.3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 x14ac:dyDescent="0.3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 x14ac:dyDescent="0.3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 x14ac:dyDescent="0.3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 x14ac:dyDescent="0.3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 x14ac:dyDescent="0.3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 x14ac:dyDescent="0.3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 x14ac:dyDescent="0.3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 x14ac:dyDescent="0.3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 x14ac:dyDescent="0.3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 x14ac:dyDescent="0.3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 x14ac:dyDescent="0.3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 x14ac:dyDescent="0.3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 x14ac:dyDescent="0.3">
      <c r="AA716" s="73"/>
      <c r="AB716" s="73"/>
      <c r="AC716" s="73"/>
      <c r="AN716" s="94"/>
    </row>
    <row r="717" spans="1:40" x14ac:dyDescent="0.3">
      <c r="Z717" s="73"/>
      <c r="AA717" s="73"/>
      <c r="AB717" s="73"/>
      <c r="AC717" s="73"/>
      <c r="AN717" s="94"/>
    </row>
    <row r="718" spans="1:40" x14ac:dyDescent="0.3">
      <c r="Z718" s="73"/>
      <c r="AA718" s="73"/>
      <c r="AB718" s="73"/>
    </row>
    <row r="719" spans="1:40" x14ac:dyDescent="0.3">
      <c r="Z719" s="73"/>
    </row>
    <row r="720" spans="1:40" x14ac:dyDescent="0.3">
      <c r="Z720" s="73"/>
      <c r="AA720" s="73"/>
      <c r="AB720" s="73"/>
    </row>
  </sheetData>
  <autoFilter ref="A2:AN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 x14ac:dyDescent="0.3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710.88959879999993</v>
      </c>
      <c r="E3" s="49">
        <f t="shared" ref="E3:E5" si="0">D3/C3</f>
        <v>0.50880756061198085</v>
      </c>
      <c r="F3" s="66">
        <f>SUMIF(Controle!$R:$R,Formulas!A3,Controle!$AK:$AK)</f>
        <v>256393.97999999995</v>
      </c>
    </row>
    <row r="4" spans="1:6" x14ac:dyDescent="0.3">
      <c r="A4" t="s">
        <v>151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 x14ac:dyDescent="0.3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1491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3136.6270487600009</v>
      </c>
      <c r="E6" s="56">
        <f>D6/C6</f>
        <v>0.69079740726203986</v>
      </c>
      <c r="F6" s="67">
        <f t="shared" si="1"/>
        <v>481711.14083333325</v>
      </c>
    </row>
    <row r="9" spans="1:6" x14ac:dyDescent="0.3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 x14ac:dyDescent="0.3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purl.org/dc/terms/"/>
    <ds:schemaRef ds:uri="http://schemas.microsoft.com/office/2006/metadata/properties"/>
    <ds:schemaRef ds:uri="c06ce65c-ed18-47f4-a957-afd315448c9c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2026-05-19T19:37:26Z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