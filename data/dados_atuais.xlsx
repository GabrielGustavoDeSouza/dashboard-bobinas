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5475" documentId="1_{DDE4A242-D13A-46DE-8B65-653B9F6ECEB2}" xr6:coauthVersionLast="47" xr6:coauthVersionMax="47" xr10:uidLastSave="{8B936DA3-A38E-44DB-868C-50C8318E9D04}"/>
  <bookViews>
    <workbookView xWindow="-28920" yWindow="-120" windowWidth="29040" windowHeight="15720" tabRatio="598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A.Propostas!$A$5:$AK$114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A.Propostas!$A$5:$AK$114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<sst xmlns="http://schemas.openxmlformats.org/spreadsheetml/2006/main" count="10111" uniqueCount="1862">
  <si>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</si>
  <si>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</si>
  <si>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</si>
  <si>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</si>
  <si>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</si>
  <si>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</si>
  <si>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</si>
  <si>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</si>
  <si>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</si>
  <si>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</si>
  <si>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</si>
  <si>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</si>
  <si>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</si>
  <si>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</si>
  <si>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</si>
  <si>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</si>
  <si>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</si>
  <si>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</si>
  <si>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</si>
  <si>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</si>
  <si>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</si>
  <si>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</si>
  <si>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</si>
  <si>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</si>
  <si>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</si>
  <si>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</si>
  <si>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</si>
  <si>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</si>
  <si>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</si>
  <si>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</si>
  <si>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</si>
  <si>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</si>
  <si>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</si>
  <si>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</si>
  <si>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</si>
  <si>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</si>
  <si>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</si>
  <si>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</si>
  <si>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</si>
  <si>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</si>
  <si>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</si>
  <si>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</si>
  <si>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</si>
  <si>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</si>
  <si>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</si>
  <si>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</si>
  <si>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</si>
  <si>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</si>
  <si>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</si>
  <si>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</si>
  <si>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</si>
  <si>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</si>
  <si>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</si>
  <si>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</si>
  <si>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</si>
  <si>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</si>
  <si>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</si>
  <si>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</si>
  <si>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</si>
  <si>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</si>
  <si>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</si>
  <si>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</si>
  <si>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</si>
  <si>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</si>
  <si>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</si>
  <si>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</si>
  <si>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</si>
  <si>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</si>
  <si>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</si>
  <si>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</si>
  <si>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</si>
  <si>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</si>
  <si>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</si>
  <si>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</si>
  <si>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</si>
  <si>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</si>
  <si>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</si>
  <si>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</si>
  <si>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</si>
  <si>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</si>
  <si>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</si>
  <si>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</si>
  <si>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</si>
  <si>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</si>
  <si>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</si>
  <si>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</si>
  <si>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</si>
  <si>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</si>
  <si>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</si>
  <si>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</si>
  <si>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</si>
  <si>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</si>
  <si>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</si>
  <si>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</si>
  <si>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</si>
  <si>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</si>
  <si>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</si>
  <si>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</si>
  <si>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</si>
  <si>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</si>
  <si>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</si>
  <si>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</si>
  <si>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</si>
  <si>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</si>
  <si>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</si>
  <si>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</si>
  <si>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</si>
  <si>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</si>
  <si>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</si>
  <si>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</si>
  <si>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</si>
  <si>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</si>
  <si>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</si>
  <si>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</si>
  <si>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</si>
  <si>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</si>
  <si>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</si>
  <si>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</si>
  <si>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</si>
  <si>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</si>
  <si>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</si>
  <si>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</si>
  <si>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</si>
  <si>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</si>
  <si>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</si>
  <si>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</si>
  <si>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</si>
  <si>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</si>
  <si>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</si>
  <si>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</si>
  <si>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</si>
  <si>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</si>
  <si>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</si>
  <si>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</si>
  <si>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</si>
  <si>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</si>
  <si>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</si>
  <si>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</si>
  <si>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</si>
  <si>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</si>
  <si>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</si>
  <si>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</si>
  <si>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</si>
  <si>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</si>
  <si>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</si>
  <si>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</si>
  <si>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</si>
  <si>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</si>
  <si>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</si>
  <si>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</si>
  <si>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</si>
  <si>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</si>
  <si>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</si>
  <si>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</si>
  <si>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</si>
  <si>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</si>
  <si>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</si>
  <si>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</si>
  <si>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</si>
  <si>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</si>
  <si>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</si>
  <si>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</si>
  <si>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</si>
  <si>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</si>
  <si>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</si>
  <si>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</si>
  <si>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</si>
  <si>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</si>
  <si>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</si>
  <si>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</si>
  <si>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</si>
  <si>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</si>
  <si>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</si>
  <si>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</si>
  <si>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</si>
  <si>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</si>
  <si>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</si>
  <si>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</si>
  <si>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</si>
  <si>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</si>
  <si>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</si>
  <si>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</si>
  <si>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</si>
  <si>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</si>
  <si>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</si>
  <si>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</si>
  <si>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</si>
  <si>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</si>
  <si>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</si>
  <si>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</si>
  <si>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</si>
  <si>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</si>
  <si>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</si>
  <si>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</si>
  <si>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</si>
  <si>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</si>
  <si>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</si>
  <si>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</si>
  <si>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</si>
  <si>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</si>
  <si>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</si>
  <si>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</si>
  <si>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</si>
  <si>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</si>
  <si>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</si>
  <si>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</si>
  <si>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</si>
  <si>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</si>
  <si>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</si>
  <si>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</si>
  <si>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</si>
  <si>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</si>
  <si>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</si>
  <si>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</si>
  <si>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</si>
  <si>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</si>
  <si>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</si>
  <si>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</si>
  <si>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</si>
  <si>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</si>
  <si>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</si>
  <si>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</si>
  <si>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</si>
  <si>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</si>
  <si>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</si>
  <si>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</si>
  <si>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</si>
  <si>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</si>
  <si>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</si>
  <si>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</si>
  <si>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</si>
  <si>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</si>
  <si>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</si>
  <si>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</si>
  <si>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</si>
  <si>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</si>
  <si>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</si>
  <si>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</si>
  <si>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</si>
  <si>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</si>
  <si>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</si>
  <si>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</si>
  <si>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</si>
  <si>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</si>
  <si>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</si>
  <si>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</si>
  <si>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</si>
  <si>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</si>
  <si>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</si>
  <si>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</si>
  <si>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</si>
  <si>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</si>
  <si>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</si>
  <si>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</si>
  <si>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</si>
  <si>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</si>
  <si>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</si>
  <si>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</si>
  <si>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</si>
  <si>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</si>
  <si>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</si>
  <si>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</si>
  <si>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</si>
  <si>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</si>
  <si>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</si>
  <si>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</si>
  <si>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</si>
  <si>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</si>
  <si>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</si>
  <si>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</si>
  <si>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</si>
  <si>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</si>
  <si>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</si>
  <si>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</si>
  <si>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</si>
  <si>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</si>
  <si>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</si>
  <si>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</si>
  <si>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</si>
  <si>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</si>
  <si>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</si>
  <si>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</si>
  <si>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</si>
  <si>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</si>
  <si>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</si>
  <si>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</si>
  <si>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</si>
  <si>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</si>
  <si>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</si>
  <si>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</si>
  <si>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</si>
  <si>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</si>
  <si>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</si>
  <si>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</si>
  <si>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</si>
  <si>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</si>
  <si>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</si>
  <si>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</si>
  <si>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</si>
  <si>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</si>
  <si>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</si>
  <si>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</si>
  <si>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</si>
  <si>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</si>
  <si>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</si>
  <si>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</si>
  <si>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</si>
  <si>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</si>
  <si>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</si>
  <si>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</si>
  <si>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</si>
  <si>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</si>
  <si>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</si>
  <si>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</si>
  <si>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</si>
  <si>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</si>
  <si>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</si>
  <si>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</si>
  <si>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</si>
  <si>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</si>
  <si>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</si>
  <si>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</si>
  <si>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</si>
  <si>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</si>
  <si>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</si>
  <si>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</si>
  <si>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</si>
  <si>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</si>
  <si>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</si>
  <si>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</si>
  <si>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</si>
  <si>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</si>
  <si>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</si>
  <si>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</si>
  <si>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</si>
  <si>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</si>
  <si>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</si>
  <si>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</si>
  <si>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</si>
  <si>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</si>
  <si>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</si>
  <si>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</si>
  <si>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</si>
  <si>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</si>
  <si>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</si>
  <si>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</si>
  <si>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</si>
  <si>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</si>
  <si>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</si>
  <si>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</si>
  <si>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</si>
  <si>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</si>
  <si>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</si>
  <si>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</si>
  <si>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</si>
  <si>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</si>
  <si>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</si>
  <si>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</si>
  <si>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</si>
  <si>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</si>
  <si>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</si>
  <si>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</si>
  <si>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</si>
  <si>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</si>
  <si>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</si>
  <si>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</si>
  <si>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</si>
  <si>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</si>
  <si>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</si>
  <si>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</si>
  <si>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</si>
  <si>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</si>
  <si>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</si>
  <si>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</si>
  <si>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</si>
  <si>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</si>
  <si>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</si>
  <si>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</si>
  <si>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</si>
  <si>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</si>
  <si>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</si>
  <si>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</si>
  <si>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</si>
  <si>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</si>
  <si>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</si>
  <si>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</si>
  <si>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</si>
  <si>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</si>
  <si>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</si>
  <si>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</si>
  <si>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</si>
  <si>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</si>
  <si>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</si>
  <si>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</si>
  <si>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</si>
  <si>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</si>
  <si>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</si>
  <si>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</si>
  <si>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</si>
  <si>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</si>
  <si>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</si>
  <si>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</si>
  <si>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</si>
  <si>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</si>
  <si>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</si>
  <si>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</si>
  <si>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</si>
  <si>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</si>
  <si>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</si>
  <si>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</si>
  <si>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</si>
  <si>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</si>
  <si>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</si>
  <si>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</si>
  <si>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</si>
  <si>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</si>
  <si>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</si>
  <si>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</si>
  <si>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</si>
  <si>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</si>
  <si>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</si>
  <si>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</si>
  <si>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</si>
  <si>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</si>
  <si>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</si>
  <si>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</si>
  <si>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</si>
  <si>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</si>
  <si>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</si>
  <si>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</si>
  <si>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</si>
  <si>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</si>
  <si>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</si>
  <si>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</si>
  <si>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</si>
  <si>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</si>
  <si>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</si>
  <si>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</si>
  <si>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</si>
  <si>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</si>
  <si>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</si>
  <si>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</si>
  <si>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</si>
  <si>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</si>
  <si>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</si>
  <si>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</si>
  <si>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</si>
  <si>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</si>
  <si>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</si>
  <si>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</si>
  <si>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</si>
  <si>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</si>
  <si>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</si>
  <si>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</si>
  <si>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</si>
  <si>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</si>
  <si>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</si>
  <si>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</si>
  <si>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</si>
  <si>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</si>
  <si>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</si>
  <si>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</si>
  <si>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</si>
  <si>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</si>
  <si>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</si>
  <si>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</si>
  <si>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</si>
  <si>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</si>
  <si>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</si>
  <si>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</si>
  <si>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</si>
  <si>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</si>
  <si>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</si>
  <si>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</si>
  <si>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</si>
  <si>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</si>
  <si>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</si>
  <si>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</si>
  <si>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</si>
  <si>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</si>
  <si>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</si>
  <si>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</si>
  <si>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</si>
  <si>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</si>
  <si>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</si>
  <si>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</si>
  <si>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</si>
  <si>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</si>
  <si>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</si>
  <si>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</si>
  <si>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</si>
  <si>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</si>
  <si>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</si>
  <si>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</si>
  <si>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</si>
  <si>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</si>
  <si>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</si>
  <si>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</si>
  <si>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</si>
  <si>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</si>
  <si>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</si>
  <si>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</si>
  <si>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</si>
  <si>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</si>
  <si>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</si>
  <si>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</si>
  <si>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</si>
  <si>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</si>
  <si>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</si>
  <si>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</si>
  <si>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</si>
  <si>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</si>
  <si>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</si>
  <si>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</si>
  <si>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</si>
  <si>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</si>
  <si>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</si>
  <si>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</si>
  <si>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</si>
  <si>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</si>
  <si>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</si>
  <si>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</si>
  <si>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</si>
  <si>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</si>
  <si>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</si>
  <si>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</si>
  <si>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</si>
  <si>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</si>
  <si>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</si>
  <si>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</si>
  <si>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</si>
  <si>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</si>
  <si>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</si>
  <si>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</si>
  <si>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</si>
  <si>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</si>
  <si>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</si>
  <si>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</si>
  <si>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</si>
  <si>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</si>
  <si>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</si>
  <si>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</si>
  <si>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</si>
  <si>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</si>
  <si>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</si>
  <si>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</si>
  <si>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</si>
  <si>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</si>
  <si>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</si>
  <si>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</si>
  <si>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</si>
  <si>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</si>
  <si>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</si>
  <si>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</si>
  <si>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</si>
  <si>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</si>
  <si>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</si>
  <si>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</si>
  <si>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</si>
  <si>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</si>
  <si>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</si>
  <si>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</si>
  <si>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</si>
  <si>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</si>
  <si>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</si>
  <si>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</si>
  <si>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</si>
  <si>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</si>
  <si>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</si>
  <si>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</si>
  <si>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</si>
  <si>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</si>
  <si>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</si>
  <si>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</si>
  <si>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</si>
  <si>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</si>
  <si>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</si>
  <si>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</si>
  <si>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</si>
  <si>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</si>
  <si>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</si>
  <si>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</si>
  <si>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</si>
  <si>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</si>
  <si>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</si>
  <si>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</si>
  <si>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</si>
  <si>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</si>
  <si>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</si>
  <si>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</si>
  <si>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</si>
  <si>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</si>
  <si>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</si>
  <si>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</si>
  <si>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</si>
  <si>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</si>
  <si>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</si>
  <si>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</si>
  <si>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</si>
  <si>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</si>
  <si>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</si>
  <si>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</si>
  <si>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</si>
  <si>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</si>
  <si>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</si>
  <si>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</si>
  <si>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</si>
  <si>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</si>
  <si>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</si>
  <si>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</si>
  <si>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</si>
  <si>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</si>
  <si>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</si>
  <si>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</si>
  <si>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</si>
  <si>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</si>
  <si>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</si>
  <si>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</si>
  <si>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</si>
  <si>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</si>
  <si>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</si>
  <si>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</si>
  <si>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</si>
  <si>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</si>
  <si>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</si>
  <si>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</si>
  <si>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</si>
  <si>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</si>
  <si>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</si>
  <si>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</si>
  <si>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</si>
  <si>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</si>
  <si>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</si>
  <si>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</si>
  <si>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</si>
  <si>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</si>
  <si>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</si>
  <si>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</si>
  <si>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</si>
  <si>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</si>
  <si>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</si>
  <si>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</si>
  <si>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</si>
  <si>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</si>
  <si>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</si>
  <si>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</si>
  <si>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</si>
  <si>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</si>
  <si>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</si>
  <si>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</si>
  <si>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</si>
  <si>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</si>
  <si>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</si>
  <si>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</si>
  <si>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</si>
  <si>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</si>
  <si>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</si>
  <si>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</si>
  <si>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</si>
  <si>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</si>
  <si>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</si>
  <si>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</si>
  <si>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</si>
  <si>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</si>
  <si>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</si>
  <si>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</si>
  <si>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</si>
  <si>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</si>
  <si>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</si>
  <si>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</si>
  <si>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</si>
  <si>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</si>
  <si>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</si>
  <si>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</si>
  <si>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</si>
  <si>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</si>
  <si>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</si>
  <si>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</si>
  <si>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</si>
  <si>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</si>
  <si>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</si>
  <si>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</si>
  <si>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</si>
  <si>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</si>
  <si>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</si>
  <si>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</si>
  <si>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</si>
  <si>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</si>
  <si>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</si>
  <si>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</si>
  <si>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</si>
  <si>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</si>
  <si>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</si>
  <si>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</si>
  <si>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</si>
  <si>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</si>
  <si>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</si>
  <si>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</si>
  <si>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</si>
  <si>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</si>
  <si>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</si>
  <si>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</si>
  <si>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</si>
  <si>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</si>
  <si>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</si>
  <si>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</si>
  <si>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</si>
  <si>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</si>
  <si>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</si>
  <si>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</si>
  <si>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</si>
  <si>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</si>
  <si>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</si>
  <si>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</si>
  <si>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</si>
  <si>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</si>
  <si>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</si>
  <si>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</si>
  <si>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</si>
  <si>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</si>
  <si>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</si>
  <si>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</si>
  <si>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</si>
  <si>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</si>
  <si>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</si>
  <si>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</si>
  <si>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</si>
  <si>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</si>
  <si>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</si>
  <si>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</si>
  <si>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</si>
  <si>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</si>
  <si>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</si>
  <si>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</si>
  <si>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</si>
  <si>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</si>
  <si>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</si>
  <si>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</si>
  <si>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</si>
  <si>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</si>
  <si>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</si>
  <si>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</si>
  <si>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</si>
  <si>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</si>
  <si>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</si>
  <si>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</si>
  <si>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</si>
  <si>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</si>
  <si>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</si>
  <si>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</si>
  <si>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</si>
  <si>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</si>
  <si>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</si>
  <si>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</si>
  <si>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</si>
  <si>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</si>
  <si>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</si>
  <si>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</si>
  <si>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</si>
  <si>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</si>
  <si>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</si>
  <si>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</si>
  <si>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</si>
  <si>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</si>
  <si>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</si>
  <si>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</si>
  <si>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</si>
  <si>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</si>
  <si>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</si>
  <si>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</si>
  <si>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</si>
  <si>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</si>
  <si>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</si>
  <si>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</si>
  <si>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</si>
  <si>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</si>
  <si>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</si>
  <si>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</si>
  <si>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</si>
  <si>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</si>
  <si>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</si>
  <si>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</si>
  <si>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</si>
  <si>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</si>
  <si>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</si>
  <si>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</si>
  <si>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</si>
  <si>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</si>
  <si>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</si>
  <si>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</si>
  <si>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</si>
  <si>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</si>
  <si>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</si>
  <si>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</si>
  <si>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</si>
  <si>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</si>
  <si>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</si>
  <si>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</si>
  <si>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</si>
  <si>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</si>
  <si>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</si>
  <si>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</si>
  <si>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</si>
  <si>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</si>
  <si>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</si>
  <si>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</si>
  <si>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</si>
  <si>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</si>
  <si>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</si>
  <si>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</si>
  <si>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</si>
  <si>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</si>
  <si>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</si>
  <si>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</si>
  <si>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</si>
  <si>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</si>
  <si>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</si>
  <si>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</si>
  <si>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</si>
  <si>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</si>
  <si>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</si>
  <si>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</si>
  <si>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</si>
  <si>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</si>
  <si>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</si>
  <si>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</si>
  <si>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</si>
  <si>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</si>
  <si>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</si>
  <si>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</si>
  <si>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</si>
  <si>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</si>
  <si>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</si>
  <si>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</si>
  <si>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</si>
  <si>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</si>
  <si>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</si>
  <si>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</si>
  <si>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</si>
  <si>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</si>
  <si>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</si>
  <si>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</si>
  <si>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</si>
  <si>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</si>
  <si>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</si>
  <si>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</si>
  <si>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</si>
  <si>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</si>
  <si>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</si>
  <si>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</si>
  <si>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</si>
  <si>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</si>
  <si>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</si>
  <si>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</si>
  <si>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</si>
  <si>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</si>
  <si>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</si>
  <si>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</si>
  <si>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</si>
  <si>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</si>
  <si>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</si>
  <si>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</si>
  <si>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</si>
  <si>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</si>
  <si>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</si>
  <si>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</si>
  <si>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</si>
  <si>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</si>
  <si>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</si>
  <si>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</si>
  <si>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</si>
  <si>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</si>
  <si>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</si>
  <si>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</si>
  <si>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</si>
  <si>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</si>
  <si>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</si>
  <si>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</si>
  <si>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</si>
  <si>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</si>
  <si>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</si>
  <si>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</si>
  <si>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</si>
  <si>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</si>
  <si>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</si>
  <si>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</si>
  <si>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</si>
  <si>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</si>
  <si>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</si>
  <si>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</si>
  <si>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</si>
  <si>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</si>
  <si>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</si>
  <si>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</si>
  <si>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</si>
  <si>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</si>
  <si>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</si>
  <si>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</si>
  <si>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</si>
  <si>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</si>
  <si>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</si>
  <si>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</si>
  <si>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</si>
  <si>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</si>
  <si>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</si>
  <si>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</si>
  <si>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</si>
  <si>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</si>
  <si>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</si>
  <si>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</si>
  <si>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</si>
  <si>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</si>
  <si>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</si>
  <si>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</si>
  <si>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</si>
  <si>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</si>
  <si>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</si>
  <si>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</si>
  <si>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</si>
  <si>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</si>
  <si>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</si>
  <si>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</si>
  <si>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</si>
  <si>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</si>
  <si>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</si>
  <si>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</si>
  <si>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</si>
  <si>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</si>
  <si>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</si>
  <si>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</si>
  <si>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</si>
  <si>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</si>
  <si>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</si>
  <si>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</si>
  <si>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</si>
  <si>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</si>
  <si>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</si>
  <si>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</si>
  <si>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</si>
  <si>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</si>
  <si>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</si>
  <si>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</si>
  <si>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</si>
  <si>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</si>
  <si>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</si>
  <si>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</si>
  <si>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</si>
  <si>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</si>
  <si>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</si>
  <si>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</si>
  <si>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</si>
  <si>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</si>
  <si>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</si>
  <si>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</si>
  <si>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</si>
  <si>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</si>
  <si>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</si>
  <si>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</si>
  <si>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</si>
  <si>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</si>
  <si>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</si>
  <si>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</si>
  <si>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</si>
  <si>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</si>
  <si>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</si>
  <si>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</si>
  <si>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</si>
  <si>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</si>
  <si>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</si>
  <si>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</si>
  <si>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</si>
  <si>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</si>
  <si>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</si>
  <si>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</si>
  <si>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</si>
  <si>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</si>
  <si>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</si>
  <si>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</si>
  <si>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</si>
  <si>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</si>
  <si>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</si>
  <si>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</si>
  <si>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</si>
  <si>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</si>
  <si>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</si>
  <si>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</si>
  <si>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</si>
  <si>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</si>
  <si>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</si>
  <si>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</si>
  <si>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</si>
  <si>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</si>
  <si>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</si>
  <si>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</si>
  <si>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</si>
  <si>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</si>
  <si>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</si>
  <si>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</si>
  <si>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</si>
  <si>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</si>
  <si>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</si>
  <si>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</si>
  <si>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</si>
  <si>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</si>
  <si>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</si>
  <si>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</si>
  <si>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</si>
  <si>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</si>
  <si>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</si>
  <si>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</si>
  <si>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</si>
  <si>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</si>
  <si>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</si>
  <si>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</si>
  <si>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</si>
  <si>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</si>
  <si>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</si>
  <si>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</si>
  <si>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</si>
  <si>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</si>
  <si>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</si>
  <si>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</si>
  <si>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</si>
  <si>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</si>
  <si>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</si>
  <si>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</si>
  <si>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</si>
  <si>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</si>
  <si>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</si>
  <si>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</si>
  <si>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</si>
  <si>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</si>
  <si>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</si>
  <si>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</si>
  <si>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</si>
  <si>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</si>
  <si>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</si>
  <si>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</si>
  <si>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</si>
  <si>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</si>
  <si>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</si>
  <si>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</si>
  <si>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</si>
  <si>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</si>
  <si>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</si>
  <si>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</si>
  <si>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</si>
  <si>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</si>
  <si>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</si>
  <si>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</si>
  <si>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</si>
  <si>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</si>
  <si>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</si>
  <si>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</si>
  <si>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</si>
  <si>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</si>
  <si>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</si>
  <si>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</si>
  <si>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</si>
  <si>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</si>
  <si>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</si>
  <si>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</si>
  <si>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</si>
  <si>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</si>
  <si>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</si>
  <si>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</si>
  <si>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</si>
  <si>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</si>
  <si>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</si>
  <si>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</si>
  <si>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</si>
  <si>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</si>
  <si>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</si>
  <si>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</si>
  <si>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</si>
  <si>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</si>
  <si>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</si>
  <si>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</si>
  <si>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</si>
  <si>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</si>
  <si>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</si>
  <si>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</si>
  <si>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</si>
  <si>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</si>
  <si>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</si>
  <si>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</si>
  <si>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</si>
  <si>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</si>
  <si>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</si>
  <si>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</si>
  <si>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</si>
  <si>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</si>
  <si>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</si>
  <si>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</si>
  <si>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</si>
  <si>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</si>
  <si>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</si>
  <si>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</si>
  <si>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</si>
  <si>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</si>
  <si>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</si>
  <si>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</si>
  <si>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</si>
  <si>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</si>
  <si>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</si>
  <si>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</si>
  <si>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</si>
  <si>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</si>
  <si>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</si>
  <si>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</si>
  <si>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</si>
  <si>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</si>
  <si>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</si>
  <si>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</si>
  <si>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</si>
  <si>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</si>
  <si>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</si>
  <si>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</si>
  <si>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</si>
  <si>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</si>
  <si>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</si>
  <si>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</si>
  <si>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</si>
  <si>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</si>
  <si>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</si>
  <si>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</si>
  <si>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</si>
  <si>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</si>
  <si>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</si>
  <si>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</si>
  <si>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</si>
  <si>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</si>
  <si>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</si>
  <si>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</si>
  <si>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</si>
  <si>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</si>
  <si>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</si>
  <si>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</si>
  <si>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</si>
  <si>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</si>
  <si>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</si>
  <si>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</si>
  <si>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</si>
  <si>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</si>
  <si>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</si>
  <si>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</si>
  <si>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</si>
  <si>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</si>
  <si>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</si>
  <si>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</si>
  <si>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</si>
  <si>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</si>
  <si>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</si>
  <si>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</si>
  <si>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</si>
  <si>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</si>
  <si>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</si>
  <si>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</si>
  <si>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</si>
  <si>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</si>
  <si>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</si>
  <si>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</si>
  <si>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</si>
  <si>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</si>
  <si>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</si>
  <si>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</si>
  <si>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</si>
  <si>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</si>
  <si>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</si>
  <si>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</si>
  <si>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</si>
  <si>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</si>
  <si>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</si>
  <si>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</si>
  <si>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</si>
  <si>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</si>
  <si>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</si>
  <si>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</si>
  <si>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</si>
  <si>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</si>
  <si>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</si>
  <si>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</si>
  <si>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</si>
  <si>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</si>
  <si>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</si>
  <si>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</si>
  <si>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</si>
  <si>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</si>
  <si>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</si>
  <si>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</si>
  <si>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</si>
  <si>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</si>
  <si>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</si>
  <si>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</si>
  <si>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</si>
  <si>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</si>
  <si>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</si>
  <si>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</si>
  <si>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</si>
  <si>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</si>
  <si>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</si>
  <si>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</si>
  <si>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</si>
  <si>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</si>
  <si>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</si>
  <si>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</si>
  <si>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</si>
  <si>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</si>
  <si>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</si>
  <si>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</si>
  <si>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</si>
  <si>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</si>
  <si>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</si>
  <si>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</si>
  <si>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</si>
  <si>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</si>
  <si>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</si>
  <si>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</si>
  <si>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</si>
  <si>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</si>
  <si>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</si>
  <si>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</si>
  <si>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</si>
  <si>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</si>
  <si>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</si>
  <si>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</si>
  <si>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</si>
  <si>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</si>
  <si>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</si>
  <si>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</si>
  <si>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</si>
  <si>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</si>
  <si>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</si>
  <si>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</si>
  <si>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</si>
  <si>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</si>
  <si>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</si>
  <si>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</si>
  <si>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</si>
  <si>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</si>
  <si>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</si>
  <si>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</si>
  <si>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</si>
  <si>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</si>
  <si>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</si>
  <si>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</si>
  <si>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</si>
  <si>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</si>
  <si>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</si>
  <si>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</si>
  <si>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</si>
  <si>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</si>
  <si>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</si>
  <si>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</si>
  <si>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</si>
  <si>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</si>
  <si>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</si>
  <si>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</si>
  <si>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</si>
  <si>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</si>
  <si>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</si>
  <si>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</si>
  <si>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</si>
  <si>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</si>
  <si>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</si>
  <si>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</si>
  <si>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</si>
  <si>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</si>
  <si>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</si>
  <si>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</si>
  <si>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</si>
  <si>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</si>
  <si>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</si>
  <si>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</si>
  <si>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</si>
  <si>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</si>
  <si>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</si>
  <si>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</si>
  <si>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</si>
  <si>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</si>
  <si>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</si>
  <si>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</si>
  <si>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</si>
  <si>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</si>
  <si>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</si>
  <si>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</si>
  <si>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</si>
  <si>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</si>
  <si>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</si>
  <si>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</si>
  <si>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</si>
  <si>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</si>
  <si>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</si>
  <si>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</si>
  <si>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</si>
  <si>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</si>
  <si>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</si>
  <si>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</si>
  <si>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</si>
  <si>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</si>
  <si>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</si>
  <si>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</si>
  <si>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</si>
  <si>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</si>
  <si>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</si>
  <si>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</si>
  <si>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</si>
  <si>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</si>
  <si>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</si>
  <si>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</si>
  <si>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</si>
  <si>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</si>
  <si>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</si>
  <si>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</si>
  <si>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</si>
  <si>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</si>
  <si>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</si>
  <si>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</si>
  <si>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</si>
  <si>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</si>
  <si>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</si>
  <si>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</si>
  <si>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</si>
  <si>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</si>
  <si>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</si>
  <si>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</si>
  <si>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</si>
  <si>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</si>
  <si>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</si>
  <si>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</si>
  <si>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</si>
  <si>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</si>
  <si>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</si>
  <si>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</si>
  <si>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</si>
  <si>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</si>
  <si>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</si>
  <si>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</si>
  <si>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</si>
  <si>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</si>
  <si>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</si>
  <si>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</si>
  <si>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</si>
  <si>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</si>
  <si>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</si>
  <si>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</si>
  <si>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</si>
  <si>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</si>
  <si>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</si>
  <si>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</si>
  <si>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</si>
  <si>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</si>
  <si>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</si>
  <si>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</si>
  <si>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</si>
  <si>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</si>
  <si>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</si>
  <si>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</si>
  <si>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</si>
  <si>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</si>
  <si>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</si>
  <si>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</si>
  <si>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</si>
  <si>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</si>
  <si>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</si>
  <si>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</si>
  <si>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</si>
  <si>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</si>
  <si>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</si>
  <si>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</si>
  <si>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</si>
  <si>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</si>
  <si>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</si>
  <si>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</si>
  <si>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</si>
  <si>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</si>
  <si>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</si>
  <si>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</si>
  <si>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</si>
  <si>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</si>
  <si>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</si>
  <si>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</si>
  <si>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</si>
  <si>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</si>
  <si>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</si>
  <si>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</si>
  <si>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</si>
  <si>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</si>
  <si>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</si>
  <si>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</si>
  <si>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</si>
  <si>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</si>
  <si>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</si>
  <si>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</si>
  <si>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</si>
  <si>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</si>
  <si>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</si>
  <si>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</si>
  <si>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</si>
  <si>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</si>
  <si>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</si>
  <si>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</si>
  <si>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</si>
  <si>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</si>
  <si>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</si>
  <si>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</si>
  <si>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</si>
  <si>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</si>
  <si>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</si>
  <si>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</si>
  <si>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</si>
  <si>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</si>
  <si>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</si>
  <si>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</si>
  <si>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</si>
  <si>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</si>
  <si>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</si>
  <si>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</si>
  <si>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</si>
  <si>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</si>
  <si>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</si>
  <si>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</si>
  <si>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</si>
  <si>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</si>
  <si>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</si>
  <si>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</si>
  <si>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</si>
  <si>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</si>
  <si>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</si>
  <si>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</si>
  <si>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</si>
  <si>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</si>
  <si>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</si>
  <si>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</si>
  <si>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</si>
  <si>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</si>
  <si>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</si>
  <si>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</si>
  <si>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</si>
  <si>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</si>
  <si>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</si>
  <si>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</si>
  <si>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</si>
  <si>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</si>
  <si>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</si>
  <si>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</si>
  <si>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</si>
  <si>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</si>
  <si>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</si>
  <si>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</si>
  <si>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</si>
  <si>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</si>
  <si>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</si>
  <si>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</si>
  <si>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</si>
  <si>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</si>
  <si>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</si>
  <si>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</si>
  <si>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</si>
  <si>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</si>
  <si>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</si>
  <si>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</si>
  <si>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</si>
  <si>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</si>
  <si>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</si>
  <si>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</si>
  <si>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</si>
  <si>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</si>
  <si>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</si>
  <si>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</si>
  <si>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</si>
  <si>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</si>
  <si>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</si>
  <si>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</si>
  <si>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</si>
  <si>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</si>
  <si>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</si>
  <si>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</si>
  <si>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</si>
  <si>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</si>
  <si>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</si>
  <si>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</si>
  <si>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</si>
  <si>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</si>
  <si>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</si>
  <si>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</si>
  <si>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</si>
  <si>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</si>
  <si>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</si>
  <si>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</si>
  <si>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</si>
  <si>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</si>
  <si>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</si>
  <si>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</si>
  <si>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</si>
  <si>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</si>
  <si>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</si>
  <si>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</si>
  <si>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</si>
  <si>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</si>
  <si>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</si>
  <si>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</si>
  <si>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</si>
  <si>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</si>
  <si>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</si>
  <si>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</si>
  <si>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</si>
  <si>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</si>
  <si>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</si>
  <si>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</si>
  <si>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</si>
  <si>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</si>
  <si>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</si>
  <si>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</si>
  <si>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</si>
  <si>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</si>
  <si>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</si>
  <si>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</si>
  <si>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</si>
  <si>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</si>
  <si>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</si>
  <si>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</si>
  <si>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</si>
  <si>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</si>
  <si>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</si>
  <si>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</si>
  <si>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</si>
  <si>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</si>
  <si>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</si>
  <si>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</si>
  <si>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</si>
  <si>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</si>
  <si>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</si>
  <si>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</si>
  <si>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</si>
  <si>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</si>
  <si>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</si>
  <si>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</si>
  <si>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</si>
  <si>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</si>
  <si>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</si>
  <si>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</si>
  <si>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</si>
  <si>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</si>
  <si>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</si>
  <si>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</si>
  <si>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</si>
  <si>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</si>
  <si>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</si>
  <si>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</si>
  <si>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</si>
  <si>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</si>
  <si>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</si>
  <si>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</si>
  <si>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</si>
  <si>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</si>
  <si>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</si>
  <si>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</si>
  <si>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</si>
  <si>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</si>
  <si>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</si>
  <si>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</si>
  <si>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</si>
  <si>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</si>
  <si>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</si>
  <si>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</si>
  <si>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</si>
  <si>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</si>
  <si>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</si>
  <si>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</si>
  <si>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</si>
  <si>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</si>
  <si>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</si>
  <si>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</si>
  <si>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</si>
  <si>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</si>
  <si>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</si>
  <si>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</si>
  <si>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</si>
  <si>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</si>
  <si>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</si>
  <si>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</si>
  <si>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</si>
  <si>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</si>
  <si>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</si>
  <si>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</si>
  <si>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</si>
  <si>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</si>
  <si>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</si>
  <si>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</si>
  <si>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</si>
  <si>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</si>
  <si>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</si>
  <si>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</si>
  <si>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</si>
  <si>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</si>
  <si>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</si>
  <si>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</si>
  <si>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</si>
  <si>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</si>
  <si>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</si>
  <si>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</si>
  <si>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</si>
  <si>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</si>
  <si>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</si>
  <si>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</si>
  <si>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</si>
  <si>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</si>
  <si>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</si>
  <si>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</si>
  <si>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</si>
  <si>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</si>
  <si>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</si>
  <si>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</si>
  <si>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</si>
  <si>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</si>
  <si>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</si>
  <si>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</si>
  <si>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</si>
  <si>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</si>
  <si>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</si>
  <si>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</si>
  <si>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</si>
  <si>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</si>
  <si>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</si>
  <si>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</si>
  <si>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</si>
  <si>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</si>
  <si>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</si>
  <si>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</si>
  <si>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</si>
  <si>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</si>
  <si>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</si>
  <si>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</si>
  <si>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</si>
  <si>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</si>
  <si>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</si>
  <si>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</si>
  <si>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</si>
  <si>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</si>
  <si>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</si>
  <si>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</si>
  <si>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</si>
  <si>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</si>
  <si>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</si>
  <si>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</si>
  <si>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</si>
  <si>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</si>
  <si>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</si>
  <si>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</si>
  <si>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</si>
  <si>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</si>
  <si>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</si>
  <si>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</si>
  <si>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</si>
  <si>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</si>
  <si>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</si>
  <si>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</si>
  <si>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Mean to-low Curva A</t>
  </si>
  <si>
    <t>SLZ VW50065 CR300LA-GI40/40U 1,80X366</t>
  </si>
  <si>
    <t>-0,04 / +0,00
+0,03 / -0,07 PROPOSTA USINA</t>
  </si>
  <si>
    <t>PENDENTE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</si>
  <si>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</si>
  <si>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</si>
  <si>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</si>
  <si>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</si>
  <si>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</si>
  <si>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</si>
  <si>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</si>
  <si>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</si>
  <si>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</si>
  <si>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</si>
  <si>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</si>
  <si>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</si>
  <si>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</si>
  <si>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</si>
  <si>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</si>
  <si>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</si>
  <si>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</si>
  <si>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</si>
  <si>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</si>
  <si>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</si>
  <si>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</si>
  <si>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</si>
  <si>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</si>
  <si>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PAINEL LATERAL INTERNO VW 50065 CR440Y780T-DPSUP - ESQ /DIR</t>
  </si>
  <si>
    <t>20/07/2026 - APROVADO ALTERAÇÕES DE LARGURA S/ ALTERAÇÕES DE PREÇO. NECESSÁRIO ENVIO DO PLANO DE CORTE</t>
  </si>
  <si>
    <t>Mean to-low Curva B</t>
  </si>
  <si>
    <t>BOZ VW50065 CR3-GI40/40-U-O 1,20X1250</t>
  </si>
  <si>
    <t>-0,0275 / +0,00 - PROPOSTA DELGA
+0,00 / -0,06 PROPOSTA USINA
+0,00 / -0,04 CONTRAPOPOSTA DECLINADA</t>
  </si>
  <si>
    <t>-0,00 / +12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</si>
  <si>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</si>
  <si>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</si>
  <si>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</si>
  <si>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</si>
  <si>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</si>
  <si>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</si>
  <si>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</si>
  <si>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</si>
  <si>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</si>
  <si>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</si>
  <si>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</si>
  <si>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</si>
  <si>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INVIÁVEL</t>
  </si>
  <si>
    <t>-0,00 / + 12,00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</si>
  <si>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</si>
  <si>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</si>
  <si>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</si>
  <si>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</si>
  <si>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</si>
  <si>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</si>
  <si>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</si>
  <si>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</si>
  <si>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</si>
  <si>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</si>
  <si>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</si>
  <si>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</si>
  <si>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</si>
  <si>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</si>
  <si>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Mean to-low Curva C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</si>
  <si>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</si>
  <si>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</si>
  <si>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</si>
  <si>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</si>
  <si>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</si>
  <si>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</si>
  <si>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</si>
  <si>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</si>
  <si>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</si>
  <si>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</si>
  <si>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</si>
  <si>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</si>
  <si>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</si>
  <si>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</si>
  <si>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</si>
  <si>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</si>
  <si>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</si>
  <si>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</si>
  <si>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</si>
  <si>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</si>
  <si>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</si>
  <si>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</si>
  <si>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</si>
  <si>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</si>
  <si>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</si>
  <si>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</si>
  <si>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</si>
  <si>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</si>
  <si>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</si>
  <si>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</si>
  <si>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</si>
  <si>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</si>
  <si>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</si>
  <si>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</si>
  <si>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</si>
  <si>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</si>
  <si>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</si>
  <si>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</si>
  <si>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</si>
  <si>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</si>
  <si>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</si>
  <si>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</si>
  <si>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</si>
  <si>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</si>
  <si>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</si>
  <si>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</si>
  <si>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</si>
  <si>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</si>
  <si>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</si>
  <si>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</si>
  <si>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</si>
  <si>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</si>
  <si>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</si>
  <si>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</si>
  <si>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</si>
  <si>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</si>
  <si>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</si>
  <si>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</si>
  <si>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</si>
  <si>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</si>
  <si>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</si>
  <si>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</si>
  <si>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</si>
  <si>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</si>
  <si>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</si>
  <si>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</si>
  <si>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</si>
  <si>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</si>
  <si>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</si>
  <si>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</si>
  <si>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</si>
  <si>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</si>
  <si>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</si>
  <si>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</si>
  <si>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</si>
  <si>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</si>
  <si>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</si>
  <si>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</si>
  <si>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</si>
  <si>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</si>
  <si>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± 0,54</t>
  </si>
  <si>
    <t>10,75 -0,00 / +0,38</t>
  </si>
  <si>
    <t>MP000045PL
MP000046PL</t>
  </si>
  <si>
    <t>Sem melhorias identificadas</t>
  </si>
  <si>
    <t>VB000216LA
VB000215LC
VB000215LB
VB000215LA
VB000213LE
VB000213LD
SV000277LA
ME000038LA
ME000037LA
DA000356LA
DA000296LA</t>
  </si>
  <si>
    <t>Desenvolvimento de novas chapas</t>
  </si>
  <si>
    <t>VW001131LA
VW001153LA
VW001150LA</t>
  </si>
  <si>
    <t>Kaizen feito recentemente</t>
  </si>
  <si>
    <t>Projeto duplicado comm o CHQ0975AZ23006550</t>
  </si>
  <si>
    <t>7,50 -0,25/+0,00</t>
  </si>
  <si>
    <t>DN000172PL
DN000173PL</t>
  </si>
  <si>
    <t>+ 0,56</t>
  </si>
  <si>
    <t xml:space="preserve"> +0,44</t>
  </si>
  <si>
    <t>7,75 -0,05 / +0,25</t>
  </si>
  <si>
    <t>-0,00 / +0,24</t>
  </si>
  <si>
    <t>DN000182PL</t>
  </si>
  <si>
    <t>SV000085AA</t>
  </si>
  <si>
    <t>Bordas aparadas</t>
  </si>
  <si>
    <t>Largura de bobina</t>
  </si>
  <si>
    <t>Proposta cancela por Jarinu (Produto apresenta rompimento)</t>
  </si>
  <si>
    <t>Proposta cancela por Jarinu (Produto Saveiro)</t>
  </si>
  <si>
    <t>-0,25 / 0,05</t>
  </si>
  <si>
    <t>SV000098AE
SV000099AA</t>
  </si>
  <si>
    <t>Projeto sem retorno financeiro</t>
  </si>
  <si>
    <t>Declinado - material diract buy</t>
  </si>
  <si>
    <t>-0 / +0,46</t>
  </si>
  <si>
    <t>AM000031GU
AM000032GU
AM000034GU
AM000098GU</t>
  </si>
  <si>
    <t>Desenvolvimento de nova bobina</t>
  </si>
  <si>
    <t>8,00 -0,25 / +0,00</t>
  </si>
  <si>
    <t>SV000160GU</t>
  </si>
  <si>
    <t>Material em processo de migração - Prensa → Laser</t>
  </si>
  <si>
    <t>SV000097AA
SV000098AA</t>
  </si>
  <si>
    <t>BGQ0200EJ11000275
MB003675LB
MB003675AC</t>
  </si>
  <si>
    <t>Nome do Projeto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</si>
  <si>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</si>
  <si>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</si>
  <si>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</si>
  <si>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BOQ0575EE1150
CHQ0575EE02870890</t>
  </si>
  <si>
    <t>47 - REDUÇÃO DE MP DJ000079Z – 80Z</t>
  </si>
  <si>
    <t>45 - Redução de MP GM000409Z.
49 - REDUÇÃO DE MP GM000408Z / GM000409Z</t>
  </si>
  <si>
    <t>44 - Mudança de fonte Usiminas para Arcelor</t>
  </si>
  <si>
    <t>48 - REDUÇÃO DE MP BOZ0150HX1000</t>
  </si>
  <si>
    <t>08 - Redução de peso bruto MB002446LA / MB003670LA / MB003671LA</t>
  </si>
  <si>
    <t>23 - Redução do peso bruto VW000581Z / VW000582Z</t>
  </si>
  <si>
    <t>24 - KAIZEN - Redução de peso bruto_MB002289LA_MB002290LA</t>
  </si>
  <si>
    <t>RESPOSTA CONSULTA METALÚRGICA DEVOLVIDA 26/08 - AGUARDANDO VALIDAÇÃO DA ENGENHARIA</t>
  </si>
  <si>
    <t>DATA DE CADASTRO DO NOVO PN (Usina)</t>
  </si>
  <si>
    <t>largura aprovado</t>
  </si>
  <si>
    <t>±0,085</t>
  </si>
  <si>
    <t>±0,35</t>
  </si>
  <si>
    <t>±0,105</t>
  </si>
  <si>
    <t>±0,035</t>
  </si>
  <si>
    <t>±0,045</t>
  </si>
  <si>
    <t>±0,075</t>
  </si>
  <si>
    <t>±0,02</t>
  </si>
  <si>
    <t>-0,0675 / +0,00 PROPOSTA DELGA</t>
  </si>
  <si>
    <t>-0,00 / +6,0</t>
  </si>
  <si>
    <t>FOI REALIZADO TAMBÉM A TROCA DE FONTE PARA ESSES ITENS, PASSANDO DE CSN PARA ARCELOR MITTAL</t>
  </si>
  <si>
    <t>MUDANÇA DE ESPESSURA INVIÁVEL, ESTUDO PARA MUDANÇA DE COMPRIMENTO</t>
  </si>
  <si>
    <t>INVIÁVEL MTL SEM COMUNICAR-MOS O CLIENTE FINAL</t>
  </si>
  <si>
    <t>MATERIAL DA TAMPA, SOFRENDO MODIFICAÇÃO, USINA DE FORNECIMENTO A SER DEFINIDA</t>
  </si>
  <si>
    <t>CSN - INVIÁVEL FORNECIMENTO SEM INFORMAR O CLIENTE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</si>
</sst>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7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3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7" borderId="23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1" borderId="27" xfId="0" applyFont="1" applyFill="1" applyBorder="1" applyAlignment="1">
      <alignment horizontal="center" vertical="top"/>
    </xf>
    <xf numFmtId="0" fontId="30" fillId="22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20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20" borderId="27" xfId="0" applyNumberFormat="1" applyFont="1" applyFill="1" applyBorder="1" applyAlignment="1">
      <alignment horizontal="center" vertical="top"/>
    </xf>
    <xf numFmtId="0" fontId="30" fillId="20" borderId="23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44" fontId="0" fillId="14" borderId="1" xfId="5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49" fontId="0" fillId="11" borderId="18" xfId="0" applyNumberFormat="1" applyFill="1" applyBorder="1" applyAlignment="1">
      <alignment horizontal="center" vertical="center"/>
    </xf>
    <xf numFmtId="49" fontId="0" fillId="11" borderId="19" xfId="0" applyNumberFormat="1" applyFill="1" applyBorder="1" applyAlignment="1">
      <alignment horizontal="center" vertic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  <xf numFmtId="16" fontId="0" fillId="0" borderId="1" xfId="0" applyNumberFormat="1" applyBorder="1" applyAlignment="1">
      <alignment horizontal="center" vertical="center"/>
    </xf>
    <xf numFmtId="0" fontId="0" fillId="11" borderId="0" xfId="0" applyFill="1"/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0" fontId="0" fillId="0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6640625" style="165" customWidth="1"/>
    <col min="6" max="6" width="38.33203125" style="165" customWidth="1"/>
    <col min="7" max="7" width="5" style="165" customWidth="1"/>
    <col min="8" max="8" width="22.6640625" style="165" customWidth="1"/>
    <col min="9" max="9" width="17.33203125" style="165" customWidth="1"/>
    <col min="10" max="10" width="22.6640625" style="165" customWidth="1"/>
    <col min="11" max="11" width="17.33203125" style="165" customWidth="1"/>
    <col min="12" max="12" width="22.6640625" style="165" customWidth="1"/>
    <col min="13" max="13" width="3.6640625" customWidth="1"/>
    <col min="14" max="14" width="28.33203125" bestFit="1" customWidth="1"/>
    <col min="15" max="15" width="15.44140625" bestFit="1" customWidth="1"/>
    <col min="16" max="16" width="12.6640625" bestFit="1" customWidth="1"/>
    <col min="18" max="18" width="15.6640625" bestFit="1" customWidth="1"/>
    <col min="19" max="19" width="15.44140625" bestFit="1" customWidth="1"/>
  </cols>
  <sheetData>
    <row r="1" spans="1:19" ht="23.4" x14ac:dyDescent="0.3">
      <c r="A1" s="248" t="s">
        <v>0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</row>
    <row r="2" spans="1:19" x14ac:dyDescent="0.3">
      <c r="A2" s="249" t="s">
        <v>1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50" t="s">
        <v>7</v>
      </c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">
      <c r="A4" s="245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N4" t="s">
        <v>10</v>
      </c>
      <c r="O4">
        <v>37</v>
      </c>
      <c r="P4">
        <v>631869.95155054168</v>
      </c>
      <c r="R4" t="s">
        <v>11</v>
      </c>
      <c r="S4" s="191">
        <f>SUM(A.Propostas!F6:F121)</f>
        <v>3426104.8737715418</v>
      </c>
    </row>
    <row r="5" spans="1:19" x14ac:dyDescent="0.3">
      <c r="A5" s="245"/>
      <c r="B5" s="245"/>
      <c r="C5" s="245"/>
      <c r="D5" s="245"/>
      <c r="E5" s="245"/>
      <c r="F5" s="245"/>
      <c r="G5" s="245"/>
      <c r="H5" s="245"/>
      <c r="I5" s="245"/>
      <c r="J5" s="245"/>
      <c r="K5" s="245"/>
      <c r="L5" s="245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73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COUNTIF(A.Propostas!Z6:Z121,"NÃO")</f>
        <v>31</v>
      </c>
    </row>
    <row r="7" spans="1:19" x14ac:dyDescent="0.3">
      <c r="A7" s="193" t="s">
        <v>14</v>
      </c>
      <c r="B7" s="194" t="s">
        <v>15</v>
      </c>
      <c r="C7" s="194" t="s">
        <v>16</v>
      </c>
      <c r="D7" s="194" t="s">
        <v>17</v>
      </c>
      <c r="E7" s="194" t="s">
        <v>18</v>
      </c>
      <c r="F7" s="195" t="s">
        <v>19</v>
      </c>
      <c r="H7" s="251" t="s">
        <v>20</v>
      </c>
      <c r="I7" s="245"/>
      <c r="J7" s="245"/>
      <c r="K7" s="245"/>
      <c r="L7" s="245"/>
      <c r="R7" t="s">
        <v>21</v>
      </c>
      <c r="S7">
        <f>COUNTIF(A.Propostas!Z6:Z121,"KAIZEN PLANO DE CORTE")</f>
        <v>0</v>
      </c>
    </row>
    <row r="8" spans="1:19" ht="19.8" x14ac:dyDescent="0.3">
      <c r="A8" s="196">
        <f>COUNTA(A.Propostas!B6:B121)</f>
        <v>109</v>
      </c>
      <c r="B8" s="197">
        <f>SUM(A.Propostas!F6:F121)</f>
        <v>3426104.8737715418</v>
      </c>
      <c r="C8" s="197" cm="1">
        <f t="array" ref="C8">SUM(A.Propostas!F6:F121)-SUMPRODUCT(A.Propostas!F6:F121,--ISNUMBER(SEARCH("INVIÁVEL",A.Propostas!L6:L121&amp;A.Propostas!AC6:AC121&amp;A.Propostas!AI6:AI121)))</f>
        <v>2805309.595040042</v>
      </c>
      <c r="D8" s="198" cm="1">
        <f t="array" ref="D8">SUM(LARGE(A.Propostas!F6:F121,{1,2,3,4,5}))/SUM(A.Propostas!F6:F121)</f>
        <v>0.26265947768267517</v>
      </c>
      <c r="E8" s="199" cm="1">
        <f t="array" ref="E8">SUMPRODUCT(--(MMULT(--ISNUMBER(SEARCH("PENDENTE",A.Propostas!AD6:AH121)),TRANSPOSE(COLUMN(A.Propostas!AD6:AH6)^0))&gt;0))</f>
        <v>10</v>
      </c>
      <c r="F8" s="200" cm="1">
        <f t="array" ref="F8">SUMPRODUCT(--ISNUMBER(SEARCH("INVIÁVEL",A.Propostas!L6:L121&amp;A.Propostas!AC6:AC121&amp;A.Propostas!AI6:AI121)))</f>
        <v>10</v>
      </c>
      <c r="H8" s="252" t="s">
        <v>22</v>
      </c>
      <c r="I8" s="245"/>
      <c r="J8" s="245"/>
      <c r="K8" s="245"/>
      <c r="L8" s="245"/>
    </row>
    <row r="9" spans="1:19" x14ac:dyDescent="0.3">
      <c r="H9" s="245"/>
      <c r="I9" s="245"/>
      <c r="J9" s="245"/>
      <c r="K9" s="245"/>
      <c r="L9" s="245"/>
      <c r="N9" t="s">
        <v>23</v>
      </c>
      <c r="O9" t="s">
        <v>4</v>
      </c>
    </row>
    <row r="10" spans="1:19" x14ac:dyDescent="0.3">
      <c r="N10" t="s">
        <v>24</v>
      </c>
      <c r="O10" s="191">
        <v>1894286.455803545</v>
      </c>
    </row>
    <row r="11" spans="1:19" x14ac:dyDescent="0.3">
      <c r="A11" s="246" t="s">
        <v>25</v>
      </c>
      <c r="B11" s="245"/>
      <c r="C11" s="245"/>
      <c r="D11" s="245"/>
      <c r="E11" s="245"/>
      <c r="F11" s="245"/>
      <c r="H11" s="246" t="s">
        <v>26</v>
      </c>
      <c r="I11" s="245"/>
      <c r="J11" s="245"/>
      <c r="K11" s="245"/>
      <c r="L11" s="245"/>
      <c r="N11" t="s">
        <v>27</v>
      </c>
      <c r="O11" s="191">
        <v>987200.72000000009</v>
      </c>
    </row>
    <row r="12" spans="1:19" x14ac:dyDescent="0.3">
      <c r="A12" s="173" t="s">
        <v>28</v>
      </c>
      <c r="B12" s="173" t="s">
        <v>29</v>
      </c>
      <c r="C12" s="173" t="s">
        <v>23</v>
      </c>
      <c r="D12" s="173" t="s">
        <v>30</v>
      </c>
      <c r="E12" s="173" t="s">
        <v>4</v>
      </c>
      <c r="F12" s="173" t="s">
        <v>31</v>
      </c>
      <c r="H12" s="173" t="s">
        <v>23</v>
      </c>
      <c r="I12" s="173" t="s">
        <v>3</v>
      </c>
      <c r="J12" s="173" t="s">
        <v>4</v>
      </c>
      <c r="K12" s="173" t="s">
        <v>32</v>
      </c>
      <c r="L12" s="173" t="s">
        <v>33</v>
      </c>
      <c r="N12" t="s">
        <v>34</v>
      </c>
      <c r="O12" s="191">
        <v>499406.86</v>
      </c>
    </row>
    <row r="13" spans="1:19" x14ac:dyDescent="0.3">
      <c r="A13" s="174">
        <v>1</v>
      </c>
      <c r="B13" s="174" t="s">
        <v>35</v>
      </c>
      <c r="C13" s="174" t="s">
        <v>27</v>
      </c>
      <c r="D13" s="174" t="s">
        <v>36</v>
      </c>
      <c r="E13" s="187">
        <v>223577.79</v>
      </c>
      <c r="F13" s="180">
        <v>6.6129783315395124E-2</v>
      </c>
      <c r="H13" s="174" t="s">
        <v>24</v>
      </c>
      <c r="I13" s="174">
        <v>80</v>
      </c>
      <c r="J13" s="187">
        <v>1894286.455803545</v>
      </c>
      <c r="K13" s="180">
        <v>0.56029157842367183</v>
      </c>
      <c r="L13" s="187">
        <v>23678.580697544312</v>
      </c>
      <c r="N13" t="s">
        <v>37</v>
      </c>
      <c r="O13" s="191">
        <v>0</v>
      </c>
    </row>
    <row r="14" spans="1:19" x14ac:dyDescent="0.3">
      <c r="A14" s="174">
        <v>2</v>
      </c>
      <c r="B14" s="174" t="s">
        <v>38</v>
      </c>
      <c r="C14" s="174" t="s">
        <v>27</v>
      </c>
      <c r="D14" s="174" t="s">
        <v>39</v>
      </c>
      <c r="E14" s="187">
        <v>214301.81</v>
      </c>
      <c r="F14" s="180">
        <v>0.12951591956531949</v>
      </c>
      <c r="H14" s="174" t="s">
        <v>27</v>
      </c>
      <c r="I14" s="174">
        <v>12</v>
      </c>
      <c r="J14" s="187">
        <v>987200.72000000009</v>
      </c>
      <c r="K14" s="180">
        <v>0.29199398429692885</v>
      </c>
      <c r="L14" s="187">
        <v>82266.726666666669</v>
      </c>
    </row>
    <row r="15" spans="1:19" x14ac:dyDescent="0.3">
      <c r="A15" s="174">
        <v>3</v>
      </c>
      <c r="B15" s="174" t="s">
        <v>40</v>
      </c>
      <c r="C15" s="174" t="s">
        <v>27</v>
      </c>
      <c r="D15" s="174" t="s">
        <v>39</v>
      </c>
      <c r="E15" s="187">
        <v>190474.65</v>
      </c>
      <c r="F15" s="180">
        <v>0.18585446433569103</v>
      </c>
      <c r="H15" s="174" t="s">
        <v>34</v>
      </c>
      <c r="I15" s="174">
        <v>8</v>
      </c>
      <c r="J15" s="187">
        <v>499406.86</v>
      </c>
      <c r="K15" s="180">
        <v>0.14771443727940003</v>
      </c>
      <c r="L15" s="187">
        <v>62425.857499999998</v>
      </c>
    </row>
    <row r="16" spans="1:19" x14ac:dyDescent="0.3">
      <c r="A16" s="174">
        <v>4</v>
      </c>
      <c r="B16" s="174" t="s">
        <v>41</v>
      </c>
      <c r="C16" s="174" t="s">
        <v>24</v>
      </c>
      <c r="D16" s="174" t="s">
        <v>42</v>
      </c>
      <c r="E16" s="187">
        <v>168140.89131840001</v>
      </c>
      <c r="F16" s="180">
        <v>0.23558713549834631</v>
      </c>
      <c r="H16" s="174" t="s">
        <v>37</v>
      </c>
      <c r="I16" s="174">
        <v>3</v>
      </c>
      <c r="J16" s="187">
        <v>0</v>
      </c>
      <c r="K16" s="180">
        <v>0</v>
      </c>
      <c r="L16" s="187">
        <v>0</v>
      </c>
      <c r="N16" t="s">
        <v>43</v>
      </c>
      <c r="O16" t="s">
        <v>4</v>
      </c>
    </row>
    <row r="17" spans="1:16" x14ac:dyDescent="0.3">
      <c r="A17" s="174">
        <v>5</v>
      </c>
      <c r="B17" s="174" t="s">
        <v>44</v>
      </c>
      <c r="C17" s="174" t="s">
        <v>24</v>
      </c>
      <c r="D17" s="174" t="s">
        <v>45</v>
      </c>
      <c r="E17" s="187">
        <v>167489.2253125</v>
      </c>
      <c r="F17" s="180">
        <v>0.28512705705128327</v>
      </c>
      <c r="N17" t="s">
        <v>42</v>
      </c>
      <c r="O17" s="191">
        <v>1390523.5442530026</v>
      </c>
    </row>
    <row r="18" spans="1:16" x14ac:dyDescent="0.3">
      <c r="A18" s="174">
        <v>6</v>
      </c>
      <c r="B18" s="174" t="s">
        <v>46</v>
      </c>
      <c r="C18" s="174" t="s">
        <v>34</v>
      </c>
      <c r="D18" s="174" t="s">
        <v>42</v>
      </c>
      <c r="E18" s="187">
        <v>128107.04</v>
      </c>
      <c r="F18" s="180">
        <v>0.32301852559284394</v>
      </c>
      <c r="N18" t="s">
        <v>39</v>
      </c>
      <c r="O18" s="191">
        <v>998683.29479479801</v>
      </c>
    </row>
    <row r="19" spans="1:16" x14ac:dyDescent="0.3">
      <c r="A19" s="174">
        <v>7</v>
      </c>
      <c r="B19" s="174" t="s">
        <v>47</v>
      </c>
      <c r="C19" s="174" t="s">
        <v>27</v>
      </c>
      <c r="D19" s="174" t="s">
        <v>36</v>
      </c>
      <c r="E19" s="187">
        <v>117470.3</v>
      </c>
      <c r="F19" s="180">
        <v>0.35776386181338027</v>
      </c>
      <c r="N19" t="s">
        <v>36</v>
      </c>
      <c r="O19" s="191">
        <v>341048.09</v>
      </c>
    </row>
    <row r="20" spans="1:16" x14ac:dyDescent="0.3">
      <c r="A20" s="174">
        <v>8</v>
      </c>
      <c r="B20" s="174" t="s">
        <v>48</v>
      </c>
      <c r="C20" s="174" t="s">
        <v>34</v>
      </c>
      <c r="D20" s="174" t="s">
        <v>49</v>
      </c>
      <c r="E20" s="187">
        <v>115000</v>
      </c>
      <c r="F20" s="180">
        <v>0.39177853331214779</v>
      </c>
      <c r="N20" t="s">
        <v>45</v>
      </c>
      <c r="O20" s="191">
        <v>194339.68058881108</v>
      </c>
    </row>
    <row r="21" spans="1:16" x14ac:dyDescent="0.3">
      <c r="A21" s="174">
        <v>9</v>
      </c>
      <c r="B21" s="174" t="s">
        <v>50</v>
      </c>
      <c r="C21" s="174" t="s">
        <v>24</v>
      </c>
      <c r="D21" s="174" t="s">
        <v>42</v>
      </c>
      <c r="E21" s="187">
        <v>113701.832244</v>
      </c>
      <c r="F21" s="180">
        <v>0.42540923307377942</v>
      </c>
      <c r="N21" t="s">
        <v>51</v>
      </c>
      <c r="O21" s="191">
        <v>164779.96956508717</v>
      </c>
    </row>
    <row r="22" spans="1:16" x14ac:dyDescent="0.3">
      <c r="A22" s="174">
        <v>10</v>
      </c>
      <c r="B22" s="174" t="s">
        <v>52</v>
      </c>
      <c r="C22" s="174" t="s">
        <v>24</v>
      </c>
      <c r="D22" s="174" t="s">
        <v>51</v>
      </c>
      <c r="E22" s="187">
        <v>113597.5197055</v>
      </c>
      <c r="F22" s="180">
        <v>0.459009079298626</v>
      </c>
      <c r="N22" t="s">
        <v>49</v>
      </c>
      <c r="O22" s="191">
        <v>115000</v>
      </c>
    </row>
    <row r="23" spans="1:16" x14ac:dyDescent="0.3">
      <c r="N23" t="s">
        <v>53</v>
      </c>
      <c r="O23" s="191">
        <v>105555.86660184528</v>
      </c>
    </row>
    <row r="24" spans="1:16" x14ac:dyDescent="0.3">
      <c r="N24" t="s">
        <v>54</v>
      </c>
      <c r="O24" s="191">
        <v>70963.59</v>
      </c>
    </row>
    <row r="25" spans="1:16" x14ac:dyDescent="0.3">
      <c r="A25" s="244" t="s">
        <v>55</v>
      </c>
      <c r="B25" s="245"/>
      <c r="C25" s="245"/>
      <c r="D25" s="245"/>
      <c r="E25" s="245"/>
      <c r="F25" s="245"/>
      <c r="H25" s="246" t="s">
        <v>56</v>
      </c>
      <c r="I25" s="245"/>
      <c r="J25" s="245"/>
      <c r="K25" s="245"/>
      <c r="L25" s="245"/>
    </row>
    <row r="26" spans="1:16" x14ac:dyDescent="0.3">
      <c r="A26" s="182" t="s">
        <v>57</v>
      </c>
      <c r="B26" s="182" t="s">
        <v>3</v>
      </c>
      <c r="C26" s="182" t="s">
        <v>58</v>
      </c>
      <c r="D26" s="182" t="s">
        <v>59</v>
      </c>
      <c r="H26" s="173" t="s">
        <v>43</v>
      </c>
      <c r="I26" s="173" t="s">
        <v>3</v>
      </c>
      <c r="J26" s="173" t="s">
        <v>4</v>
      </c>
      <c r="K26" s="173" t="s">
        <v>32</v>
      </c>
      <c r="L26" s="173" t="s">
        <v>33</v>
      </c>
    </row>
    <row r="27" spans="1:16" ht="57.6" x14ac:dyDescent="0.3">
      <c r="A27" s="174" t="s">
        <v>60</v>
      </c>
      <c r="B27" s="174">
        <v>16</v>
      </c>
      <c r="C27" s="187">
        <v>903321.84923620953</v>
      </c>
      <c r="D27" s="176" t="s">
        <v>61</v>
      </c>
      <c r="H27" s="174" t="s">
        <v>42</v>
      </c>
      <c r="I27" s="174">
        <v>49</v>
      </c>
      <c r="J27" s="187">
        <v>1390523.5442530026</v>
      </c>
      <c r="K27" s="180">
        <v>0.41128870929624228</v>
      </c>
      <c r="L27" s="187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74" t="s">
        <v>62</v>
      </c>
      <c r="B28" s="174">
        <v>6</v>
      </c>
      <c r="C28" s="187">
        <v>438060.56041410612</v>
      </c>
      <c r="D28" s="176" t="s">
        <v>63</v>
      </c>
      <c r="H28" s="174" t="s">
        <v>39</v>
      </c>
      <c r="I28" s="174">
        <v>28</v>
      </c>
      <c r="J28" s="187">
        <v>998683.29479479801</v>
      </c>
      <c r="K28" s="180">
        <v>0.29539029742392958</v>
      </c>
      <c r="L28" s="187">
        <v>35667.260528385646</v>
      </c>
      <c r="N28">
        <v>1</v>
      </c>
      <c r="O28" s="191">
        <v>223577.79</v>
      </c>
      <c r="P28" s="164">
        <v>6.6129783315395124E-2</v>
      </c>
    </row>
    <row r="29" spans="1:16" ht="57.6" x14ac:dyDescent="0.3">
      <c r="A29" s="174" t="s">
        <v>64</v>
      </c>
      <c r="B29" s="174">
        <v>11</v>
      </c>
      <c r="C29" s="187">
        <v>0</v>
      </c>
      <c r="D29" s="176" t="s">
        <v>65</v>
      </c>
      <c r="H29" s="174" t="s">
        <v>36</v>
      </c>
      <c r="I29" s="174">
        <v>4</v>
      </c>
      <c r="J29" s="187">
        <v>341048.09</v>
      </c>
      <c r="K29" s="180">
        <v>0.10087511953593144</v>
      </c>
      <c r="L29" s="187">
        <v>85262.022500000006</v>
      </c>
      <c r="N29">
        <v>2</v>
      </c>
      <c r="O29" s="191">
        <v>214301.81</v>
      </c>
      <c r="P29" s="164">
        <v>0.12951591956531949</v>
      </c>
    </row>
    <row r="30" spans="1:16" ht="72" x14ac:dyDescent="0.3">
      <c r="A30" s="174" t="s">
        <v>66</v>
      </c>
      <c r="B30" s="174">
        <v>3</v>
      </c>
      <c r="C30" s="187">
        <v>0</v>
      </c>
      <c r="D30" s="176" t="s">
        <v>67</v>
      </c>
      <c r="H30" s="174" t="s">
        <v>45</v>
      </c>
      <c r="I30" s="174">
        <v>5</v>
      </c>
      <c r="J30" s="187">
        <v>194339.68058881108</v>
      </c>
      <c r="K30" s="180">
        <v>5.7481742560033258E-2</v>
      </c>
      <c r="L30" s="187">
        <v>38867.93611776222</v>
      </c>
      <c r="N30">
        <v>3</v>
      </c>
      <c r="O30" s="191">
        <v>190474.65</v>
      </c>
      <c r="P30" s="164">
        <v>0.18585446433569103</v>
      </c>
    </row>
    <row r="31" spans="1:16" x14ac:dyDescent="0.3">
      <c r="H31" s="174" t="s">
        <v>51</v>
      </c>
      <c r="I31" s="174">
        <v>7</v>
      </c>
      <c r="J31" s="187">
        <v>164779.96956508717</v>
      </c>
      <c r="K31" s="180">
        <v>4.8738578559420501E-2</v>
      </c>
      <c r="L31" s="187">
        <v>23539.99565215531</v>
      </c>
      <c r="N31">
        <v>4</v>
      </c>
      <c r="O31" s="191">
        <v>168140.89131840001</v>
      </c>
      <c r="P31" s="164">
        <v>0.23558713549834631</v>
      </c>
    </row>
    <row r="32" spans="1:16" x14ac:dyDescent="0.3">
      <c r="H32" s="174" t="s">
        <v>49</v>
      </c>
      <c r="I32" s="174">
        <v>1</v>
      </c>
      <c r="J32" s="187">
        <v>115000</v>
      </c>
      <c r="K32" s="180">
        <v>3.4014671498767565E-2</v>
      </c>
      <c r="L32" s="187">
        <v>115000</v>
      </c>
      <c r="N32">
        <v>5</v>
      </c>
      <c r="O32" s="191">
        <v>167489.2253125</v>
      </c>
      <c r="P32" s="164">
        <v>0.28512705705128327</v>
      </c>
    </row>
    <row r="33" spans="1:16" x14ac:dyDescent="0.3">
      <c r="H33" s="174" t="s">
        <v>53</v>
      </c>
      <c r="I33" s="174">
        <v>6</v>
      </c>
      <c r="J33" s="187">
        <v>105555.86660184528</v>
      </c>
      <c r="K33" s="180">
        <v>3.1221288062865196E-2</v>
      </c>
      <c r="L33" s="187">
        <v>17592.644433640879</v>
      </c>
      <c r="N33">
        <v>6</v>
      </c>
      <c r="O33" s="191">
        <v>128107.04</v>
      </c>
      <c r="P33" s="164">
        <v>0.32301852559284394</v>
      </c>
    </row>
    <row r="34" spans="1:16" x14ac:dyDescent="0.3">
      <c r="H34" s="174" t="s">
        <v>54</v>
      </c>
      <c r="I34" s="174">
        <v>2</v>
      </c>
      <c r="J34" s="187">
        <v>70963.59</v>
      </c>
      <c r="K34" s="180">
        <v>2.0989593062810667E-2</v>
      </c>
      <c r="L34" s="187">
        <v>35481.794999999998</v>
      </c>
      <c r="N34">
        <v>7</v>
      </c>
      <c r="O34" s="191">
        <v>117470.3</v>
      </c>
      <c r="P34" s="164">
        <v>0.35776386181338027</v>
      </c>
    </row>
    <row r="35" spans="1:16" x14ac:dyDescent="0.3">
      <c r="N35">
        <v>8</v>
      </c>
      <c r="O35" s="191">
        <v>115000</v>
      </c>
      <c r="P35" s="164">
        <v>0.39177853331214779</v>
      </c>
    </row>
    <row r="36" spans="1:16" x14ac:dyDescent="0.3">
      <c r="N36">
        <v>9</v>
      </c>
      <c r="O36" s="191">
        <v>113701.832244</v>
      </c>
      <c r="P36" s="164">
        <v>0.42540923307377942</v>
      </c>
    </row>
    <row r="37" spans="1:16" x14ac:dyDescent="0.3">
      <c r="N37">
        <v>10</v>
      </c>
      <c r="O37" s="191">
        <v>113597.5197055</v>
      </c>
      <c r="P37" s="164">
        <v>0.459009079298626</v>
      </c>
    </row>
    <row r="39" spans="1:16" x14ac:dyDescent="0.3">
      <c r="A39" s="247" t="s">
        <v>68</v>
      </c>
      <c r="B39" s="245"/>
      <c r="C39" s="245"/>
      <c r="D39" s="245"/>
      <c r="E39" s="245"/>
      <c r="F39" s="245"/>
    </row>
    <row r="40" spans="1:16" x14ac:dyDescent="0.3">
      <c r="A40" s="183" t="s">
        <v>29</v>
      </c>
      <c r="B40" s="183" t="s">
        <v>23</v>
      </c>
      <c r="C40" s="183" t="s">
        <v>30</v>
      </c>
      <c r="D40" s="183" t="s">
        <v>4</v>
      </c>
      <c r="E40" s="183" t="s">
        <v>2</v>
      </c>
      <c r="F40" s="183" t="s">
        <v>69</v>
      </c>
    </row>
    <row r="41" spans="1:16" x14ac:dyDescent="0.3">
      <c r="A41" s="174" t="s">
        <v>41</v>
      </c>
      <c r="B41" s="174" t="s">
        <v>24</v>
      </c>
      <c r="C41" s="174" t="s">
        <v>42</v>
      </c>
      <c r="D41" s="187">
        <v>168140.89131840001</v>
      </c>
      <c r="E41" s="174" t="s">
        <v>8</v>
      </c>
      <c r="F41" s="176" t="s">
        <v>70</v>
      </c>
    </row>
    <row r="42" spans="1:16" x14ac:dyDescent="0.3">
      <c r="A42" s="174" t="s">
        <v>47</v>
      </c>
      <c r="B42" s="174" t="s">
        <v>27</v>
      </c>
      <c r="C42" s="174" t="s">
        <v>36</v>
      </c>
      <c r="D42" s="187">
        <v>117470.3</v>
      </c>
      <c r="E42" s="174" t="s">
        <v>8</v>
      </c>
      <c r="F42" s="176" t="s">
        <v>70</v>
      </c>
    </row>
    <row r="43" spans="1:16" x14ac:dyDescent="0.3">
      <c r="A43" s="174" t="s">
        <v>50</v>
      </c>
      <c r="B43" s="174" t="s">
        <v>24</v>
      </c>
      <c r="C43" s="174" t="s">
        <v>42</v>
      </c>
      <c r="D43" s="187">
        <v>113701.832244</v>
      </c>
      <c r="E43" s="174" t="s">
        <v>8</v>
      </c>
      <c r="F43" s="176" t="s">
        <v>70</v>
      </c>
    </row>
    <row r="44" spans="1:16" ht="28.8" x14ac:dyDescent="0.3">
      <c r="A44" s="174" t="s">
        <v>71</v>
      </c>
      <c r="B44" s="174" t="s">
        <v>24</v>
      </c>
      <c r="C44" s="174" t="s">
        <v>42</v>
      </c>
      <c r="D44" s="187">
        <v>110915.64340784001</v>
      </c>
      <c r="E44" s="174" t="s">
        <v>8</v>
      </c>
      <c r="F44" s="176" t="s">
        <v>72</v>
      </c>
    </row>
    <row r="45" spans="1:16" ht="28.8" x14ac:dyDescent="0.3">
      <c r="A45" s="174" t="s">
        <v>73</v>
      </c>
      <c r="B45" s="174" t="s">
        <v>24</v>
      </c>
      <c r="C45" s="174" t="s">
        <v>42</v>
      </c>
      <c r="D45" s="187">
        <v>96985.81</v>
      </c>
      <c r="E45" s="174" t="s">
        <v>8</v>
      </c>
      <c r="F45" s="176" t="s">
        <v>72</v>
      </c>
    </row>
    <row r="46" spans="1:16" x14ac:dyDescent="0.3">
      <c r="A46" s="174" t="s">
        <v>74</v>
      </c>
      <c r="B46" s="174" t="s">
        <v>24</v>
      </c>
      <c r="C46" s="174" t="s">
        <v>42</v>
      </c>
      <c r="D46" s="187">
        <v>77871.275812968903</v>
      </c>
      <c r="E46" s="174" t="s">
        <v>8</v>
      </c>
      <c r="F46" s="176" t="s">
        <v>70</v>
      </c>
    </row>
    <row r="47" spans="1:16" ht="28.8" x14ac:dyDescent="0.3">
      <c r="A47" s="174" t="s">
        <v>75</v>
      </c>
      <c r="B47" s="174" t="s">
        <v>24</v>
      </c>
      <c r="C47" s="174" t="s">
        <v>42</v>
      </c>
      <c r="D47" s="187">
        <v>76712.124567900901</v>
      </c>
      <c r="E47" s="174" t="s">
        <v>8</v>
      </c>
      <c r="F47" s="176" t="s">
        <v>72</v>
      </c>
    </row>
    <row r="48" spans="1:16" x14ac:dyDescent="0.3">
      <c r="A48" s="174" t="s">
        <v>76</v>
      </c>
      <c r="B48" s="174" t="s">
        <v>24</v>
      </c>
      <c r="C48" s="174" t="s">
        <v>42</v>
      </c>
      <c r="D48" s="187">
        <v>43018.019512899802</v>
      </c>
      <c r="E48" s="174" t="s">
        <v>8</v>
      </c>
      <c r="F48" s="176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6640625" style="165" customWidth="1"/>
    <col min="2" max="2" width="21" style="165" customWidth="1"/>
    <col min="3" max="3" width="22.6640625" style="165" customWidth="1"/>
    <col min="4" max="4" width="36.33203125" style="165" customWidth="1"/>
    <col min="5" max="5" width="22.6640625" style="165" customWidth="1"/>
    <col min="6" max="6" width="38.33203125" style="165" customWidth="1"/>
    <col min="7" max="7" width="5.33203125" style="165" customWidth="1"/>
    <col min="8" max="8" width="22.6640625" style="165" customWidth="1"/>
    <col min="9" max="9" width="15.33203125" style="165" customWidth="1"/>
    <col min="10" max="10" width="22.6640625" style="165" customWidth="1"/>
    <col min="11" max="11" width="15.33203125" style="165" customWidth="1"/>
    <col min="12" max="12" width="22.6640625" style="165" customWidth="1"/>
    <col min="13" max="13" width="3.6640625" customWidth="1"/>
    <col min="14" max="14" width="28.33203125" bestFit="1" customWidth="1"/>
    <col min="15" max="15" width="16.5546875" bestFit="1" customWidth="1"/>
    <col min="17" max="17" width="13.6640625" bestFit="1" customWidth="1"/>
    <col min="18" max="18" width="16.5546875" bestFit="1" customWidth="1"/>
  </cols>
  <sheetData>
    <row r="1" spans="1:18" ht="23.4" x14ac:dyDescent="0.3">
      <c r="A1" s="255" t="s">
        <v>77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</row>
    <row r="2" spans="1:18" x14ac:dyDescent="0.3">
      <c r="A2" s="249" t="s">
        <v>78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5"/>
      <c r="N2" t="s">
        <v>2</v>
      </c>
      <c r="O2" t="s">
        <v>3</v>
      </c>
      <c r="Q2" t="s">
        <v>79</v>
      </c>
    </row>
    <row r="3" spans="1:18" x14ac:dyDescent="0.3">
      <c r="A3" s="250" t="s">
        <v>80</v>
      </c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">
      <c r="A4" s="245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N4" t="s">
        <v>10</v>
      </c>
      <c r="O4">
        <v>37</v>
      </c>
      <c r="Q4" t="s">
        <v>82</v>
      </c>
      <c r="R4" s="191">
        <f>SUM(A.Propostas!F6:F121)</f>
        <v>3426104.8737715418</v>
      </c>
    </row>
    <row r="5" spans="1:18" x14ac:dyDescent="0.3">
      <c r="N5" t="s">
        <v>12</v>
      </c>
      <c r="O5">
        <v>1</v>
      </c>
      <c r="Q5" t="s">
        <v>8</v>
      </c>
      <c r="R5">
        <f>COUNTIF(A.Propostas!Z6:Z121,"SIM")</f>
        <v>73</v>
      </c>
    </row>
    <row r="6" spans="1:18" x14ac:dyDescent="0.3">
      <c r="A6" s="166" t="s">
        <v>14</v>
      </c>
      <c r="B6" s="167" t="s">
        <v>83</v>
      </c>
      <c r="C6" s="167" t="s">
        <v>84</v>
      </c>
      <c r="D6" s="167" t="s">
        <v>85</v>
      </c>
      <c r="E6" s="167" t="s">
        <v>18</v>
      </c>
      <c r="F6" s="168" t="s">
        <v>86</v>
      </c>
      <c r="H6" s="251" t="s">
        <v>87</v>
      </c>
      <c r="I6" s="245"/>
      <c r="J6" s="245"/>
      <c r="K6" s="245"/>
      <c r="L6" s="245"/>
      <c r="N6" t="s">
        <v>13</v>
      </c>
      <c r="O6">
        <v>3</v>
      </c>
      <c r="Q6" t="s">
        <v>10</v>
      </c>
      <c r="R6">
        <f>COUNTIF(A.Propostas!Z6:Z121,"NÃO")</f>
        <v>31</v>
      </c>
    </row>
    <row r="7" spans="1:18" ht="21" x14ac:dyDescent="0.3">
      <c r="A7" s="169">
        <f>COUNTA(A.Propostas!B6:B121)</f>
        <v>109</v>
      </c>
      <c r="B7" s="186">
        <f>SUM(A.Propostas!F6:F121)</f>
        <v>3426104.8737715418</v>
      </c>
      <c r="C7" s="186">
        <f>B7/A7</f>
        <v>31432.154805243503</v>
      </c>
      <c r="D7" s="170">
        <f>COUNTIF(A.Propostas!Z6:Z121,"SIM")</f>
        <v>73</v>
      </c>
      <c r="E7" s="170" cm="1">
        <f t="array" ref="E7">SUMPRODUCT(--(MMULT(--ISNUMBER(SEARCH("PENDENTE",A.Propostas!AD6:AH121)),TRANSPOSE(COLUMN(A.Propostas!AD6:AH6)^0))&gt;0))</f>
        <v>10</v>
      </c>
      <c r="F7" s="171" cm="1">
        <f t="array" ref="F7">SUMPRODUCT(--(A.Propostas!AB6:AB121&lt;DATE(2026,7,28)),--(A.Propostas!AB6:AB121&lt;&gt;""),--(A.Propostas!AC6:AC121=""),--ISERROR(SEARCH("INVIÁVEL",A.Propostas!L6:L121&amp;A.Propostas!AC6:AC121&amp;A.Propostas!AI6:AI121)))</f>
        <v>0</v>
      </c>
      <c r="H7" s="252" t="s">
        <v>88</v>
      </c>
      <c r="I7" s="245"/>
      <c r="J7" s="245"/>
      <c r="K7" s="245"/>
      <c r="L7" s="245"/>
      <c r="Q7" t="s">
        <v>21</v>
      </c>
      <c r="R7">
        <f>COUNTIF(A.Propostas!Z6:Z121,"KAIZEN PLANO DE CORTE")</f>
        <v>0</v>
      </c>
    </row>
    <row r="8" spans="1:18" x14ac:dyDescent="0.3">
      <c r="H8" s="245"/>
      <c r="I8" s="245"/>
      <c r="J8" s="245"/>
      <c r="K8" s="245"/>
      <c r="L8" s="245"/>
    </row>
    <row r="9" spans="1:18" x14ac:dyDescent="0.3">
      <c r="N9" t="s">
        <v>23</v>
      </c>
      <c r="O9" t="s">
        <v>4</v>
      </c>
    </row>
    <row r="10" spans="1:18" x14ac:dyDescent="0.3">
      <c r="A10" s="246" t="s">
        <v>89</v>
      </c>
      <c r="B10" s="245"/>
      <c r="C10" s="245"/>
      <c r="D10" s="245"/>
      <c r="E10" s="245"/>
      <c r="F10" s="245"/>
      <c r="H10" s="246" t="s">
        <v>26</v>
      </c>
      <c r="I10" s="245"/>
      <c r="J10" s="245"/>
      <c r="K10" s="245"/>
      <c r="L10" s="245"/>
      <c r="N10" t="s">
        <v>24</v>
      </c>
      <c r="O10" s="163">
        <v>1894286.455803545</v>
      </c>
    </row>
    <row r="11" spans="1:18" x14ac:dyDescent="0.3">
      <c r="A11" s="173" t="s">
        <v>29</v>
      </c>
      <c r="B11" s="173" t="s">
        <v>23</v>
      </c>
      <c r="C11" s="173" t="s">
        <v>30</v>
      </c>
      <c r="D11" s="173" t="s">
        <v>2</v>
      </c>
      <c r="E11" s="173" t="s">
        <v>90</v>
      </c>
      <c r="F11" s="173" t="s">
        <v>91</v>
      </c>
      <c r="H11" s="173" t="s">
        <v>23</v>
      </c>
      <c r="I11" s="173" t="s">
        <v>3</v>
      </c>
      <c r="J11" s="173" t="s">
        <v>4</v>
      </c>
      <c r="K11" s="173" t="s">
        <v>92</v>
      </c>
      <c r="L11" s="173" t="s">
        <v>33</v>
      </c>
      <c r="N11" t="s">
        <v>27</v>
      </c>
      <c r="O11" s="191">
        <v>987200.72000000009</v>
      </c>
    </row>
    <row r="12" spans="1:18" ht="28.8" x14ac:dyDescent="0.3">
      <c r="A12" s="174" t="s">
        <v>35</v>
      </c>
      <c r="B12" s="174" t="s">
        <v>27</v>
      </c>
      <c r="C12" s="174" t="s">
        <v>36</v>
      </c>
      <c r="D12" s="174" t="s">
        <v>8</v>
      </c>
      <c r="E12" s="187">
        <v>223577.79</v>
      </c>
      <c r="F12" s="176" t="s">
        <v>93</v>
      </c>
      <c r="H12" s="174" t="s">
        <v>24</v>
      </c>
      <c r="I12" s="174">
        <v>80</v>
      </c>
      <c r="J12" s="187">
        <v>1894286.455803545</v>
      </c>
      <c r="K12" s="180">
        <v>0.56029157842367183</v>
      </c>
      <c r="L12" s="187">
        <v>23678.580697544312</v>
      </c>
      <c r="N12" t="s">
        <v>34</v>
      </c>
      <c r="O12" s="191">
        <v>499406.86</v>
      </c>
    </row>
    <row r="13" spans="1:18" ht="43.2" x14ac:dyDescent="0.3">
      <c r="A13" s="174" t="s">
        <v>38</v>
      </c>
      <c r="B13" s="174" t="s">
        <v>27</v>
      </c>
      <c r="C13" s="174" t="s">
        <v>39</v>
      </c>
      <c r="D13" s="174" t="s">
        <v>8</v>
      </c>
      <c r="E13" s="187">
        <v>214301.81</v>
      </c>
      <c r="F13" s="176" t="s">
        <v>94</v>
      </c>
      <c r="H13" s="174" t="s">
        <v>27</v>
      </c>
      <c r="I13" s="174">
        <v>12</v>
      </c>
      <c r="J13" s="187">
        <v>987200.72000000009</v>
      </c>
      <c r="K13" s="180">
        <v>0.29199398429692885</v>
      </c>
      <c r="L13" s="187">
        <v>82266.726666666669</v>
      </c>
      <c r="N13" t="s">
        <v>37</v>
      </c>
      <c r="O13" s="191">
        <v>0</v>
      </c>
    </row>
    <row r="14" spans="1:18" x14ac:dyDescent="0.3">
      <c r="A14" s="174" t="s">
        <v>40</v>
      </c>
      <c r="B14" s="174" t="s">
        <v>27</v>
      </c>
      <c r="C14" s="174" t="s">
        <v>39</v>
      </c>
      <c r="D14" s="174" t="s">
        <v>8</v>
      </c>
      <c r="E14" s="187">
        <v>190474.65</v>
      </c>
      <c r="F14" s="176" t="s">
        <v>95</v>
      </c>
      <c r="H14" s="174" t="s">
        <v>34</v>
      </c>
      <c r="I14" s="174">
        <v>8</v>
      </c>
      <c r="J14" s="187">
        <v>499406.86</v>
      </c>
      <c r="K14" s="180">
        <v>0.14771443727940003</v>
      </c>
      <c r="L14" s="187">
        <v>62425.857499999998</v>
      </c>
      <c r="O14" s="191"/>
    </row>
    <row r="15" spans="1:18" ht="28.8" x14ac:dyDescent="0.3">
      <c r="A15" s="174" t="s">
        <v>41</v>
      </c>
      <c r="B15" s="174" t="s">
        <v>24</v>
      </c>
      <c r="C15" s="174" t="s">
        <v>42</v>
      </c>
      <c r="D15" s="174" t="s">
        <v>8</v>
      </c>
      <c r="E15" s="187">
        <v>168140.89131840001</v>
      </c>
      <c r="F15" s="176" t="s">
        <v>96</v>
      </c>
      <c r="H15" s="177" t="s">
        <v>37</v>
      </c>
      <c r="I15" s="177">
        <v>3</v>
      </c>
      <c r="J15" s="188">
        <v>0</v>
      </c>
      <c r="K15" s="181">
        <v>0</v>
      </c>
      <c r="L15" s="188">
        <v>0</v>
      </c>
      <c r="O15" s="191"/>
    </row>
    <row r="16" spans="1:18" x14ac:dyDescent="0.3">
      <c r="A16" s="174" t="s">
        <v>44</v>
      </c>
      <c r="B16" s="174" t="s">
        <v>24</v>
      </c>
      <c r="C16" s="174" t="s">
        <v>45</v>
      </c>
      <c r="D16" s="174" t="s">
        <v>10</v>
      </c>
      <c r="E16" s="187">
        <v>167489.2253125</v>
      </c>
      <c r="F16" s="176"/>
      <c r="J16" s="189"/>
      <c r="K16" s="172"/>
      <c r="L16" s="189"/>
      <c r="N16" t="s">
        <v>30</v>
      </c>
      <c r="O16" s="191" t="s">
        <v>4</v>
      </c>
    </row>
    <row r="17" spans="1:15" x14ac:dyDescent="0.3">
      <c r="A17" s="174" t="s">
        <v>46</v>
      </c>
      <c r="B17" s="174" t="s">
        <v>34</v>
      </c>
      <c r="C17" s="174" t="s">
        <v>42</v>
      </c>
      <c r="D17" s="174" t="s">
        <v>8</v>
      </c>
      <c r="E17" s="187">
        <v>128107.04</v>
      </c>
      <c r="F17" s="176"/>
      <c r="N17" t="s">
        <v>42</v>
      </c>
      <c r="O17" s="191">
        <v>1390523.5442530026</v>
      </c>
    </row>
    <row r="18" spans="1:15" x14ac:dyDescent="0.3">
      <c r="A18" s="174" t="s">
        <v>47</v>
      </c>
      <c r="B18" s="174" t="s">
        <v>27</v>
      </c>
      <c r="C18" s="174" t="s">
        <v>36</v>
      </c>
      <c r="D18" s="174" t="s">
        <v>8</v>
      </c>
      <c r="E18" s="187">
        <v>117470.3</v>
      </c>
      <c r="F18" s="176" t="s">
        <v>97</v>
      </c>
      <c r="N18" t="s">
        <v>39</v>
      </c>
      <c r="O18" s="191">
        <v>998683.29479479801</v>
      </c>
    </row>
    <row r="19" spans="1:15" x14ac:dyDescent="0.3">
      <c r="A19" s="174" t="s">
        <v>48</v>
      </c>
      <c r="B19" s="174" t="s">
        <v>34</v>
      </c>
      <c r="C19" s="174" t="s">
        <v>49</v>
      </c>
      <c r="D19" s="174" t="s">
        <v>8</v>
      </c>
      <c r="E19" s="187">
        <v>115000</v>
      </c>
      <c r="F19" s="176" t="s">
        <v>98</v>
      </c>
      <c r="N19" t="s">
        <v>36</v>
      </c>
      <c r="O19" s="191">
        <v>341048.09</v>
      </c>
    </row>
    <row r="20" spans="1:15" ht="28.8" x14ac:dyDescent="0.3">
      <c r="A20" s="174" t="s">
        <v>50</v>
      </c>
      <c r="B20" s="174" t="s">
        <v>24</v>
      </c>
      <c r="C20" s="174" t="s">
        <v>42</v>
      </c>
      <c r="D20" s="174" t="s">
        <v>8</v>
      </c>
      <c r="E20" s="187">
        <v>113701.832244</v>
      </c>
      <c r="F20" s="176" t="s">
        <v>96</v>
      </c>
      <c r="N20" t="s">
        <v>45</v>
      </c>
      <c r="O20" s="191">
        <v>194339.68058881108</v>
      </c>
    </row>
    <row r="21" spans="1:15" x14ac:dyDescent="0.3">
      <c r="A21" s="177" t="s">
        <v>52</v>
      </c>
      <c r="B21" s="177" t="s">
        <v>24</v>
      </c>
      <c r="C21" s="177" t="s">
        <v>51</v>
      </c>
      <c r="D21" s="177" t="s">
        <v>10</v>
      </c>
      <c r="E21" s="188">
        <v>113597.5197055</v>
      </c>
      <c r="F21" s="179"/>
      <c r="N21" t="s">
        <v>51</v>
      </c>
      <c r="O21" s="191">
        <v>164779.96956508717</v>
      </c>
    </row>
    <row r="22" spans="1:15" x14ac:dyDescent="0.3">
      <c r="N22" t="s">
        <v>49</v>
      </c>
      <c r="O22" s="191">
        <v>115000</v>
      </c>
    </row>
    <row r="23" spans="1:15" x14ac:dyDescent="0.3">
      <c r="J23" s="189"/>
      <c r="K23" s="172"/>
      <c r="L23" s="189"/>
      <c r="N23" t="s">
        <v>53</v>
      </c>
      <c r="O23" s="191">
        <v>105555.86660184528</v>
      </c>
    </row>
    <row r="24" spans="1:15" x14ac:dyDescent="0.3">
      <c r="J24" s="189"/>
      <c r="K24" s="172"/>
      <c r="L24" s="189"/>
      <c r="N24" t="s">
        <v>54</v>
      </c>
      <c r="O24" s="191">
        <v>70963.59</v>
      </c>
    </row>
    <row r="25" spans="1:15" x14ac:dyDescent="0.3">
      <c r="A25" s="246" t="s">
        <v>99</v>
      </c>
      <c r="B25" s="245"/>
      <c r="C25" s="245"/>
      <c r="D25" s="245"/>
      <c r="E25" s="245"/>
      <c r="F25" s="245"/>
      <c r="H25" s="246" t="s">
        <v>100</v>
      </c>
      <c r="I25" s="245"/>
      <c r="J25" s="253"/>
      <c r="K25" s="254"/>
      <c r="L25" s="253"/>
      <c r="O25" s="191"/>
    </row>
    <row r="26" spans="1:15" x14ac:dyDescent="0.3">
      <c r="A26" s="182" t="s">
        <v>101</v>
      </c>
      <c r="B26" s="182" t="s">
        <v>3</v>
      </c>
      <c r="C26" s="182" t="s">
        <v>102</v>
      </c>
      <c r="D26" s="182" t="s">
        <v>103</v>
      </c>
      <c r="H26" s="173" t="s">
        <v>43</v>
      </c>
      <c r="I26" s="173" t="s">
        <v>3</v>
      </c>
      <c r="J26" s="190" t="s">
        <v>4</v>
      </c>
      <c r="K26" s="192" t="s">
        <v>92</v>
      </c>
      <c r="L26" s="190" t="s">
        <v>33</v>
      </c>
      <c r="O26" s="191"/>
    </row>
    <row r="27" spans="1:15" ht="43.2" x14ac:dyDescent="0.3">
      <c r="A27" s="174" t="s">
        <v>86</v>
      </c>
      <c r="B27" s="174">
        <v>0</v>
      </c>
      <c r="C27" s="187">
        <v>0</v>
      </c>
      <c r="D27" s="176" t="s">
        <v>104</v>
      </c>
      <c r="H27" s="174" t="s">
        <v>42</v>
      </c>
      <c r="I27" s="174">
        <v>49</v>
      </c>
      <c r="J27" s="187">
        <v>1390523.5442530026</v>
      </c>
      <c r="K27" s="180">
        <v>0.41128870929624228</v>
      </c>
      <c r="L27" s="187">
        <v>28378.031515367402</v>
      </c>
      <c r="O27" s="191"/>
    </row>
    <row r="28" spans="1:15" ht="43.2" x14ac:dyDescent="0.3">
      <c r="A28" s="174" t="s">
        <v>105</v>
      </c>
      <c r="B28" s="174">
        <v>16</v>
      </c>
      <c r="C28" s="187">
        <v>903321.84923620953</v>
      </c>
      <c r="D28" s="176" t="s">
        <v>106</v>
      </c>
      <c r="H28" s="174" t="s">
        <v>39</v>
      </c>
      <c r="I28" s="174">
        <v>28</v>
      </c>
      <c r="J28" s="187">
        <v>998683.29479479801</v>
      </c>
      <c r="K28" s="180">
        <v>0.29539029742392958</v>
      </c>
      <c r="L28" s="187">
        <v>35667.260528385646</v>
      </c>
      <c r="O28" s="191"/>
    </row>
    <row r="29" spans="1:15" ht="28.8" x14ac:dyDescent="0.3">
      <c r="A29" s="174" t="s">
        <v>107</v>
      </c>
      <c r="B29" s="174">
        <v>6</v>
      </c>
      <c r="C29" s="187">
        <v>438060.56041410612</v>
      </c>
      <c r="D29" s="176" t="s">
        <v>108</v>
      </c>
      <c r="H29" s="174" t="s">
        <v>36</v>
      </c>
      <c r="I29" s="174">
        <v>4</v>
      </c>
      <c r="J29" s="187">
        <v>341048.09</v>
      </c>
      <c r="K29" s="180">
        <v>0.10087511953593144</v>
      </c>
      <c r="L29" s="187">
        <v>85262.022500000006</v>
      </c>
      <c r="O29" s="191"/>
    </row>
    <row r="30" spans="1:15" ht="43.2" x14ac:dyDescent="0.3">
      <c r="A30" s="177" t="s">
        <v>109</v>
      </c>
      <c r="B30" s="177">
        <v>3</v>
      </c>
      <c r="C30" s="188">
        <v>0</v>
      </c>
      <c r="D30" s="179" t="s">
        <v>110</v>
      </c>
      <c r="H30" s="174" t="s">
        <v>45</v>
      </c>
      <c r="I30" s="174">
        <v>5</v>
      </c>
      <c r="J30" s="187">
        <v>194339.68058881108</v>
      </c>
      <c r="K30" s="180">
        <v>5.7481742560033258E-2</v>
      </c>
      <c r="L30" s="187">
        <v>38867.93611776222</v>
      </c>
      <c r="O30" s="191"/>
    </row>
    <row r="31" spans="1:15" x14ac:dyDescent="0.3">
      <c r="H31" s="174" t="s">
        <v>51</v>
      </c>
      <c r="I31" s="174">
        <v>7</v>
      </c>
      <c r="J31" s="187">
        <v>164779.96956508717</v>
      </c>
      <c r="K31" s="180">
        <v>4.8738578559420501E-2</v>
      </c>
      <c r="L31" s="187">
        <v>23539.99565215531</v>
      </c>
      <c r="O31" s="191"/>
    </row>
    <row r="32" spans="1:15" x14ac:dyDescent="0.3">
      <c r="H32" s="174" t="s">
        <v>49</v>
      </c>
      <c r="I32" s="174">
        <v>1</v>
      </c>
      <c r="J32" s="187">
        <v>115000</v>
      </c>
      <c r="K32" s="180">
        <v>3.4014671498767565E-2</v>
      </c>
      <c r="L32" s="187">
        <v>115000</v>
      </c>
      <c r="O32" s="191"/>
    </row>
    <row r="33" spans="1:15" x14ac:dyDescent="0.3">
      <c r="A33" s="246" t="s">
        <v>111</v>
      </c>
      <c r="B33" s="245"/>
      <c r="C33" s="245"/>
      <c r="D33" s="245"/>
      <c r="E33" s="245"/>
      <c r="F33" s="245"/>
      <c r="H33" s="174" t="s">
        <v>53</v>
      </c>
      <c r="I33" s="174">
        <v>6</v>
      </c>
      <c r="J33" s="175">
        <v>105555.86660184528</v>
      </c>
      <c r="K33" s="180">
        <v>3.1221288062865196E-2</v>
      </c>
      <c r="L33" s="175">
        <v>17592.644433640879</v>
      </c>
      <c r="O33" s="191"/>
    </row>
    <row r="34" spans="1:15" x14ac:dyDescent="0.3">
      <c r="A34" s="183" t="s">
        <v>29</v>
      </c>
      <c r="B34" s="183" t="s">
        <v>23</v>
      </c>
      <c r="C34" s="183" t="s">
        <v>30</v>
      </c>
      <c r="D34" s="183" t="s">
        <v>112</v>
      </c>
      <c r="E34" s="183" t="s">
        <v>4</v>
      </c>
      <c r="F34" s="183" t="s">
        <v>69</v>
      </c>
      <c r="H34" s="174" t="s">
        <v>54</v>
      </c>
      <c r="I34" s="174">
        <v>2</v>
      </c>
      <c r="J34" s="175">
        <v>70963.59</v>
      </c>
      <c r="K34" s="180">
        <v>2.0989593062810667E-2</v>
      </c>
      <c r="L34" s="175">
        <v>35481.794999999998</v>
      </c>
      <c r="O34" s="191"/>
    </row>
    <row r="35" spans="1:15" x14ac:dyDescent="0.3">
      <c r="A35" s="174" t="s">
        <v>41</v>
      </c>
      <c r="B35" s="174" t="s">
        <v>24</v>
      </c>
      <c r="C35" s="174" t="s">
        <v>42</v>
      </c>
      <c r="D35" s="184" t="s">
        <v>113</v>
      </c>
      <c r="E35" s="187">
        <v>168140.89131840001</v>
      </c>
      <c r="F35" s="176" t="s">
        <v>114</v>
      </c>
      <c r="H35" s="177" t="s">
        <v>115</v>
      </c>
      <c r="I35" s="177">
        <v>1</v>
      </c>
      <c r="J35" s="178">
        <v>0</v>
      </c>
      <c r="K35" s="181">
        <v>0</v>
      </c>
      <c r="L35" s="178">
        <v>0</v>
      </c>
      <c r="O35" s="191"/>
    </row>
    <row r="36" spans="1:15" x14ac:dyDescent="0.3">
      <c r="A36" s="174" t="s">
        <v>47</v>
      </c>
      <c r="B36" s="174" t="s">
        <v>27</v>
      </c>
      <c r="C36" s="174" t="s">
        <v>36</v>
      </c>
      <c r="D36" s="184" t="s">
        <v>116</v>
      </c>
      <c r="E36" s="187">
        <v>117470.3</v>
      </c>
      <c r="F36" s="176" t="s">
        <v>114</v>
      </c>
      <c r="O36" s="191"/>
    </row>
    <row r="37" spans="1:15" x14ac:dyDescent="0.3">
      <c r="A37" s="174" t="s">
        <v>50</v>
      </c>
      <c r="B37" s="174" t="s">
        <v>24</v>
      </c>
      <c r="C37" s="174" t="s">
        <v>42</v>
      </c>
      <c r="D37" s="184" t="s">
        <v>113</v>
      </c>
      <c r="E37" s="187">
        <v>113701.832244</v>
      </c>
      <c r="F37" s="176" t="s">
        <v>114</v>
      </c>
      <c r="O37" s="191"/>
    </row>
    <row r="38" spans="1:15" x14ac:dyDescent="0.3">
      <c r="A38" s="174" t="s">
        <v>71</v>
      </c>
      <c r="B38" s="174" t="s">
        <v>24</v>
      </c>
      <c r="C38" s="174" t="s">
        <v>42</v>
      </c>
      <c r="D38" s="184" t="s">
        <v>117</v>
      </c>
      <c r="E38" s="187">
        <v>110915.64340784001</v>
      </c>
      <c r="F38" s="176" t="s">
        <v>114</v>
      </c>
      <c r="O38" s="191"/>
    </row>
    <row r="39" spans="1:15" x14ac:dyDescent="0.3">
      <c r="A39" s="174" t="s">
        <v>73</v>
      </c>
      <c r="B39" s="174" t="s">
        <v>24</v>
      </c>
      <c r="C39" s="174" t="s">
        <v>42</v>
      </c>
      <c r="D39" s="184" t="s">
        <v>118</v>
      </c>
      <c r="E39" s="187">
        <v>96985.81</v>
      </c>
      <c r="F39" s="176" t="s">
        <v>114</v>
      </c>
      <c r="O39" s="191"/>
    </row>
    <row r="40" spans="1:15" x14ac:dyDescent="0.3">
      <c r="A40" s="174" t="s">
        <v>74</v>
      </c>
      <c r="B40" s="174" t="s">
        <v>24</v>
      </c>
      <c r="C40" s="174" t="s">
        <v>42</v>
      </c>
      <c r="D40" s="184" t="s">
        <v>113</v>
      </c>
      <c r="E40" s="187">
        <v>77871.275812968903</v>
      </c>
      <c r="F40" s="176" t="s">
        <v>114</v>
      </c>
      <c r="O40" s="191"/>
    </row>
    <row r="41" spans="1:15" x14ac:dyDescent="0.3">
      <c r="A41" s="174" t="s">
        <v>75</v>
      </c>
      <c r="B41" s="174" t="s">
        <v>24</v>
      </c>
      <c r="C41" s="174" t="s">
        <v>42</v>
      </c>
      <c r="D41" s="184" t="s">
        <v>118</v>
      </c>
      <c r="E41" s="187">
        <v>76712.124567900901</v>
      </c>
      <c r="F41" s="176" t="s">
        <v>114</v>
      </c>
    </row>
    <row r="42" spans="1:15" x14ac:dyDescent="0.3">
      <c r="A42" s="177" t="s">
        <v>76</v>
      </c>
      <c r="B42" s="177" t="s">
        <v>24</v>
      </c>
      <c r="C42" s="177" t="s">
        <v>42</v>
      </c>
      <c r="D42" s="185" t="s">
        <v>113</v>
      </c>
      <c r="E42" s="188">
        <v>43018.019512899802</v>
      </c>
      <c r="F42" s="179" t="s">
        <v>114</v>
      </c>
      <c r="O42" s="191"/>
    </row>
    <row r="43" spans="1:15" x14ac:dyDescent="0.3">
      <c r="O43" s="191"/>
    </row>
    <row r="44" spans="1:15" x14ac:dyDescent="0.3">
      <c r="O44" s="191"/>
    </row>
    <row r="45" spans="1:15" x14ac:dyDescent="0.3">
      <c r="O45" s="191"/>
    </row>
    <row r="46" spans="1:15" x14ac:dyDescent="0.3">
      <c r="O46" s="191"/>
    </row>
    <row r="47" spans="1:15" x14ac:dyDescent="0.3">
      <c r="O47" s="191"/>
    </row>
    <row r="48" spans="1:15" x14ac:dyDescent="0.3">
      <c r="O48" s="191"/>
    </row>
    <row r="49" spans="15:15" x14ac:dyDescent="0.3">
      <c r="O49" s="191"/>
    </row>
    <row r="50" spans="15:15" x14ac:dyDescent="0.3">
      <c r="O50" s="191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3320312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3320312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6640625" hidden="1" customWidth="1"/>
    <col min="35" max="35" width="16.44140625" bestFit="1" customWidth="1"/>
    <col min="36" max="36" width="26.33203125" style="152" customWidth="1"/>
    <col min="37" max="37" width="16.44140625" bestFit="1" customWidth="1"/>
    <col min="38" max="38" width="14.6640625" hidden="1" customWidth="1"/>
    <col min="39" max="39" width="43.77734375" customWidth="1"/>
    <col min="40" max="40" width="24" style="50" customWidth="1"/>
    <col min="41" max="41" width="24.33203125" style="50" customWidth="1"/>
    <col min="42" max="42" width="13.664062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1823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1824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1011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1012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1013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1802</v>
      </c>
      <c r="AK296" s="65">
        <v>0</v>
      </c>
      <c r="AL296" s="1"/>
      <c r="AM296" s="1" t="s">
        <v>1803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1014</v>
      </c>
      <c r="C297" s="21">
        <v>2</v>
      </c>
      <c r="D297" s="23">
        <v>1000</v>
      </c>
      <c r="E297" s="23"/>
      <c r="F297" s="28"/>
      <c r="G297" s="3" t="s">
        <v>1015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1016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1804</v>
      </c>
      <c r="AK298" s="65">
        <f>44357.51/12</f>
        <v>3696.459166666667</v>
      </c>
      <c r="AL298" s="1"/>
      <c r="AM298" s="1" t="s">
        <v>1805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1017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1018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1019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1020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1021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1022</v>
      </c>
      <c r="N301" s="34" t="s">
        <v>1023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1024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1025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1026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1816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1027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1028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1815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1019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1029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1030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1031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1829</v>
      </c>
      <c r="AK306" s="65">
        <v>0</v>
      </c>
      <c r="AL306" s="1"/>
      <c r="AM306" s="1" t="s">
        <v>1830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1032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1826</v>
      </c>
      <c r="AK307" s="65">
        <f>12996.11/12</f>
        <v>1083.0091666666667</v>
      </c>
      <c r="AL307" s="1"/>
      <c r="AM307" s="1" t="s">
        <v>1827</v>
      </c>
      <c r="AN307" s="81"/>
      <c r="AO307" s="81"/>
    </row>
    <row r="308" spans="1:41" s="26" customFormat="1" ht="30.6" hidden="1" x14ac:dyDescent="0.3">
      <c r="A308" s="22" t="s">
        <v>1033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1806</v>
      </c>
      <c r="AK308" s="65">
        <v>0</v>
      </c>
      <c r="AL308" s="1"/>
      <c r="AM308" s="1" t="s">
        <v>1807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1034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1028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1810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1035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1036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1822</v>
      </c>
      <c r="AK310" s="65">
        <v>0</v>
      </c>
      <c r="AL310" s="1"/>
      <c r="AM310" s="1" t="s">
        <v>1006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1037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1038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1019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1039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1040</v>
      </c>
      <c r="B314" s="2" t="s">
        <v>1014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1041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1038</v>
      </c>
      <c r="N314" s="4" t="s">
        <v>1042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1043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1044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1036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1045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1046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1047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1035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1036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1831</v>
      </c>
      <c r="AK317" s="65">
        <v>0</v>
      </c>
      <c r="AL317" s="1"/>
      <c r="AM317" s="1" t="s">
        <v>1803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1048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1049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1050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1021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1023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1051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1052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1053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1054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1046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1055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1056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1057</v>
      </c>
      <c r="H324" s="6"/>
      <c r="I324" s="6"/>
      <c r="J324" s="6">
        <v>30</v>
      </c>
      <c r="K324" s="21"/>
      <c r="L324" s="21" t="s">
        <v>1058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1059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1060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1044</v>
      </c>
      <c r="H326" s="4"/>
      <c r="I326" s="6" t="s">
        <v>942</v>
      </c>
      <c r="J326" s="4">
        <v>59</v>
      </c>
      <c r="K326" s="5">
        <v>26</v>
      </c>
      <c r="L326" s="5" t="s">
        <v>1058</v>
      </c>
      <c r="M326" s="4" t="s">
        <v>1061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1035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1036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1832</v>
      </c>
      <c r="AK327" s="65">
        <v>0</v>
      </c>
      <c r="AL327" s="1"/>
      <c r="AM327" s="1" t="s">
        <v>1803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1062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1019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1063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1019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1064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1065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1066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1067</v>
      </c>
      <c r="H331" s="6"/>
      <c r="I331" s="6"/>
      <c r="J331" s="6">
        <v>30</v>
      </c>
      <c r="K331" s="21"/>
      <c r="L331" s="21" t="s">
        <v>1058</v>
      </c>
      <c r="M331" s="6" t="s">
        <v>1068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1069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1070</v>
      </c>
      <c r="H332" s="6"/>
      <c r="I332" s="6"/>
      <c r="J332" s="6">
        <v>30</v>
      </c>
      <c r="K332" s="21"/>
      <c r="L332" s="21" t="s">
        <v>1065</v>
      </c>
      <c r="M332" s="6" t="s">
        <v>1071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1072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1019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1073</v>
      </c>
      <c r="B334" s="2" t="s">
        <v>1014</v>
      </c>
      <c r="C334" s="21">
        <v>1.5</v>
      </c>
      <c r="D334" s="23">
        <v>1200</v>
      </c>
      <c r="E334" s="23"/>
      <c r="F334" s="28"/>
      <c r="G334" s="3" t="s">
        <v>1074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1038</v>
      </c>
      <c r="N334" s="6" t="s">
        <v>1075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1076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1077</v>
      </c>
      <c r="H335" s="4"/>
      <c r="I335" s="6"/>
      <c r="J335" s="4">
        <v>63</v>
      </c>
      <c r="K335" s="5"/>
      <c r="L335" s="5" t="s">
        <v>191</v>
      </c>
      <c r="M335" s="4" t="s">
        <v>1038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1078</v>
      </c>
      <c r="B337" s="2" t="s">
        <v>1014</v>
      </c>
      <c r="C337" s="21">
        <v>1.5</v>
      </c>
      <c r="D337" s="23">
        <v>1030</v>
      </c>
      <c r="E337" s="23"/>
      <c r="F337" s="28"/>
      <c r="G337" s="3" t="s">
        <v>1074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1038</v>
      </c>
      <c r="N337" s="6" t="s">
        <v>1075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1079</v>
      </c>
      <c r="H338" s="6"/>
      <c r="I338" s="6"/>
      <c r="J338" s="6">
        <v>30</v>
      </c>
      <c r="K338" s="21"/>
      <c r="L338" s="21" t="s">
        <v>1065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1080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1081</v>
      </c>
      <c r="H339" s="6"/>
      <c r="I339" s="6"/>
      <c r="J339" s="6">
        <v>30</v>
      </c>
      <c r="K339" s="21"/>
      <c r="L339" s="21" t="s">
        <v>1082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1083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1084</v>
      </c>
      <c r="H340" s="6"/>
      <c r="I340" s="6"/>
      <c r="J340" s="6">
        <v>30</v>
      </c>
      <c r="K340" s="21"/>
      <c r="L340" s="21" t="s">
        <v>1058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1085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1086</v>
      </c>
      <c r="H341" s="4"/>
      <c r="I341" s="4"/>
      <c r="J341" s="4">
        <v>30</v>
      </c>
      <c r="K341" s="5"/>
      <c r="L341" s="5" t="s">
        <v>1058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1087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1058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1088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1044</v>
      </c>
      <c r="H343" s="4"/>
      <c r="I343" s="6" t="s">
        <v>942</v>
      </c>
      <c r="J343" s="4">
        <v>59</v>
      </c>
      <c r="K343" s="5">
        <v>26</v>
      </c>
      <c r="L343" s="5" t="s">
        <v>1058</v>
      </c>
      <c r="M343" s="4" t="s">
        <v>1061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1089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1090</v>
      </c>
      <c r="H344" s="6"/>
      <c r="I344" s="6"/>
      <c r="J344" s="6">
        <v>30</v>
      </c>
      <c r="K344" s="21"/>
      <c r="L344" s="21" t="s">
        <v>1058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1091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1021</v>
      </c>
      <c r="H345" s="4"/>
      <c r="I345" s="4" t="s">
        <v>942</v>
      </c>
      <c r="J345" s="4">
        <v>59</v>
      </c>
      <c r="K345" s="5"/>
      <c r="L345" s="5" t="s">
        <v>1058</v>
      </c>
      <c r="M345" s="4" t="s">
        <v>1092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1021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1093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1094</v>
      </c>
      <c r="H347" s="4"/>
      <c r="I347" s="4"/>
      <c r="J347" s="4"/>
      <c r="K347" s="5"/>
      <c r="L347" s="5" t="s">
        <v>1058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1095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1019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1096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1079</v>
      </c>
      <c r="H349" s="4"/>
      <c r="I349" s="6"/>
      <c r="J349" s="4">
        <v>30</v>
      </c>
      <c r="K349" s="5"/>
      <c r="L349" s="5" t="s">
        <v>1058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1097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1086</v>
      </c>
      <c r="H350" s="4"/>
      <c r="I350" s="6"/>
      <c r="J350" s="4">
        <v>30</v>
      </c>
      <c r="K350" s="5"/>
      <c r="L350" s="5" t="s">
        <v>1058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1098</v>
      </c>
      <c r="B351" s="2" t="s">
        <v>1014</v>
      </c>
      <c r="C351" s="21">
        <v>1.5</v>
      </c>
      <c r="D351" s="23">
        <v>1030</v>
      </c>
      <c r="E351" s="23"/>
      <c r="F351" s="28"/>
      <c r="G351" s="3" t="s">
        <v>1074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1038</v>
      </c>
      <c r="N351" s="6" t="s">
        <v>1075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1099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1100</v>
      </c>
      <c r="H352" s="4"/>
      <c r="I352" s="6"/>
      <c r="J352" s="4">
        <v>30</v>
      </c>
      <c r="K352" s="5"/>
      <c r="L352" s="5" t="s">
        <v>1058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1021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1101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1100</v>
      </c>
      <c r="H354" s="4"/>
      <c r="I354" s="4"/>
      <c r="J354" s="4">
        <v>30</v>
      </c>
      <c r="K354" s="5"/>
      <c r="L354" s="5" t="s">
        <v>1058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1102</v>
      </c>
      <c r="B355" s="2" t="s">
        <v>1014</v>
      </c>
      <c r="C355" s="21">
        <v>1.5</v>
      </c>
      <c r="D355" s="23">
        <v>1200</v>
      </c>
      <c r="E355" s="23"/>
      <c r="F355" s="28"/>
      <c r="G355" s="3" t="s">
        <v>1074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1038</v>
      </c>
      <c r="N355" s="6" t="s">
        <v>1075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1086</v>
      </c>
      <c r="H356" s="6"/>
      <c r="I356" s="6"/>
      <c r="J356" s="6">
        <v>30</v>
      </c>
      <c r="K356" s="21"/>
      <c r="L356" s="21" t="s">
        <v>1058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1103</v>
      </c>
      <c r="B357" s="2" t="s">
        <v>1014</v>
      </c>
      <c r="C357" s="21">
        <v>1.5</v>
      </c>
      <c r="D357" s="23">
        <v>490</v>
      </c>
      <c r="E357" s="23"/>
      <c r="F357" s="28"/>
      <c r="G357" s="3" t="s">
        <v>1104</v>
      </c>
      <c r="H357" s="1"/>
      <c r="I357" s="6"/>
      <c r="J357" s="4">
        <v>63</v>
      </c>
      <c r="K357" s="5"/>
      <c r="L357" s="5" t="s">
        <v>1105</v>
      </c>
      <c r="M357" s="1" t="s">
        <v>1106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1107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1058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1108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1019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1109</v>
      </c>
      <c r="B360" s="2" t="s">
        <v>1014</v>
      </c>
      <c r="C360" s="21">
        <v>1.5</v>
      </c>
      <c r="D360" s="23">
        <v>1030</v>
      </c>
      <c r="E360" s="23"/>
      <c r="F360" s="28"/>
      <c r="G360" s="3" t="s">
        <v>1074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1038</v>
      </c>
      <c r="N360" s="6" t="s">
        <v>1075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1086</v>
      </c>
      <c r="H361" s="6"/>
      <c r="I361" s="6"/>
      <c r="J361" s="6">
        <v>30</v>
      </c>
      <c r="K361" s="21"/>
      <c r="L361" s="21" t="s">
        <v>1058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1110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1031</v>
      </c>
      <c r="H362" s="6"/>
      <c r="I362" s="6"/>
      <c r="J362" s="6">
        <v>30</v>
      </c>
      <c r="K362" s="21"/>
      <c r="L362" s="21" t="s">
        <v>1058</v>
      </c>
      <c r="M362" s="6" t="s">
        <v>1111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1112</v>
      </c>
      <c r="B363" s="2" t="s">
        <v>1014</v>
      </c>
      <c r="C363" s="21">
        <v>1.5</v>
      </c>
      <c r="D363" s="23">
        <v>755</v>
      </c>
      <c r="E363" s="23"/>
      <c r="F363" s="28"/>
      <c r="G363" s="3" t="s">
        <v>1104</v>
      </c>
      <c r="H363" s="6"/>
      <c r="I363" s="6"/>
      <c r="J363" s="6">
        <v>63</v>
      </c>
      <c r="K363" s="21"/>
      <c r="L363" s="21" t="s">
        <v>1105</v>
      </c>
      <c r="M363" s="6" t="s">
        <v>1106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1058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1113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1086</v>
      </c>
      <c r="H365" s="6"/>
      <c r="I365" s="6"/>
      <c r="J365" s="6">
        <v>30</v>
      </c>
      <c r="K365" s="21"/>
      <c r="L365" s="21" t="s">
        <v>1058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1114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1115</v>
      </c>
      <c r="H366" s="6"/>
      <c r="I366" s="6"/>
      <c r="J366" s="6">
        <v>30</v>
      </c>
      <c r="K366" s="21"/>
      <c r="L366" s="21" t="s">
        <v>1058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1116</v>
      </c>
      <c r="H367" s="6"/>
      <c r="I367" s="6"/>
      <c r="J367" s="6">
        <v>30</v>
      </c>
      <c r="K367" s="21"/>
      <c r="L367" s="21" t="s">
        <v>1058</v>
      </c>
      <c r="M367" s="6" t="s">
        <v>1071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1070</v>
      </c>
      <c r="H368" s="6"/>
      <c r="I368" s="6"/>
      <c r="J368" s="6">
        <v>30</v>
      </c>
      <c r="K368" s="21"/>
      <c r="L368" s="21" t="s">
        <v>1082</v>
      </c>
      <c r="M368" s="6" t="s">
        <v>1071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1117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1115</v>
      </c>
      <c r="H369" s="4"/>
      <c r="I369" s="6"/>
      <c r="J369" s="4">
        <v>30</v>
      </c>
      <c r="K369" s="5"/>
      <c r="L369" s="5" t="s">
        <v>1118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1119</v>
      </c>
      <c r="B370" s="2" t="s">
        <v>1014</v>
      </c>
      <c r="C370" s="21">
        <v>1.06</v>
      </c>
      <c r="D370" s="23" t="s">
        <v>1120</v>
      </c>
      <c r="E370" s="23"/>
      <c r="F370" s="28"/>
      <c r="G370" s="3" t="s">
        <v>1121</v>
      </c>
      <c r="H370" s="6"/>
      <c r="I370" s="6"/>
      <c r="J370" s="6">
        <v>30</v>
      </c>
      <c r="K370" s="21"/>
      <c r="L370" s="21" t="s">
        <v>1082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1122</v>
      </c>
      <c r="B371" s="2" t="s">
        <v>1014</v>
      </c>
      <c r="C371" s="21">
        <v>1.9</v>
      </c>
      <c r="D371" s="6">
        <v>1200</v>
      </c>
      <c r="E371" s="23"/>
      <c r="F371" s="28"/>
      <c r="G371" s="3" t="s">
        <v>1123</v>
      </c>
      <c r="H371" s="6"/>
      <c r="I371" s="6"/>
      <c r="J371" s="6">
        <v>30</v>
      </c>
      <c r="K371" s="21"/>
      <c r="L371" s="21" t="s">
        <v>1082</v>
      </c>
      <c r="M371" s="6" t="s">
        <v>1106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1124</v>
      </c>
      <c r="B372" s="2" t="s">
        <v>1014</v>
      </c>
      <c r="C372" s="21">
        <v>1.5</v>
      </c>
      <c r="D372" s="23">
        <v>490</v>
      </c>
      <c r="E372" s="23"/>
      <c r="F372" s="28"/>
      <c r="G372" s="3" t="s">
        <v>1104</v>
      </c>
      <c r="H372" s="4"/>
      <c r="I372" s="4"/>
      <c r="J372" s="4">
        <v>63</v>
      </c>
      <c r="K372" s="5"/>
      <c r="L372" s="5" t="s">
        <v>1105</v>
      </c>
      <c r="M372" s="4" t="s">
        <v>1106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1125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1126</v>
      </c>
      <c r="H373" s="4"/>
      <c r="I373" s="6"/>
      <c r="J373" s="4">
        <v>30</v>
      </c>
      <c r="K373" s="5"/>
      <c r="L373" s="5" t="s">
        <v>1082</v>
      </c>
      <c r="M373" s="4" t="s">
        <v>1038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1127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1115</v>
      </c>
      <c r="H374" s="4"/>
      <c r="I374" s="6"/>
      <c r="J374" s="4">
        <v>30</v>
      </c>
      <c r="K374" s="5"/>
      <c r="L374" s="5" t="s">
        <v>1058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1128</v>
      </c>
      <c r="B375" s="2" t="s">
        <v>1014</v>
      </c>
      <c r="C375" s="21">
        <v>1.5</v>
      </c>
      <c r="D375" s="23">
        <v>490</v>
      </c>
      <c r="E375" s="23"/>
      <c r="F375" s="28"/>
      <c r="G375" s="3" t="s">
        <v>1104</v>
      </c>
      <c r="H375" s="4"/>
      <c r="I375" s="6"/>
      <c r="J375" s="4">
        <v>63</v>
      </c>
      <c r="K375" s="5"/>
      <c r="L375" s="5" t="s">
        <v>1105</v>
      </c>
      <c r="M375" s="4" t="s">
        <v>1106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1129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1090</v>
      </c>
      <c r="H376" s="6"/>
      <c r="I376" s="6"/>
      <c r="J376" s="6">
        <v>30</v>
      </c>
      <c r="K376" s="5"/>
      <c r="L376" s="5" t="s">
        <v>1082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1130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1031</v>
      </c>
      <c r="H377" s="4"/>
      <c r="I377" s="4"/>
      <c r="J377" s="4">
        <v>30</v>
      </c>
      <c r="K377" s="5"/>
      <c r="L377" s="5" t="s">
        <v>1082</v>
      </c>
      <c r="M377" s="4" t="s">
        <v>1111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1131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1132</v>
      </c>
      <c r="H378" s="6"/>
      <c r="I378" s="6"/>
      <c r="J378" s="6">
        <v>30</v>
      </c>
      <c r="K378" s="21"/>
      <c r="L378" s="21" t="s">
        <v>1082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1133</v>
      </c>
      <c r="B379" s="2" t="s">
        <v>1014</v>
      </c>
      <c r="C379" s="21">
        <v>1.5</v>
      </c>
      <c r="D379" s="23">
        <v>1200</v>
      </c>
      <c r="E379" s="23"/>
      <c r="F379" s="28"/>
      <c r="G379" s="3" t="s">
        <v>1134</v>
      </c>
      <c r="H379" s="6"/>
      <c r="I379" s="6"/>
      <c r="J379" s="6">
        <v>30</v>
      </c>
      <c r="K379" s="21"/>
      <c r="L379" s="21" t="s">
        <v>1118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1135</v>
      </c>
      <c r="B380" s="2" t="s">
        <v>1014</v>
      </c>
      <c r="C380" s="21">
        <v>1.5</v>
      </c>
      <c r="D380" s="6">
        <v>1100</v>
      </c>
      <c r="E380" s="23"/>
      <c r="F380" s="28"/>
      <c r="G380" s="3" t="s">
        <v>1136</v>
      </c>
      <c r="H380" s="4"/>
      <c r="I380" s="6"/>
      <c r="J380" s="4">
        <v>30</v>
      </c>
      <c r="K380" s="5"/>
      <c r="L380" s="5" t="s">
        <v>1082</v>
      </c>
      <c r="M380" s="4" t="s">
        <v>1137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1138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1028</v>
      </c>
      <c r="H381" s="6"/>
      <c r="I381" s="6"/>
      <c r="J381" s="6">
        <v>30</v>
      </c>
      <c r="K381" s="21"/>
      <c r="L381" s="21" t="s">
        <v>1082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1139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1140</v>
      </c>
      <c r="H382" s="6"/>
      <c r="I382" s="6"/>
      <c r="J382" s="6">
        <v>31</v>
      </c>
      <c r="K382" s="21"/>
      <c r="L382" s="21" t="s">
        <v>1082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1141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1090</v>
      </c>
      <c r="H383" s="6"/>
      <c r="I383" s="6"/>
      <c r="J383" s="6">
        <v>30</v>
      </c>
      <c r="K383" s="21"/>
      <c r="L383" s="21" t="s">
        <v>1082</v>
      </c>
      <c r="M383" s="6" t="s">
        <v>1111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1086</v>
      </c>
      <c r="H384" s="6"/>
      <c r="I384" s="6"/>
      <c r="J384" s="6">
        <v>30</v>
      </c>
      <c r="K384" s="21"/>
      <c r="L384" s="21" t="s">
        <v>1058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1142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1021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1143</v>
      </c>
      <c r="H386" s="6"/>
      <c r="I386" s="6"/>
      <c r="J386" s="6">
        <v>30</v>
      </c>
      <c r="K386" s="21"/>
      <c r="L386" s="21" t="s">
        <v>1082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1144</v>
      </c>
      <c r="H387" s="6"/>
      <c r="I387" s="6"/>
      <c r="J387" s="6">
        <v>30</v>
      </c>
      <c r="K387" s="21"/>
      <c r="L387" s="21" t="s">
        <v>1058</v>
      </c>
      <c r="M387" s="4" t="s">
        <v>1145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1146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1115</v>
      </c>
      <c r="H388" s="6"/>
      <c r="I388" s="6"/>
      <c r="J388" s="6">
        <v>30</v>
      </c>
      <c r="K388" s="21"/>
      <c r="L388" s="21" t="s">
        <v>1082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1147</v>
      </c>
      <c r="B389" s="2" t="s">
        <v>1014</v>
      </c>
      <c r="C389" s="21">
        <v>1.5</v>
      </c>
      <c r="D389" s="23">
        <v>1030</v>
      </c>
      <c r="E389" s="23"/>
      <c r="F389" s="28"/>
      <c r="G389" s="3" t="s">
        <v>1074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1038</v>
      </c>
      <c r="N389" s="6" t="s">
        <v>1075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1148</v>
      </c>
      <c r="B390" s="2" t="s">
        <v>1014</v>
      </c>
      <c r="C390" s="21">
        <v>1.5</v>
      </c>
      <c r="D390" s="23">
        <v>1200</v>
      </c>
      <c r="E390" s="23"/>
      <c r="F390" s="28"/>
      <c r="G390" s="3" t="s">
        <v>1074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1038</v>
      </c>
      <c r="N390" s="6" t="s">
        <v>1075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1149</v>
      </c>
      <c r="B391" s="2" t="s">
        <v>1014</v>
      </c>
      <c r="C391" s="21">
        <v>1.5</v>
      </c>
      <c r="D391" s="23">
        <v>755</v>
      </c>
      <c r="E391" s="23"/>
      <c r="F391" s="28"/>
      <c r="G391" s="3" t="s">
        <v>1104</v>
      </c>
      <c r="H391" s="4"/>
      <c r="I391" s="4"/>
      <c r="J391" s="4">
        <v>63</v>
      </c>
      <c r="K391" s="5"/>
      <c r="L391" s="5" t="s">
        <v>1105</v>
      </c>
      <c r="M391" s="4" t="s">
        <v>1106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1150</v>
      </c>
      <c r="B392" s="2" t="s">
        <v>1014</v>
      </c>
      <c r="C392" s="21">
        <v>1.2</v>
      </c>
      <c r="D392" s="6">
        <v>1200</v>
      </c>
      <c r="E392" s="23"/>
      <c r="F392" s="28"/>
      <c r="G392" s="3" t="s">
        <v>1151</v>
      </c>
      <c r="H392" s="6"/>
      <c r="I392" s="6"/>
      <c r="J392" s="6">
        <v>30</v>
      </c>
      <c r="K392" s="21"/>
      <c r="L392" s="21" t="s">
        <v>1082</v>
      </c>
      <c r="M392" s="6" t="s">
        <v>1106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1152</v>
      </c>
      <c r="B393" s="2" t="s">
        <v>1014</v>
      </c>
      <c r="C393" s="21">
        <v>1.5</v>
      </c>
      <c r="D393" s="23">
        <v>1200</v>
      </c>
      <c r="E393" s="23"/>
      <c r="F393" s="28"/>
      <c r="G393" s="3" t="s">
        <v>1074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1038</v>
      </c>
      <c r="N393" s="6" t="s">
        <v>1075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1014</v>
      </c>
      <c r="C394" s="21">
        <v>1.5</v>
      </c>
      <c r="D394" s="6">
        <v>1200</v>
      </c>
      <c r="E394" s="23"/>
      <c r="F394" s="28"/>
      <c r="G394" s="3" t="s">
        <v>1153</v>
      </c>
      <c r="H394" s="4"/>
      <c r="I394" s="4"/>
      <c r="J394" s="4">
        <v>30</v>
      </c>
      <c r="K394" s="5"/>
      <c r="L394" s="5" t="s">
        <v>1082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1154</v>
      </c>
      <c r="B395" s="2" t="s">
        <v>1014</v>
      </c>
      <c r="C395" s="21">
        <v>1.5</v>
      </c>
      <c r="D395" s="23">
        <v>1200</v>
      </c>
      <c r="E395" s="23"/>
      <c r="F395" s="28"/>
      <c r="G395" s="3" t="s">
        <v>1074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1038</v>
      </c>
      <c r="N395" s="6" t="s">
        <v>1075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1014</v>
      </c>
      <c r="C396" s="21">
        <v>1.06</v>
      </c>
      <c r="D396" s="6">
        <v>1000</v>
      </c>
      <c r="E396" s="23"/>
      <c r="F396" s="28"/>
      <c r="G396" s="3" t="s">
        <v>1151</v>
      </c>
      <c r="H396" s="6"/>
      <c r="I396" s="6"/>
      <c r="J396" s="6">
        <v>30</v>
      </c>
      <c r="K396" s="21"/>
      <c r="L396" s="21" t="s">
        <v>1082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1155</v>
      </c>
      <c r="B397" s="2" t="s">
        <v>1014</v>
      </c>
      <c r="C397" s="21">
        <v>1.5</v>
      </c>
      <c r="D397" s="23">
        <v>490</v>
      </c>
      <c r="E397" s="23"/>
      <c r="F397" s="28"/>
      <c r="G397" s="3" t="s">
        <v>1104</v>
      </c>
      <c r="H397" s="4"/>
      <c r="I397" s="4"/>
      <c r="J397" s="4">
        <v>63</v>
      </c>
      <c r="K397" s="5"/>
      <c r="L397" s="5" t="s">
        <v>1105</v>
      </c>
      <c r="M397" s="4" t="s">
        <v>1106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1156</v>
      </c>
      <c r="B398" s="2" t="s">
        <v>1014</v>
      </c>
      <c r="C398" s="21">
        <v>1.2</v>
      </c>
      <c r="D398" s="6">
        <v>1150</v>
      </c>
      <c r="E398" s="23"/>
      <c r="F398" s="28"/>
      <c r="G398" s="3" t="s">
        <v>1157</v>
      </c>
      <c r="H398" s="6"/>
      <c r="I398" s="6"/>
      <c r="J398" s="6">
        <v>30</v>
      </c>
      <c r="K398" s="21"/>
      <c r="L398" s="21" t="s">
        <v>1082</v>
      </c>
      <c r="M398" s="6" t="s">
        <v>1106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1158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1082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1159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1086</v>
      </c>
      <c r="H400" s="4"/>
      <c r="I400" s="4"/>
      <c r="J400" s="4">
        <v>30</v>
      </c>
      <c r="K400" s="5"/>
      <c r="L400" s="5" t="s">
        <v>1082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1160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1028</v>
      </c>
      <c r="H401" s="6"/>
      <c r="I401" s="6"/>
      <c r="J401" s="6">
        <v>30</v>
      </c>
      <c r="K401" s="21"/>
      <c r="L401" s="21" t="s">
        <v>1082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1161</v>
      </c>
      <c r="B402" s="2" t="s">
        <v>1014</v>
      </c>
      <c r="C402" s="21">
        <v>0.9</v>
      </c>
      <c r="D402" s="23">
        <v>1200</v>
      </c>
      <c r="E402" s="23"/>
      <c r="F402" s="28"/>
      <c r="G402" s="3" t="s">
        <v>1157</v>
      </c>
      <c r="H402" s="4"/>
      <c r="I402" s="4"/>
      <c r="J402" s="4">
        <v>30</v>
      </c>
      <c r="K402" s="5"/>
      <c r="L402" s="5" t="s">
        <v>1082</v>
      </c>
      <c r="M402" s="4" t="s">
        <v>1106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1162</v>
      </c>
      <c r="B403" s="2" t="s">
        <v>1163</v>
      </c>
      <c r="C403" s="21">
        <v>1.5</v>
      </c>
      <c r="D403" s="6">
        <v>1000</v>
      </c>
      <c r="E403" s="23"/>
      <c r="F403" s="28"/>
      <c r="G403" s="3" t="s">
        <v>1164</v>
      </c>
      <c r="H403" s="6"/>
      <c r="I403" s="6"/>
      <c r="J403" s="6">
        <v>30</v>
      </c>
      <c r="K403" s="21"/>
      <c r="L403" s="21" t="s">
        <v>1082</v>
      </c>
      <c r="M403" s="6" t="s">
        <v>1106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1165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1137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1166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1049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1808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1167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1031</v>
      </c>
      <c r="H406" s="4"/>
      <c r="I406" s="4" t="s">
        <v>942</v>
      </c>
      <c r="J406" s="4">
        <v>59</v>
      </c>
      <c r="K406" s="5"/>
      <c r="L406" s="5" t="s">
        <v>1082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1168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1169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1170</v>
      </c>
      <c r="B408" s="2" t="s">
        <v>1014</v>
      </c>
      <c r="C408" s="21">
        <v>0.6</v>
      </c>
      <c r="D408" s="23">
        <v>800</v>
      </c>
      <c r="E408" s="23"/>
      <c r="F408" s="28"/>
      <c r="G408" s="3" t="s">
        <v>1157</v>
      </c>
      <c r="H408" s="4"/>
      <c r="I408" s="6"/>
      <c r="J408" s="4">
        <v>30</v>
      </c>
      <c r="K408" s="5"/>
      <c r="L408" s="5" t="s">
        <v>1082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1171</v>
      </c>
      <c r="B409" s="2" t="s">
        <v>1014</v>
      </c>
      <c r="C409" s="21">
        <v>1</v>
      </c>
      <c r="D409" s="23">
        <v>215</v>
      </c>
      <c r="E409" s="23"/>
      <c r="F409" s="28"/>
      <c r="G409" s="3" t="s">
        <v>1151</v>
      </c>
      <c r="H409" s="6"/>
      <c r="I409" s="6"/>
      <c r="J409" s="6">
        <v>30</v>
      </c>
      <c r="K409" s="21"/>
      <c r="L409" s="21" t="s">
        <v>1082</v>
      </c>
      <c r="M409" s="6" t="s">
        <v>1172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1173</v>
      </c>
      <c r="B410" s="2" t="s">
        <v>1014</v>
      </c>
      <c r="C410" s="21">
        <v>1</v>
      </c>
      <c r="D410" s="23">
        <v>228</v>
      </c>
      <c r="E410" s="23"/>
      <c r="F410" s="28"/>
      <c r="G410" s="3" t="s">
        <v>1151</v>
      </c>
      <c r="H410" s="6"/>
      <c r="I410" s="6"/>
      <c r="J410" s="6">
        <v>30</v>
      </c>
      <c r="K410" s="21"/>
      <c r="L410" s="21" t="s">
        <v>1082</v>
      </c>
      <c r="M410" s="6" t="s">
        <v>1172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1014</v>
      </c>
      <c r="C411" s="21">
        <v>1</v>
      </c>
      <c r="D411" s="23">
        <v>1200</v>
      </c>
      <c r="E411" s="23"/>
      <c r="F411" s="28"/>
      <c r="G411" s="3" t="s">
        <v>1174</v>
      </c>
      <c r="H411" s="4"/>
      <c r="I411" s="6"/>
      <c r="J411" s="4">
        <v>30</v>
      </c>
      <c r="K411" s="5"/>
      <c r="L411" s="5" t="s">
        <v>1082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1175</v>
      </c>
      <c r="B412" s="2" t="s">
        <v>1014</v>
      </c>
      <c r="C412" s="21">
        <v>1.2</v>
      </c>
      <c r="D412" s="6">
        <v>1200</v>
      </c>
      <c r="E412" s="23"/>
      <c r="F412" s="28"/>
      <c r="G412" s="3" t="s">
        <v>1157</v>
      </c>
      <c r="H412" s="6"/>
      <c r="I412" s="6"/>
      <c r="J412" s="6">
        <v>30</v>
      </c>
      <c r="K412" s="21"/>
      <c r="L412" s="21" t="s">
        <v>1082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1175</v>
      </c>
      <c r="B413" s="2" t="s">
        <v>1014</v>
      </c>
      <c r="C413" s="21">
        <v>1.2</v>
      </c>
      <c r="D413" s="23">
        <v>1200</v>
      </c>
      <c r="E413" s="23"/>
      <c r="F413" s="28"/>
      <c r="G413" s="3" t="s">
        <v>1157</v>
      </c>
      <c r="H413" s="6"/>
      <c r="I413" s="6"/>
      <c r="J413" s="6">
        <v>30</v>
      </c>
      <c r="K413" s="21"/>
      <c r="L413" s="21" t="s">
        <v>1082</v>
      </c>
      <c r="M413" s="6" t="s">
        <v>1176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1177</v>
      </c>
      <c r="B414" s="2" t="s">
        <v>1014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1082</v>
      </c>
      <c r="M414" s="6" t="s">
        <v>1071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1178</v>
      </c>
      <c r="B415" s="2" t="s">
        <v>1014</v>
      </c>
      <c r="C415" s="21">
        <v>1.5</v>
      </c>
      <c r="D415" s="23"/>
      <c r="E415" s="23"/>
      <c r="F415" s="77"/>
      <c r="G415" s="3" t="s">
        <v>1074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1038</v>
      </c>
      <c r="N415" s="6" t="s">
        <v>1075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1179</v>
      </c>
      <c r="B416" s="2" t="s">
        <v>1014</v>
      </c>
      <c r="C416" s="21">
        <v>1.5</v>
      </c>
      <c r="D416" s="23">
        <v>1200</v>
      </c>
      <c r="E416" s="23"/>
      <c r="F416" s="28"/>
      <c r="G416" s="3" t="s">
        <v>1074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1038</v>
      </c>
      <c r="N416" s="6" t="s">
        <v>1075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1180</v>
      </c>
      <c r="B417" s="2" t="s">
        <v>1014</v>
      </c>
      <c r="C417" s="21">
        <v>1.5</v>
      </c>
      <c r="D417" s="23">
        <v>1200</v>
      </c>
      <c r="E417" s="23"/>
      <c r="F417" s="28"/>
      <c r="G417" s="3" t="s">
        <v>1074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1038</v>
      </c>
      <c r="N417" s="6" t="s">
        <v>1075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1181</v>
      </c>
      <c r="B418" s="2" t="s">
        <v>1014</v>
      </c>
      <c r="C418" s="21">
        <v>2</v>
      </c>
      <c r="D418" s="23"/>
      <c r="E418" s="23"/>
      <c r="F418" s="77"/>
      <c r="G418" s="3" t="s">
        <v>1074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1038</v>
      </c>
      <c r="N418" s="6" t="s">
        <v>1075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1182</v>
      </c>
      <c r="B419" s="2" t="s">
        <v>1014</v>
      </c>
      <c r="C419" s="21">
        <v>1.5</v>
      </c>
      <c r="D419" s="23">
        <v>1200</v>
      </c>
      <c r="E419" s="23"/>
      <c r="F419" s="28"/>
      <c r="G419" s="3" t="s">
        <v>1074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1038</v>
      </c>
      <c r="N419" s="6" t="s">
        <v>1075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1183</v>
      </c>
      <c r="B420" s="2" t="s">
        <v>1014</v>
      </c>
      <c r="C420" s="21">
        <v>1.5</v>
      </c>
      <c r="D420" s="6">
        <v>1200</v>
      </c>
      <c r="E420" s="23"/>
      <c r="F420" s="28"/>
      <c r="G420" s="3" t="s">
        <v>1157</v>
      </c>
      <c r="H420" s="6"/>
      <c r="I420" s="6"/>
      <c r="J420" s="6">
        <v>30</v>
      </c>
      <c r="K420" s="21"/>
      <c r="L420" s="21" t="s">
        <v>1082</v>
      </c>
      <c r="M420" s="6" t="s">
        <v>1038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1184</v>
      </c>
      <c r="B421" s="2" t="s">
        <v>1014</v>
      </c>
      <c r="C421" s="21">
        <v>1.5</v>
      </c>
      <c r="D421" s="6">
        <v>1150</v>
      </c>
      <c r="E421" s="23"/>
      <c r="F421" s="28"/>
      <c r="G421" s="3" t="s">
        <v>1185</v>
      </c>
      <c r="H421" s="6"/>
      <c r="I421" s="6"/>
      <c r="J421" s="6">
        <v>30</v>
      </c>
      <c r="K421" s="21"/>
      <c r="L421" s="21" t="s">
        <v>1082</v>
      </c>
      <c r="M421" s="6" t="s">
        <v>1106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1186</v>
      </c>
      <c r="B422" s="2" t="s">
        <v>1014</v>
      </c>
      <c r="C422" s="21">
        <v>1.5</v>
      </c>
      <c r="D422" s="6">
        <v>1200</v>
      </c>
      <c r="E422" s="23"/>
      <c r="F422" s="28"/>
      <c r="G422" s="3" t="s">
        <v>1187</v>
      </c>
      <c r="H422" s="6"/>
      <c r="I422" s="6"/>
      <c r="J422" s="6">
        <v>30</v>
      </c>
      <c r="K422" s="21"/>
      <c r="L422" s="21" t="s">
        <v>1082</v>
      </c>
      <c r="M422" s="6" t="s">
        <v>1038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1188</v>
      </c>
      <c r="B423" s="2" t="s">
        <v>1014</v>
      </c>
      <c r="C423" s="21">
        <v>1.5</v>
      </c>
      <c r="D423" s="6">
        <v>1300</v>
      </c>
      <c r="E423" s="23"/>
      <c r="F423" s="28"/>
      <c r="G423" s="3" t="s">
        <v>1116</v>
      </c>
      <c r="H423" s="4"/>
      <c r="I423" s="6"/>
      <c r="J423" s="4">
        <v>30</v>
      </c>
      <c r="K423" s="5"/>
      <c r="L423" s="5" t="s">
        <v>1082</v>
      </c>
      <c r="M423" s="4" t="s">
        <v>1172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1189</v>
      </c>
      <c r="B424" s="2" t="s">
        <v>1163</v>
      </c>
      <c r="C424" s="21">
        <v>1.5</v>
      </c>
      <c r="D424" s="6">
        <v>1300</v>
      </c>
      <c r="E424" s="23"/>
      <c r="F424" s="28"/>
      <c r="G424" s="3" t="s">
        <v>1164</v>
      </c>
      <c r="H424" s="4"/>
      <c r="I424" s="6"/>
      <c r="J424" s="4">
        <v>30</v>
      </c>
      <c r="K424" s="5"/>
      <c r="L424" s="5" t="s">
        <v>1082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1190</v>
      </c>
      <c r="B425" s="2" t="s">
        <v>1014</v>
      </c>
      <c r="C425" s="21">
        <v>1.9</v>
      </c>
      <c r="D425" s="6">
        <v>1100</v>
      </c>
      <c r="E425" s="23"/>
      <c r="F425" s="28"/>
      <c r="G425" s="3" t="s">
        <v>1191</v>
      </c>
      <c r="H425" s="6"/>
      <c r="I425" s="6"/>
      <c r="J425" s="6">
        <v>30</v>
      </c>
      <c r="K425" s="21"/>
      <c r="L425" s="21" t="s">
        <v>1082</v>
      </c>
      <c r="M425" s="6" t="s">
        <v>1038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1192</v>
      </c>
      <c r="B426" s="2" t="s">
        <v>1014</v>
      </c>
      <c r="C426" s="21">
        <v>1.9</v>
      </c>
      <c r="D426" s="6">
        <v>1200</v>
      </c>
      <c r="E426" s="23"/>
      <c r="F426" s="28"/>
      <c r="G426" s="3" t="s">
        <v>1191</v>
      </c>
      <c r="H426" s="6"/>
      <c r="I426" s="6"/>
      <c r="J426" s="6">
        <v>30</v>
      </c>
      <c r="K426" s="21"/>
      <c r="L426" s="21" t="s">
        <v>1082</v>
      </c>
      <c r="M426" s="6" t="s">
        <v>1106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1193</v>
      </c>
      <c r="B427" s="2" t="s">
        <v>1014</v>
      </c>
      <c r="C427" s="21">
        <v>1.9</v>
      </c>
      <c r="D427" s="6">
        <v>1100</v>
      </c>
      <c r="E427" s="23"/>
      <c r="F427" s="28"/>
      <c r="G427" s="3" t="s">
        <v>1191</v>
      </c>
      <c r="H427" s="6"/>
      <c r="I427" s="6"/>
      <c r="J427" s="6">
        <v>30</v>
      </c>
      <c r="K427" s="21"/>
      <c r="L427" s="21" t="s">
        <v>1082</v>
      </c>
      <c r="M427" s="6" t="s">
        <v>1106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1194</v>
      </c>
      <c r="B428" s="2" t="s">
        <v>1014</v>
      </c>
      <c r="C428" s="21">
        <v>1.9</v>
      </c>
      <c r="D428" s="6">
        <v>1100</v>
      </c>
      <c r="E428" s="23"/>
      <c r="F428" s="28"/>
      <c r="G428" s="3" t="s">
        <v>1195</v>
      </c>
      <c r="H428" s="6"/>
      <c r="I428" s="6"/>
      <c r="J428" s="6">
        <v>30</v>
      </c>
      <c r="K428" s="21"/>
      <c r="L428" s="21" t="s">
        <v>1082</v>
      </c>
      <c r="M428" s="4" t="s">
        <v>1106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1196</v>
      </c>
      <c r="B429" s="2" t="s">
        <v>1014</v>
      </c>
      <c r="C429" s="21">
        <v>1.9</v>
      </c>
      <c r="D429" s="23">
        <v>1200</v>
      </c>
      <c r="E429" s="23"/>
      <c r="F429" s="28"/>
      <c r="G429" s="3" t="s">
        <v>1191</v>
      </c>
      <c r="H429" s="6"/>
      <c r="I429" s="6"/>
      <c r="J429" s="6">
        <v>30</v>
      </c>
      <c r="K429" s="21"/>
      <c r="L429" s="21" t="s">
        <v>1082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1197</v>
      </c>
      <c r="B430" s="2" t="s">
        <v>1163</v>
      </c>
      <c r="C430" s="21">
        <v>2</v>
      </c>
      <c r="D430" s="6">
        <v>1050</v>
      </c>
      <c r="E430" s="23"/>
      <c r="F430" s="28"/>
      <c r="G430" s="3" t="s">
        <v>1198</v>
      </c>
      <c r="H430" s="4"/>
      <c r="I430" s="4"/>
      <c r="J430" s="4">
        <v>30</v>
      </c>
      <c r="K430" s="5"/>
      <c r="L430" s="5" t="s">
        <v>1082</v>
      </c>
      <c r="M430" s="4" t="s">
        <v>1106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1199</v>
      </c>
      <c r="B431" s="2" t="s">
        <v>1014</v>
      </c>
      <c r="C431" s="21">
        <v>2</v>
      </c>
      <c r="D431" s="23" t="s">
        <v>1200</v>
      </c>
      <c r="E431" s="23"/>
      <c r="F431" s="28"/>
      <c r="G431" s="3" t="s">
        <v>1201</v>
      </c>
      <c r="H431" s="6"/>
      <c r="I431" s="6"/>
      <c r="J431" s="6">
        <v>30</v>
      </c>
      <c r="K431" s="21"/>
      <c r="L431" s="21" t="s">
        <v>1082</v>
      </c>
      <c r="M431" s="6" t="s">
        <v>1145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1086</v>
      </c>
      <c r="H432" s="4"/>
      <c r="I432" s="4"/>
      <c r="J432" s="4">
        <v>30</v>
      </c>
      <c r="K432" s="5"/>
      <c r="L432" s="5" t="s">
        <v>1082</v>
      </c>
      <c r="M432" s="4" t="s">
        <v>1068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1202</v>
      </c>
      <c r="B433" s="2" t="s">
        <v>1014</v>
      </c>
      <c r="C433" s="21">
        <v>2</v>
      </c>
      <c r="D433" s="6">
        <v>1200</v>
      </c>
      <c r="E433" s="23"/>
      <c r="F433" s="28"/>
      <c r="G433" s="3" t="s">
        <v>1203</v>
      </c>
      <c r="H433" s="4"/>
      <c r="I433" s="4"/>
      <c r="J433" s="4">
        <v>30</v>
      </c>
      <c r="K433" s="5"/>
      <c r="L433" s="5" t="s">
        <v>1082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1204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1090</v>
      </c>
      <c r="H434" s="6"/>
      <c r="I434" s="6"/>
      <c r="J434" s="6">
        <v>30</v>
      </c>
      <c r="K434" s="21"/>
      <c r="L434" s="21" t="s">
        <v>1082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1205</v>
      </c>
      <c r="B435" s="2" t="s">
        <v>1014</v>
      </c>
      <c r="C435" s="21">
        <v>2.25</v>
      </c>
      <c r="D435" s="6">
        <v>1200</v>
      </c>
      <c r="E435" s="23"/>
      <c r="F435" s="28"/>
      <c r="G435" s="3" t="s">
        <v>1206</v>
      </c>
      <c r="H435" s="4"/>
      <c r="I435" s="6"/>
      <c r="J435" s="4">
        <v>30</v>
      </c>
      <c r="K435" s="5"/>
      <c r="L435" s="5" t="s">
        <v>1082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1207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1208</v>
      </c>
      <c r="H436" s="6"/>
      <c r="I436" s="6"/>
      <c r="J436" s="6">
        <v>30</v>
      </c>
      <c r="K436" s="21"/>
      <c r="L436" s="21" t="s">
        <v>1082</v>
      </c>
      <c r="M436" s="6" t="s">
        <v>1071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1209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1144</v>
      </c>
      <c r="H437" s="6"/>
      <c r="I437" s="6"/>
      <c r="J437" s="6">
        <v>30</v>
      </c>
      <c r="K437" s="21"/>
      <c r="L437" s="21" t="s">
        <v>1082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1210</v>
      </c>
      <c r="E438" s="23"/>
      <c r="F438" s="28"/>
      <c r="G438" s="3" t="s">
        <v>1211</v>
      </c>
      <c r="H438" s="6"/>
      <c r="I438" s="6"/>
      <c r="J438" s="6">
        <v>30</v>
      </c>
      <c r="K438" s="21"/>
      <c r="L438" s="21" t="s">
        <v>1082</v>
      </c>
      <c r="M438" s="6" t="s">
        <v>1145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1144</v>
      </c>
      <c r="H439" s="6"/>
      <c r="I439" s="6"/>
      <c r="J439" s="6">
        <v>30</v>
      </c>
      <c r="K439" s="21"/>
      <c r="L439" s="21" t="s">
        <v>1082</v>
      </c>
      <c r="M439" s="6" t="s">
        <v>1106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1212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1086</v>
      </c>
      <c r="H440" s="4"/>
      <c r="I440" s="4"/>
      <c r="J440" s="4">
        <v>30</v>
      </c>
      <c r="K440" s="5"/>
      <c r="L440" s="5" t="s">
        <v>1082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1213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1100</v>
      </c>
      <c r="H441" s="4"/>
      <c r="I441" s="4"/>
      <c r="J441" s="4">
        <v>30</v>
      </c>
      <c r="K441" s="5"/>
      <c r="L441" s="5" t="s">
        <v>1082</v>
      </c>
      <c r="M441" s="4" t="s">
        <v>1137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1214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1215</v>
      </c>
      <c r="H442" s="6"/>
      <c r="I442" s="6"/>
      <c r="J442" s="6">
        <v>30</v>
      </c>
      <c r="K442" s="21"/>
      <c r="L442" s="21" t="s">
        <v>1082</v>
      </c>
      <c r="M442" s="6" t="s">
        <v>1071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1216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1151</v>
      </c>
      <c r="H443" s="6"/>
      <c r="I443" s="6"/>
      <c r="J443" s="6">
        <v>30</v>
      </c>
      <c r="K443" s="21"/>
      <c r="L443" s="21" t="s">
        <v>1082</v>
      </c>
      <c r="M443" s="6" t="s">
        <v>1038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1217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1218</v>
      </c>
      <c r="H444" s="6"/>
      <c r="I444" s="6"/>
      <c r="J444" s="6">
        <v>30</v>
      </c>
      <c r="K444" s="21"/>
      <c r="L444" s="21" t="s">
        <v>1082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1219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1028</v>
      </c>
      <c r="H445" s="6"/>
      <c r="I445" s="6"/>
      <c r="J445" s="6">
        <v>30</v>
      </c>
      <c r="K445" s="21"/>
      <c r="L445" s="21" t="s">
        <v>1082</v>
      </c>
      <c r="M445" s="6" t="s">
        <v>1111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1220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1086</v>
      </c>
      <c r="H446" s="4"/>
      <c r="I446" s="6"/>
      <c r="J446" s="4">
        <v>30</v>
      </c>
      <c r="K446" s="5"/>
      <c r="L446" s="5" t="s">
        <v>1082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1221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1144</v>
      </c>
      <c r="H448" s="6"/>
      <c r="I448" s="6"/>
      <c r="J448" s="6">
        <v>30</v>
      </c>
      <c r="K448" s="21"/>
      <c r="L448" s="21" t="s">
        <v>1082</v>
      </c>
      <c r="M448" s="6" t="s">
        <v>1106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1222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1144</v>
      </c>
      <c r="H449" s="6"/>
      <c r="I449" s="6"/>
      <c r="J449" s="6">
        <v>30</v>
      </c>
      <c r="K449" s="21"/>
      <c r="L449" s="21" t="s">
        <v>1082</v>
      </c>
      <c r="M449" s="6" t="s">
        <v>1038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1223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1090</v>
      </c>
      <c r="H450" s="4"/>
      <c r="I450" s="6"/>
      <c r="J450" s="4">
        <v>30</v>
      </c>
      <c r="K450" s="5"/>
      <c r="L450" s="5" t="s">
        <v>1082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1224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1116</v>
      </c>
      <c r="H451" s="6"/>
      <c r="I451" s="6"/>
      <c r="J451" s="6">
        <v>30</v>
      </c>
      <c r="K451" s="21"/>
      <c r="L451" s="21" t="s">
        <v>1082</v>
      </c>
      <c r="M451" s="6" t="s">
        <v>1038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1225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1094</v>
      </c>
      <c r="H452" s="4"/>
      <c r="I452" s="6"/>
      <c r="J452" s="4">
        <v>30</v>
      </c>
      <c r="K452" s="5"/>
      <c r="L452" s="5" t="s">
        <v>1082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1226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1028</v>
      </c>
      <c r="H453" s="4"/>
      <c r="I453" s="6"/>
      <c r="J453" s="4">
        <v>30</v>
      </c>
      <c r="K453" s="5"/>
      <c r="L453" s="5" t="s">
        <v>1082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1227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1151</v>
      </c>
      <c r="H454" s="4"/>
      <c r="I454" s="6"/>
      <c r="J454" s="4">
        <v>30</v>
      </c>
      <c r="K454" s="5"/>
      <c r="L454" s="5" t="s">
        <v>1082</v>
      </c>
      <c r="M454" s="4" t="s">
        <v>1145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1228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1100</v>
      </c>
      <c r="H455" s="6"/>
      <c r="I455" s="6"/>
      <c r="J455" s="6">
        <v>30</v>
      </c>
      <c r="K455" s="21"/>
      <c r="L455" s="21" t="s">
        <v>1082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1229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1031</v>
      </c>
      <c r="H456" s="4"/>
      <c r="I456" s="6"/>
      <c r="J456" s="4">
        <v>30</v>
      </c>
      <c r="K456" s="5"/>
      <c r="L456" s="5" t="s">
        <v>1082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1230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1070</v>
      </c>
      <c r="H457" s="6"/>
      <c r="I457" s="6"/>
      <c r="J457" s="6">
        <v>30</v>
      </c>
      <c r="K457" s="21"/>
      <c r="L457" s="21" t="s">
        <v>1082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1231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1144</v>
      </c>
      <c r="H458" s="4"/>
      <c r="I458" s="4"/>
      <c r="J458" s="4">
        <v>30</v>
      </c>
      <c r="K458" s="5"/>
      <c r="L458" s="5" t="s">
        <v>1082</v>
      </c>
      <c r="M458" s="4" t="s">
        <v>1106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1232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1233</v>
      </c>
      <c r="H459" s="4"/>
      <c r="I459" s="6"/>
      <c r="J459" s="4">
        <v>30</v>
      </c>
      <c r="K459" s="5"/>
      <c r="L459" s="5" t="s">
        <v>1082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1234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1144</v>
      </c>
      <c r="H460" s="4"/>
      <c r="I460" s="4"/>
      <c r="J460" s="4">
        <v>30</v>
      </c>
      <c r="K460" s="5"/>
      <c r="L460" s="5" t="s">
        <v>1082</v>
      </c>
      <c r="M460" s="4" t="s">
        <v>1106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1235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1144</v>
      </c>
      <c r="H461" s="4"/>
      <c r="I461" s="4"/>
      <c r="J461" s="4">
        <v>30</v>
      </c>
      <c r="K461" s="5"/>
      <c r="L461" s="5" t="s">
        <v>1082</v>
      </c>
      <c r="M461" s="4" t="s">
        <v>1068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1236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1144</v>
      </c>
      <c r="H462" s="6"/>
      <c r="I462" s="6"/>
      <c r="J462" s="6">
        <v>30</v>
      </c>
      <c r="K462" s="21"/>
      <c r="L462" s="21" t="s">
        <v>1082</v>
      </c>
      <c r="M462" s="6" t="s">
        <v>1145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1237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1082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1238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1151</v>
      </c>
      <c r="H464" s="6"/>
      <c r="I464" s="6"/>
      <c r="J464" s="6">
        <v>30</v>
      </c>
      <c r="K464" s="21"/>
      <c r="L464" s="21" t="s">
        <v>1082</v>
      </c>
      <c r="M464" s="6" t="s">
        <v>1145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1239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1090</v>
      </c>
      <c r="H465" s="6"/>
      <c r="I465" s="6"/>
      <c r="J465" s="6">
        <v>30</v>
      </c>
      <c r="K465" s="21"/>
      <c r="L465" s="21" t="s">
        <v>1082</v>
      </c>
      <c r="M465" s="6" t="s">
        <v>1145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1240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1086</v>
      </c>
      <c r="H466" s="6"/>
      <c r="I466" s="6"/>
      <c r="J466" s="6">
        <v>30</v>
      </c>
      <c r="K466" s="21"/>
      <c r="L466" s="21" t="s">
        <v>1082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1241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1218</v>
      </c>
      <c r="H467" s="6"/>
      <c r="I467" s="6"/>
      <c r="J467" s="6">
        <v>30</v>
      </c>
      <c r="K467" s="21"/>
      <c r="L467" s="21" t="s">
        <v>1082</v>
      </c>
      <c r="M467" s="6" t="s">
        <v>1071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1242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1243</v>
      </c>
      <c r="H468" s="6"/>
      <c r="I468" s="6"/>
      <c r="J468" s="6">
        <v>30</v>
      </c>
      <c r="K468" s="21"/>
      <c r="L468" s="21" t="s">
        <v>1082</v>
      </c>
      <c r="M468" s="6" t="s">
        <v>1106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1244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1126</v>
      </c>
      <c r="H469" s="6"/>
      <c r="I469" s="6"/>
      <c r="J469" s="6">
        <v>30</v>
      </c>
      <c r="K469" s="21"/>
      <c r="L469" s="21" t="s">
        <v>1082</v>
      </c>
      <c r="M469" s="6" t="s">
        <v>1145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1245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1082</v>
      </c>
      <c r="M470" s="6" t="s">
        <v>1145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1246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1090</v>
      </c>
      <c r="H471" s="6"/>
      <c r="I471" s="6"/>
      <c r="J471" s="6">
        <v>30</v>
      </c>
      <c r="K471" s="5"/>
      <c r="L471" s="5" t="s">
        <v>1082</v>
      </c>
      <c r="M471" s="6" t="s">
        <v>1106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1247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1077</v>
      </c>
      <c r="H472" s="6"/>
      <c r="I472" s="6"/>
      <c r="J472" s="6">
        <v>30</v>
      </c>
      <c r="K472" s="21"/>
      <c r="L472" s="21" t="s">
        <v>1082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1248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1249</v>
      </c>
      <c r="H473" s="4"/>
      <c r="I473" s="4"/>
      <c r="J473" s="4">
        <v>30</v>
      </c>
      <c r="K473" s="5"/>
      <c r="L473" s="5" t="s">
        <v>1082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1250</v>
      </c>
      <c r="B474" s="2" t="s">
        <v>172</v>
      </c>
      <c r="C474" s="21">
        <v>8</v>
      </c>
      <c r="D474" s="23" t="s">
        <v>1251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1082</v>
      </c>
      <c r="M474" s="6" t="s">
        <v>1106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1252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1082</v>
      </c>
      <c r="M475" s="6" t="s">
        <v>1038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1253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1254</v>
      </c>
      <c r="H476" s="4"/>
      <c r="I476" s="4"/>
      <c r="J476" s="4">
        <v>30</v>
      </c>
      <c r="K476" s="5"/>
      <c r="L476" s="5" t="s">
        <v>1082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1255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1046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1047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1256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1019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1257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1019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1258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1243</v>
      </c>
      <c r="H480" s="6"/>
      <c r="I480" s="6"/>
      <c r="J480" s="6">
        <v>30</v>
      </c>
      <c r="K480" s="21"/>
      <c r="L480" s="21" t="s">
        <v>1082</v>
      </c>
      <c r="M480" s="6" t="s">
        <v>1038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1259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1059</v>
      </c>
      <c r="H481" s="6"/>
      <c r="I481" s="6"/>
      <c r="J481" s="6">
        <v>30</v>
      </c>
      <c r="K481" s="21"/>
      <c r="L481" s="21" t="s">
        <v>1082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1260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1151</v>
      </c>
      <c r="H482" s="6"/>
      <c r="I482" s="6"/>
      <c r="J482" s="6">
        <v>30</v>
      </c>
      <c r="K482" s="21"/>
      <c r="L482" s="21" t="s">
        <v>1082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1261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1021</v>
      </c>
      <c r="H483" s="4"/>
      <c r="I483" s="4" t="s">
        <v>942</v>
      </c>
      <c r="J483" s="4">
        <v>59</v>
      </c>
      <c r="K483" s="5"/>
      <c r="L483" s="5" t="s">
        <v>1058</v>
      </c>
      <c r="M483" s="4" t="s">
        <v>1092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1262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1021</v>
      </c>
      <c r="H484" s="4"/>
      <c r="I484" s="4" t="s">
        <v>942</v>
      </c>
      <c r="J484" s="4">
        <v>59</v>
      </c>
      <c r="K484" s="5"/>
      <c r="L484" s="5" t="s">
        <v>1058</v>
      </c>
      <c r="M484" s="4" t="s">
        <v>1092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1263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1094</v>
      </c>
      <c r="H485" s="4"/>
      <c r="I485" s="6"/>
      <c r="J485" s="4">
        <v>30</v>
      </c>
      <c r="K485" s="5"/>
      <c r="L485" s="5" t="s">
        <v>1082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1264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1094</v>
      </c>
      <c r="H486" s="4"/>
      <c r="I486" s="4"/>
      <c r="J486" s="4">
        <v>30</v>
      </c>
      <c r="K486" s="5"/>
      <c r="L486" s="5" t="s">
        <v>1082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1265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1266</v>
      </c>
      <c r="H487" s="4"/>
      <c r="I487" s="4"/>
      <c r="J487" s="4">
        <v>30</v>
      </c>
      <c r="K487" s="5"/>
      <c r="L487" s="5" t="s">
        <v>1082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1267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1094</v>
      </c>
      <c r="H488" s="4"/>
      <c r="I488" s="4"/>
      <c r="J488" s="4">
        <v>30</v>
      </c>
      <c r="K488" s="5"/>
      <c r="L488" s="5" t="s">
        <v>1082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1268</v>
      </c>
      <c r="B489" s="2" t="s">
        <v>1014</v>
      </c>
      <c r="C489" s="21">
        <v>1.5</v>
      </c>
      <c r="D489" s="23">
        <v>490</v>
      </c>
      <c r="E489" s="23"/>
      <c r="F489" s="28"/>
      <c r="G489" s="3" t="s">
        <v>1104</v>
      </c>
      <c r="H489" s="6"/>
      <c r="I489" s="6"/>
      <c r="J489" s="6">
        <v>63</v>
      </c>
      <c r="K489" s="21"/>
      <c r="L489" s="21" t="s">
        <v>1105</v>
      </c>
      <c r="M489" s="6" t="s">
        <v>1106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1269</v>
      </c>
      <c r="B490" s="2" t="s">
        <v>1014</v>
      </c>
      <c r="C490" s="21">
        <v>1.5</v>
      </c>
      <c r="D490" s="23">
        <v>755</v>
      </c>
      <c r="E490" s="23"/>
      <c r="F490" s="28"/>
      <c r="G490" s="3" t="s">
        <v>1104</v>
      </c>
      <c r="H490" s="6"/>
      <c r="I490" s="6"/>
      <c r="J490" s="6">
        <v>63</v>
      </c>
      <c r="K490" s="21"/>
      <c r="L490" s="21" t="s">
        <v>1105</v>
      </c>
      <c r="M490" s="6" t="s">
        <v>1106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1270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1271</v>
      </c>
      <c r="N491" s="6" t="s">
        <v>1271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1272</v>
      </c>
      <c r="H492" s="6"/>
      <c r="I492" s="6"/>
      <c r="J492" s="6">
        <v>32</v>
      </c>
      <c r="K492" s="21"/>
      <c r="L492" s="21" t="s">
        <v>1082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1273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1274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1275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1274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1276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1274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1277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1274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1278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1274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hidden="1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1279</v>
      </c>
      <c r="G498" s="20" t="s">
        <v>1280</v>
      </c>
      <c r="H498" s="6"/>
      <c r="I498" s="6" t="s">
        <v>1281</v>
      </c>
      <c r="J498" s="6">
        <v>90</v>
      </c>
      <c r="K498" s="21">
        <v>10</v>
      </c>
      <c r="L498" s="21" t="s">
        <v>1282</v>
      </c>
      <c r="M498" s="6" t="s">
        <v>378</v>
      </c>
      <c r="N498" s="6" t="s">
        <v>1283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1284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1285</v>
      </c>
      <c r="G499" s="20" t="s">
        <v>1286</v>
      </c>
      <c r="H499" s="6"/>
      <c r="I499" s="6" t="s">
        <v>1287</v>
      </c>
      <c r="J499" s="6">
        <v>59</v>
      </c>
      <c r="K499" s="21">
        <v>4</v>
      </c>
      <c r="L499" s="21" t="s">
        <v>1282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1288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">
      <c r="A500" s="19" t="s">
        <v>1289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1290</v>
      </c>
      <c r="G500" s="20" t="s">
        <v>1291</v>
      </c>
      <c r="H500" s="6"/>
      <c r="I500" s="6" t="s">
        <v>1292</v>
      </c>
      <c r="J500" s="6">
        <v>60</v>
      </c>
      <c r="K500" s="21"/>
      <c r="L500" s="21" t="s">
        <v>1293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1294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1295</v>
      </c>
      <c r="G501" s="20" t="s">
        <v>1286</v>
      </c>
      <c r="H501" s="6"/>
      <c r="I501" s="6" t="s">
        <v>1287</v>
      </c>
      <c r="J501" s="6">
        <v>59</v>
      </c>
      <c r="K501" s="21">
        <v>3</v>
      </c>
      <c r="L501" s="21" t="s">
        <v>1282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1296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hidden="1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1285</v>
      </c>
      <c r="G502" s="20" t="s">
        <v>1286</v>
      </c>
      <c r="H502" s="6"/>
      <c r="I502" s="6" t="s">
        <v>1292</v>
      </c>
      <c r="J502" s="6">
        <v>69</v>
      </c>
      <c r="K502" s="21">
        <v>5</v>
      </c>
      <c r="L502" s="21" t="s">
        <v>1282</v>
      </c>
      <c r="M502" s="6" t="s">
        <v>378</v>
      </c>
      <c r="N502" s="6" t="s">
        <v>1297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1298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">
      <c r="A503" s="19" t="s">
        <v>1299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1300</v>
      </c>
      <c r="H503" s="6"/>
      <c r="I503" s="6" t="s">
        <v>1301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1302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1303</v>
      </c>
      <c r="G504" s="20" t="s">
        <v>1286</v>
      </c>
      <c r="H504" s="6"/>
      <c r="I504" s="6" t="s">
        <v>1287</v>
      </c>
      <c r="J504" s="6">
        <v>69</v>
      </c>
      <c r="K504" s="21"/>
      <c r="L504" s="21" t="s">
        <v>1304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">
      <c r="A505" s="19" t="s">
        <v>1305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1285</v>
      </c>
      <c r="G505" s="20" t="s">
        <v>1306</v>
      </c>
      <c r="H505" s="6"/>
      <c r="I505" s="6" t="s">
        <v>1287</v>
      </c>
      <c r="J505" s="6">
        <v>59</v>
      </c>
      <c r="K505" s="21">
        <v>1.8</v>
      </c>
      <c r="L505" s="21" t="s">
        <v>1282</v>
      </c>
      <c r="M505" s="6" t="s">
        <v>378</v>
      </c>
      <c r="N505" s="6" t="s">
        <v>1307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1308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">
      <c r="A506" s="19" t="s">
        <v>1309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1290</v>
      </c>
      <c r="G506" s="20" t="s">
        <v>1310</v>
      </c>
      <c r="H506" s="6"/>
      <c r="I506" s="6" t="s">
        <v>1287</v>
      </c>
      <c r="J506" s="6">
        <v>59</v>
      </c>
      <c r="K506" s="21">
        <v>7</v>
      </c>
      <c r="L506" s="21" t="s">
        <v>1282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1311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 x14ac:dyDescent="0.3">
      <c r="A507" s="19" t="s">
        <v>1312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1313</v>
      </c>
      <c r="H507" s="6"/>
      <c r="I507" s="6" t="s">
        <v>1287</v>
      </c>
      <c r="J507" s="6">
        <v>59</v>
      </c>
      <c r="K507" s="21">
        <v>9</v>
      </c>
      <c r="L507" s="21" t="s">
        <v>1282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1314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1315</v>
      </c>
      <c r="G508" s="20" t="s">
        <v>1286</v>
      </c>
      <c r="H508" s="6"/>
      <c r="I508" s="6" t="s">
        <v>1292</v>
      </c>
      <c r="J508" s="6">
        <v>60</v>
      </c>
      <c r="K508" s="21"/>
      <c r="L508" s="21" t="s">
        <v>1293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">
      <c r="A509" s="19" t="s">
        <v>1316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1317</v>
      </c>
      <c r="G509" s="20" t="s">
        <v>1306</v>
      </c>
      <c r="H509" s="6"/>
      <c r="I509" s="6" t="s">
        <v>1287</v>
      </c>
      <c r="J509" s="6">
        <v>59</v>
      </c>
      <c r="K509" s="21">
        <v>1.5</v>
      </c>
      <c r="L509" s="21" t="s">
        <v>1282</v>
      </c>
      <c r="M509" s="6" t="s">
        <v>378</v>
      </c>
      <c r="N509" s="6" t="s">
        <v>1307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1318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1295</v>
      </c>
      <c r="G510" s="20" t="s">
        <v>1286</v>
      </c>
      <c r="H510" s="6"/>
      <c r="I510" s="6" t="s">
        <v>1287</v>
      </c>
      <c r="J510" s="6">
        <v>59</v>
      </c>
      <c r="K510" s="21">
        <v>1.8</v>
      </c>
      <c r="L510" s="21" t="s">
        <v>1282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">
      <c r="A511" s="19" t="s">
        <v>1319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1310</v>
      </c>
      <c r="H511" s="6"/>
      <c r="I511" s="6" t="s">
        <v>1292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1317</v>
      </c>
      <c r="G512" s="20" t="s">
        <v>1320</v>
      </c>
      <c r="H512" s="6"/>
      <c r="I512" s="6" t="s">
        <v>1292</v>
      </c>
      <c r="J512" s="6">
        <v>69</v>
      </c>
      <c r="K512" s="21">
        <v>9</v>
      </c>
      <c r="L512" s="21" t="s">
        <v>1282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1321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1317</v>
      </c>
      <c r="G513" s="20" t="s">
        <v>229</v>
      </c>
      <c r="H513" s="6"/>
      <c r="I513" s="6" t="s">
        <v>1292</v>
      </c>
      <c r="J513" s="6">
        <v>69</v>
      </c>
      <c r="K513" s="21">
        <v>9</v>
      </c>
      <c r="L513" s="21" t="s">
        <v>1282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1322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1323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1317</v>
      </c>
      <c r="G514" s="20" t="s">
        <v>1324</v>
      </c>
      <c r="H514" s="6"/>
      <c r="I514" s="6" t="s">
        <v>1287</v>
      </c>
      <c r="J514" s="6">
        <v>59</v>
      </c>
      <c r="K514" s="21">
        <v>3.5</v>
      </c>
      <c r="L514" s="21" t="s">
        <v>1282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1325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">
      <c r="A515" s="19" t="s">
        <v>1326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1287</v>
      </c>
      <c r="J515" s="6">
        <v>59</v>
      </c>
      <c r="K515" s="21">
        <v>3.5</v>
      </c>
      <c r="L515" s="21" t="s">
        <v>1282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1327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">
      <c r="A516" s="19" t="s">
        <v>1328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1313</v>
      </c>
      <c r="H516" s="6"/>
      <c r="I516" s="6" t="s">
        <v>1287</v>
      </c>
      <c r="J516" s="6">
        <v>59</v>
      </c>
      <c r="K516" s="21">
        <v>5</v>
      </c>
      <c r="L516" s="21" t="s">
        <v>1282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1329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hidden="1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1295</v>
      </c>
      <c r="G517" s="20" t="s">
        <v>711</v>
      </c>
      <c r="H517" s="6"/>
      <c r="I517" s="6" t="s">
        <v>1330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1331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1332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1311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1311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1333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1334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1335</v>
      </c>
      <c r="G520" s="20" t="s">
        <v>1336</v>
      </c>
      <c r="H520" s="6"/>
      <c r="I520" s="6" t="s">
        <v>1337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1338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">
      <c r="A521" s="19" t="s">
        <v>1339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1340</v>
      </c>
      <c r="H521" s="6"/>
      <c r="I521" s="6" t="s">
        <v>1287</v>
      </c>
      <c r="J521" s="6">
        <v>59</v>
      </c>
      <c r="K521" s="21">
        <v>3</v>
      </c>
      <c r="L521" s="21" t="s">
        <v>1282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hidden="1" x14ac:dyDescent="0.3">
      <c r="A522" s="19" t="s">
        <v>1341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1310</v>
      </c>
      <c r="H522" s="6"/>
      <c r="I522" s="6" t="s">
        <v>1292</v>
      </c>
      <c r="J522" s="6">
        <v>69</v>
      </c>
      <c r="K522" s="21">
        <v>4.5</v>
      </c>
      <c r="L522" s="21" t="s">
        <v>1282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1342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1343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1344</v>
      </c>
      <c r="H523" s="6"/>
      <c r="I523" s="6" t="s">
        <v>1287</v>
      </c>
      <c r="J523" s="6">
        <v>59</v>
      </c>
      <c r="K523" s="21">
        <v>26</v>
      </c>
      <c r="L523" s="21" t="s">
        <v>39</v>
      </c>
      <c r="M523" s="6" t="s">
        <v>1345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1346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1347</v>
      </c>
      <c r="G524" s="20" t="s">
        <v>1348</v>
      </c>
      <c r="H524" s="6"/>
      <c r="I524" s="6" t="s">
        <v>1292</v>
      </c>
      <c r="J524" s="6">
        <v>69</v>
      </c>
      <c r="K524" s="21">
        <v>1.7</v>
      </c>
      <c r="L524" s="21" t="s">
        <v>1282</v>
      </c>
      <c r="M524" s="6" t="s">
        <v>378</v>
      </c>
      <c r="N524" s="6" t="s">
        <v>1297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1349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">
      <c r="A525" s="19" t="s">
        <v>1350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1351</v>
      </c>
      <c r="H525" s="6"/>
      <c r="I525" s="6"/>
      <c r="J525" s="6">
        <v>120</v>
      </c>
      <c r="K525" s="21"/>
      <c r="L525" s="21" t="s">
        <v>1352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1353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1347</v>
      </c>
      <c r="G526" s="20" t="s">
        <v>1354</v>
      </c>
      <c r="H526" s="6"/>
      <c r="I526" s="6" t="s">
        <v>1292</v>
      </c>
      <c r="J526" s="6">
        <v>69</v>
      </c>
      <c r="K526" s="21">
        <v>2</v>
      </c>
      <c r="L526" s="21" t="s">
        <v>1282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1355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">
      <c r="A527" s="19" t="s">
        <v>1356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1357</v>
      </c>
      <c r="G527" s="20" t="s">
        <v>1291</v>
      </c>
      <c r="H527" s="6"/>
      <c r="I527" s="6" t="s">
        <v>1292</v>
      </c>
      <c r="J527" s="6">
        <v>69</v>
      </c>
      <c r="K527" s="21">
        <v>1.8</v>
      </c>
      <c r="L527" s="21" t="s">
        <v>1282</v>
      </c>
      <c r="M527" s="6" t="s">
        <v>378</v>
      </c>
      <c r="N527" s="6" t="s">
        <v>1297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1358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1359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1287</v>
      </c>
      <c r="J528" s="6">
        <v>59</v>
      </c>
      <c r="K528" s="21">
        <v>1.6</v>
      </c>
      <c r="L528" s="21" t="s">
        <v>1282</v>
      </c>
      <c r="M528" s="6" t="s">
        <v>378</v>
      </c>
      <c r="N528" s="6" t="s">
        <v>1297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1360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hidden="1" x14ac:dyDescent="0.3">
      <c r="A529" s="19" t="s">
        <v>1361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1344</v>
      </c>
      <c r="H529" s="6"/>
      <c r="I529" s="6" t="s">
        <v>1287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1362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1363</v>
      </c>
      <c r="H530" s="6"/>
      <c r="I530" s="6" t="s">
        <v>1292</v>
      </c>
      <c r="J530" s="6">
        <v>60</v>
      </c>
      <c r="K530" s="21"/>
      <c r="L530" s="21" t="s">
        <v>1282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1364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1357</v>
      </c>
      <c r="G531" s="20" t="s">
        <v>1365</v>
      </c>
      <c r="H531" s="6"/>
      <c r="I531" s="6" t="s">
        <v>1292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1366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">
      <c r="A532" s="19" t="s">
        <v>1367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1368</v>
      </c>
      <c r="H532" s="6"/>
      <c r="I532" s="6" t="s">
        <v>1287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1369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1344</v>
      </c>
      <c r="H533" s="6"/>
      <c r="I533" s="6" t="s">
        <v>1292</v>
      </c>
      <c r="J533" s="6">
        <v>69</v>
      </c>
      <c r="K533" s="21">
        <v>26</v>
      </c>
      <c r="L533" s="21" t="s">
        <v>39</v>
      </c>
      <c r="M533" s="6" t="s">
        <v>1345</v>
      </c>
      <c r="N533" s="6" t="s">
        <v>1370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1371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1372</v>
      </c>
      <c r="G534" s="20" t="s">
        <v>1373</v>
      </c>
      <c r="H534" s="6"/>
      <c r="I534" s="6" t="s">
        <v>1292</v>
      </c>
      <c r="J534" s="6">
        <v>69</v>
      </c>
      <c r="K534" s="21">
        <v>2</v>
      </c>
      <c r="L534" s="21" t="s">
        <v>1282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1374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">
      <c r="A535" s="19" t="s">
        <v>1375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1357</v>
      </c>
      <c r="G535" s="20" t="s">
        <v>1365</v>
      </c>
      <c r="H535" s="6"/>
      <c r="I535" s="6" t="s">
        <v>1292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1376</v>
      </c>
      <c r="B536" s="21" t="s">
        <v>197</v>
      </c>
      <c r="C536" s="21">
        <v>2.5</v>
      </c>
      <c r="D536" s="23">
        <v>1000</v>
      </c>
      <c r="E536" s="23"/>
      <c r="F536" s="23" t="s">
        <v>1372</v>
      </c>
      <c r="G536" s="20" t="s">
        <v>1377</v>
      </c>
      <c r="H536" s="6"/>
      <c r="I536" s="6" t="s">
        <v>1292</v>
      </c>
      <c r="J536" s="6">
        <v>69</v>
      </c>
      <c r="K536" s="21">
        <v>1.7</v>
      </c>
      <c r="L536" s="21" t="s">
        <v>1282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1378</v>
      </c>
      <c r="H537" s="6"/>
      <c r="I537" s="6" t="s">
        <v>1287</v>
      </c>
      <c r="J537" s="6">
        <v>59</v>
      </c>
      <c r="K537" s="21">
        <v>5</v>
      </c>
      <c r="L537" s="21" t="s">
        <v>1282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1379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">
      <c r="A538" s="19" t="s">
        <v>1380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1340</v>
      </c>
      <c r="H538" s="6"/>
      <c r="I538" s="6" t="s">
        <v>1292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1381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">
      <c r="A539" s="19" t="s">
        <v>1382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1383</v>
      </c>
      <c r="H539" s="6"/>
      <c r="I539" s="6" t="s">
        <v>1292</v>
      </c>
      <c r="J539" s="6">
        <v>69</v>
      </c>
      <c r="K539" s="21">
        <v>2</v>
      </c>
      <c r="L539" s="21" t="s">
        <v>1282</v>
      </c>
      <c r="M539" s="6" t="s">
        <v>378</v>
      </c>
      <c r="N539" s="6" t="s">
        <v>1297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1384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">
      <c r="A540" s="19" t="s">
        <v>1385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1386</v>
      </c>
      <c r="H540" s="6"/>
      <c r="I540" s="6" t="s">
        <v>1287</v>
      </c>
      <c r="J540" s="6">
        <v>59</v>
      </c>
      <c r="K540" s="21">
        <v>28</v>
      </c>
      <c r="L540" s="21" t="s">
        <v>39</v>
      </c>
      <c r="M540" s="6" t="s">
        <v>1345</v>
      </c>
      <c r="N540" s="6" t="s">
        <v>1387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1363</v>
      </c>
      <c r="H541" s="6"/>
      <c r="I541" s="6" t="s">
        <v>1292</v>
      </c>
      <c r="J541" s="6">
        <v>60</v>
      </c>
      <c r="K541" s="21"/>
      <c r="L541" s="21" t="s">
        <v>1282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1388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1377</v>
      </c>
      <c r="H542" s="6"/>
      <c r="I542" s="6" t="s">
        <v>1287</v>
      </c>
      <c r="J542" s="6">
        <v>59</v>
      </c>
      <c r="K542" s="21">
        <v>1.9</v>
      </c>
      <c r="L542" s="21" t="s">
        <v>1282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1389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">
      <c r="A543" s="19" t="s">
        <v>1390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1391</v>
      </c>
      <c r="H543" s="6"/>
      <c r="I543" s="6" t="s">
        <v>1287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1392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1347</v>
      </c>
      <c r="G544" s="20" t="s">
        <v>1393</v>
      </c>
      <c r="H544" s="6"/>
      <c r="I544" s="6" t="s">
        <v>1292</v>
      </c>
      <c r="J544" s="6">
        <v>69</v>
      </c>
      <c r="K544" s="21">
        <v>1.1000000000000001</v>
      </c>
      <c r="L544" s="21" t="s">
        <v>1282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1394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">
      <c r="A545" s="19" t="s">
        <v>1395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1292</v>
      </c>
      <c r="J545" s="6">
        <v>69</v>
      </c>
      <c r="K545" s="21">
        <v>1.3</v>
      </c>
      <c r="L545" s="21" t="s">
        <v>1282</v>
      </c>
      <c r="M545" s="6" t="s">
        <v>378</v>
      </c>
      <c r="N545" s="6" t="s">
        <v>1297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1396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">
      <c r="A546" s="19" t="s">
        <v>1397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1347</v>
      </c>
      <c r="G546" s="20" t="s">
        <v>1393</v>
      </c>
      <c r="H546" s="6"/>
      <c r="I546" s="6" t="s">
        <v>1292</v>
      </c>
      <c r="J546" s="6">
        <v>69</v>
      </c>
      <c r="K546" s="21">
        <v>1.1000000000000001</v>
      </c>
      <c r="L546" s="21" t="s">
        <v>1282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1398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">
      <c r="A547" s="19" t="s">
        <v>1399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1368</v>
      </c>
      <c r="H547" s="6"/>
      <c r="I547" s="6" t="s">
        <v>1292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1400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1347</v>
      </c>
      <c r="G548" s="20" t="s">
        <v>1401</v>
      </c>
      <c r="H548" s="6"/>
      <c r="I548" s="6" t="s">
        <v>1292</v>
      </c>
      <c r="J548" s="6">
        <v>69</v>
      </c>
      <c r="K548" s="21">
        <v>1.5</v>
      </c>
      <c r="L548" s="21" t="s">
        <v>1282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1402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">
      <c r="A549" s="19" t="s">
        <v>1403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1344</v>
      </c>
      <c r="H549" s="6"/>
      <c r="I549" s="6" t="s">
        <v>1292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1404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1405</v>
      </c>
      <c r="H550" s="6"/>
      <c r="I550" s="6" t="s">
        <v>1292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1406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1292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1292</v>
      </c>
      <c r="J552" s="6">
        <v>69</v>
      </c>
      <c r="K552" s="21">
        <v>1</v>
      </c>
      <c r="L552" s="21" t="s">
        <v>1282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1407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1408</v>
      </c>
      <c r="G553" s="20" t="s">
        <v>1409</v>
      </c>
      <c r="H553" s="6"/>
      <c r="I553" s="6" t="s">
        <v>1292</v>
      </c>
      <c r="J553" s="6">
        <v>69</v>
      </c>
      <c r="K553" s="21">
        <v>1.6</v>
      </c>
      <c r="L553" s="21" t="s">
        <v>1282</v>
      </c>
      <c r="M553" s="6" t="s">
        <v>378</v>
      </c>
      <c r="N553" s="6" t="s">
        <v>1297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1410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">
      <c r="A554" s="19" t="s">
        <v>1411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1344</v>
      </c>
      <c r="H554" s="6"/>
      <c r="I554" s="6" t="s">
        <v>1287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1412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1401</v>
      </c>
      <c r="H555" s="6"/>
      <c r="I555" s="6" t="s">
        <v>1292</v>
      </c>
      <c r="J555" s="6">
        <v>69</v>
      </c>
      <c r="K555" s="21">
        <v>1.5</v>
      </c>
      <c r="L555" s="21" t="s">
        <v>1282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1413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1414</v>
      </c>
      <c r="H556" s="6"/>
      <c r="I556" s="6" t="s">
        <v>1292</v>
      </c>
      <c r="J556" s="6">
        <v>60</v>
      </c>
      <c r="K556" s="21">
        <v>2.5</v>
      </c>
      <c r="L556" s="21" t="s">
        <v>1282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1415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">
      <c r="A557" s="19" t="s">
        <v>1416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1405</v>
      </c>
      <c r="H557" s="6"/>
      <c r="I557" s="6" t="s">
        <v>1287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1417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1418</v>
      </c>
      <c r="H558" s="6"/>
      <c r="I558" s="6" t="s">
        <v>1292</v>
      </c>
      <c r="J558" s="6">
        <v>69</v>
      </c>
      <c r="K558" s="21">
        <v>1.3</v>
      </c>
      <c r="L558" s="21" t="s">
        <v>1282</v>
      </c>
      <c r="M558" s="6" t="s">
        <v>378</v>
      </c>
      <c r="N558" s="6" t="s">
        <v>1297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1419</v>
      </c>
      <c r="B559" s="21" t="s">
        <v>160</v>
      </c>
      <c r="C559" s="21">
        <v>2</v>
      </c>
      <c r="D559" s="23"/>
      <c r="E559" s="23"/>
      <c r="F559" s="23" t="s">
        <v>1347</v>
      </c>
      <c r="G559" s="20" t="s">
        <v>1313</v>
      </c>
      <c r="H559" s="6"/>
      <c r="I559" s="6" t="s">
        <v>1292</v>
      </c>
      <c r="J559" s="6">
        <v>69</v>
      </c>
      <c r="K559" s="21">
        <v>1.1000000000000001</v>
      </c>
      <c r="L559" s="21" t="s">
        <v>1282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1420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1408</v>
      </c>
      <c r="G560" s="20" t="s">
        <v>1421</v>
      </c>
      <c r="H560" s="6"/>
      <c r="I560" s="6" t="s">
        <v>1292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1422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1287</v>
      </c>
      <c r="J561" s="6">
        <v>59</v>
      </c>
      <c r="K561" s="21">
        <v>28</v>
      </c>
      <c r="L561" s="21" t="s">
        <v>39</v>
      </c>
      <c r="M561" s="6" t="s">
        <v>1345</v>
      </c>
      <c r="N561" s="6" t="s">
        <v>1387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1423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1287</v>
      </c>
      <c r="J562" s="6">
        <v>59</v>
      </c>
      <c r="K562" s="21">
        <v>1.5</v>
      </c>
      <c r="L562" s="21" t="s">
        <v>1282</v>
      </c>
      <c r="M562" s="6" t="s">
        <v>378</v>
      </c>
      <c r="N562" s="6" t="s">
        <v>1297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1424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">
      <c r="A563" s="19" t="s">
        <v>1425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1426</v>
      </c>
      <c r="H563" s="6"/>
      <c r="I563" s="6" t="s">
        <v>1292</v>
      </c>
      <c r="J563" s="6">
        <v>60</v>
      </c>
      <c r="K563" s="21">
        <v>2</v>
      </c>
      <c r="L563" s="21" t="s">
        <v>1282</v>
      </c>
      <c r="M563" s="6" t="s">
        <v>378</v>
      </c>
      <c r="N563" s="6" t="s">
        <v>1427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1425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">
      <c r="A564" s="19" t="s">
        <v>1428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1429</v>
      </c>
      <c r="H564" s="6"/>
      <c r="I564" s="6" t="s">
        <v>1292</v>
      </c>
      <c r="J564" s="6">
        <v>60</v>
      </c>
      <c r="K564" s="21"/>
      <c r="L564" s="21" t="s">
        <v>1282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1430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">
      <c r="A565" s="19" t="s">
        <v>1431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1432</v>
      </c>
      <c r="H565" s="6"/>
      <c r="I565" s="6" t="s">
        <v>1292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1433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1434</v>
      </c>
      <c r="H566" s="6"/>
      <c r="I566" s="6" t="s">
        <v>1292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1370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1435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1436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1437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1438</v>
      </c>
      <c r="H568" s="6"/>
      <c r="I568" s="6" t="s">
        <v>1292</v>
      </c>
      <c r="J568" s="6">
        <v>69</v>
      </c>
      <c r="K568" s="21">
        <v>1</v>
      </c>
      <c r="L568" s="21" t="s">
        <v>1282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1439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1347</v>
      </c>
      <c r="G569" s="20" t="s">
        <v>1440</v>
      </c>
      <c r="H569" s="6"/>
      <c r="I569" s="6" t="s">
        <v>1292</v>
      </c>
      <c r="J569" s="6">
        <v>69</v>
      </c>
      <c r="K569" s="21">
        <v>0.5</v>
      </c>
      <c r="L569" s="21" t="s">
        <v>1282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1441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">
      <c r="A570" s="19" t="s">
        <v>1442</v>
      </c>
      <c r="B570" s="21" t="s">
        <v>160</v>
      </c>
      <c r="C570" s="21">
        <v>1.5</v>
      </c>
      <c r="D570" s="23">
        <v>157</v>
      </c>
      <c r="E570" s="23"/>
      <c r="F570" s="23" t="s">
        <v>1408</v>
      </c>
      <c r="G570" s="20" t="s">
        <v>1432</v>
      </c>
      <c r="H570" s="6"/>
      <c r="I570" s="6" t="s">
        <v>1292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1443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1313</v>
      </c>
      <c r="H571" s="6"/>
      <c r="I571" s="6" t="s">
        <v>1287</v>
      </c>
      <c r="J571" s="6">
        <v>59</v>
      </c>
      <c r="K571" s="21">
        <v>1</v>
      </c>
      <c r="L571" s="21" t="s">
        <v>1282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1444</v>
      </c>
      <c r="B572" s="21" t="s">
        <v>160</v>
      </c>
      <c r="C572" s="21">
        <v>1.2</v>
      </c>
      <c r="D572" s="23">
        <v>325</v>
      </c>
      <c r="E572" s="23"/>
      <c r="F572" s="23" t="s">
        <v>1408</v>
      </c>
      <c r="G572" s="20" t="s">
        <v>1445</v>
      </c>
      <c r="H572" s="6"/>
      <c r="I572" s="6" t="s">
        <v>1292</v>
      </c>
      <c r="J572" s="6">
        <v>60</v>
      </c>
      <c r="K572" s="21"/>
      <c r="L572" s="21" t="s">
        <v>1293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1446</v>
      </c>
      <c r="B573" s="21" t="s">
        <v>160</v>
      </c>
      <c r="C573" s="21">
        <v>2</v>
      </c>
      <c r="D573" s="23">
        <v>1000</v>
      </c>
      <c r="E573" s="23"/>
      <c r="F573" s="23" t="s">
        <v>1347</v>
      </c>
      <c r="G573" s="20" t="s">
        <v>1447</v>
      </c>
      <c r="H573" s="6"/>
      <c r="I573" s="6" t="s">
        <v>1292</v>
      </c>
      <c r="J573" s="6">
        <v>69</v>
      </c>
      <c r="K573" s="21">
        <v>0.5</v>
      </c>
      <c r="L573" s="21" t="s">
        <v>1282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1448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1449</v>
      </c>
      <c r="H574" s="6"/>
      <c r="I574" s="6" t="s">
        <v>1287</v>
      </c>
      <c r="J574" s="6">
        <v>59</v>
      </c>
      <c r="K574" s="21">
        <v>32</v>
      </c>
      <c r="L574" s="21" t="s">
        <v>39</v>
      </c>
      <c r="M574" s="6" t="s">
        <v>1345</v>
      </c>
      <c r="N574" s="6" t="s">
        <v>1450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1451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1452</v>
      </c>
      <c r="H575" s="6"/>
      <c r="I575" s="6" t="s">
        <v>1287</v>
      </c>
      <c r="J575" s="6">
        <v>69</v>
      </c>
      <c r="K575" s="21">
        <v>26</v>
      </c>
      <c r="L575" s="21" t="s">
        <v>39</v>
      </c>
      <c r="M575" s="6" t="s">
        <v>1345</v>
      </c>
      <c r="N575" s="6" t="s">
        <v>1450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1453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1454</v>
      </c>
      <c r="H576" s="6"/>
      <c r="I576" s="6" t="s">
        <v>1292</v>
      </c>
      <c r="J576" s="6">
        <v>60</v>
      </c>
      <c r="K576" s="21">
        <v>0.5</v>
      </c>
      <c r="L576" s="21" t="s">
        <v>1282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1455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1456</v>
      </c>
      <c r="H577" s="6"/>
      <c r="I577" s="6" t="s">
        <v>1292</v>
      </c>
      <c r="J577" s="6">
        <v>60</v>
      </c>
      <c r="K577" s="21">
        <v>0.5</v>
      </c>
      <c r="L577" s="21" t="s">
        <v>1282</v>
      </c>
      <c r="M577" s="6" t="s">
        <v>378</v>
      </c>
      <c r="N577" s="6" t="s">
        <v>1427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1457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1310</v>
      </c>
      <c r="H578" s="6"/>
      <c r="I578" s="6" t="s">
        <v>1292</v>
      </c>
      <c r="J578" s="6">
        <v>69</v>
      </c>
      <c r="K578" s="21">
        <v>0.5</v>
      </c>
      <c r="L578" s="21" t="s">
        <v>1282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1458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1459</v>
      </c>
      <c r="H579" s="6"/>
      <c r="I579" s="6" t="s">
        <v>1287</v>
      </c>
      <c r="J579" s="6">
        <v>59</v>
      </c>
      <c r="K579" s="21">
        <v>1</v>
      </c>
      <c r="L579" s="21" t="s">
        <v>1282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1460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1340</v>
      </c>
      <c r="H580" s="6"/>
      <c r="I580" s="6" t="s">
        <v>1287</v>
      </c>
      <c r="J580" s="6">
        <v>59</v>
      </c>
      <c r="K580" s="21">
        <v>0.6</v>
      </c>
      <c r="L580" s="21" t="s">
        <v>1282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1461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1462</v>
      </c>
      <c r="H581" s="6"/>
      <c r="I581" s="6" t="s">
        <v>1287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1370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1463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1464</v>
      </c>
      <c r="H582" s="6"/>
      <c r="I582" s="6" t="s">
        <v>1292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1370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1465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1466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1467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1370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1468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1292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1370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1469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1470</v>
      </c>
      <c r="H586" s="6"/>
      <c r="I586" s="6" t="s">
        <v>1292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1370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1471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1472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1370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1473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1370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1474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1475</v>
      </c>
      <c r="H589" s="6"/>
      <c r="I589" s="6" t="s">
        <v>1292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1370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1476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1477</v>
      </c>
      <c r="H590" s="6"/>
      <c r="I590" s="6" t="s">
        <v>1292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1370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1478</v>
      </c>
      <c r="B591" s="2"/>
      <c r="C591" s="21">
        <v>15</v>
      </c>
      <c r="D591" s="23"/>
      <c r="E591" s="23"/>
      <c r="F591" s="23"/>
      <c r="G591" s="3" t="s">
        <v>1479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1480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1481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1482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1483</v>
      </c>
      <c r="B593" s="2"/>
      <c r="C593" s="21">
        <v>35</v>
      </c>
      <c r="D593" s="23"/>
      <c r="E593" s="23"/>
      <c r="F593" s="23"/>
      <c r="G593" s="3" t="s">
        <v>1479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1484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1482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1485</v>
      </c>
      <c r="H595" s="6"/>
      <c r="I595" s="6"/>
      <c r="J595" s="6"/>
      <c r="K595" s="21"/>
      <c r="L595" s="5" t="s">
        <v>1486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1487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1486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1488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1482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1489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1490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1491</v>
      </c>
      <c r="B599" s="2"/>
      <c r="C599" s="21">
        <v>40</v>
      </c>
      <c r="D599" s="23"/>
      <c r="E599" s="23"/>
      <c r="F599" s="23"/>
      <c r="G599" s="3" t="s">
        <v>1479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1492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1493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1494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1486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1054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1493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1495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1486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1496</v>
      </c>
      <c r="B604" s="2"/>
      <c r="C604" s="21">
        <v>2</v>
      </c>
      <c r="D604" s="23"/>
      <c r="E604" s="23"/>
      <c r="F604" s="23"/>
      <c r="G604" s="3" t="s">
        <v>1497</v>
      </c>
      <c r="H604" s="4"/>
      <c r="I604" s="6"/>
      <c r="J604" s="4"/>
      <c r="K604" s="5"/>
      <c r="L604" s="5" t="s">
        <v>1493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1493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1498</v>
      </c>
      <c r="H606" s="6"/>
      <c r="I606" s="6"/>
      <c r="J606" s="6"/>
      <c r="K606" s="21"/>
      <c r="L606" s="21" t="s">
        <v>1493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1499</v>
      </c>
      <c r="B607" s="2"/>
      <c r="C607" s="21">
        <v>25</v>
      </c>
      <c r="D607" s="23"/>
      <c r="E607" s="23"/>
      <c r="F607" s="23"/>
      <c r="G607" s="3" t="s">
        <v>1479</v>
      </c>
      <c r="H607" s="6"/>
      <c r="I607" s="6"/>
      <c r="J607" s="6"/>
      <c r="K607" s="21"/>
      <c r="L607" s="21" t="s">
        <v>1493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1500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1486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1486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1493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1501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1490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1502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1490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1503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1493</v>
      </c>
      <c r="M613" s="4" t="s">
        <v>1504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1505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1490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1493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1506</v>
      </c>
      <c r="B616" s="2"/>
      <c r="C616" s="21">
        <v>15.75</v>
      </c>
      <c r="D616" s="23"/>
      <c r="E616" s="23"/>
      <c r="F616" s="23"/>
      <c r="G616" s="3" t="s">
        <v>1507</v>
      </c>
      <c r="H616" s="6"/>
      <c r="I616" s="6"/>
      <c r="J616" s="6"/>
      <c r="K616" s="21"/>
      <c r="L616" s="21" t="s">
        <v>1486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1508</v>
      </c>
      <c r="B617" s="2"/>
      <c r="C617" s="21">
        <v>4.75</v>
      </c>
      <c r="D617" s="23"/>
      <c r="E617" s="23"/>
      <c r="F617" s="23"/>
      <c r="G617" s="3" t="s">
        <v>1509</v>
      </c>
      <c r="H617" s="6"/>
      <c r="I617" s="6"/>
      <c r="J617" s="6"/>
      <c r="K617" s="21"/>
      <c r="L617" s="21" t="s">
        <v>1486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1066</v>
      </c>
      <c r="B618" s="2"/>
      <c r="C618" s="21">
        <v>3</v>
      </c>
      <c r="D618" s="23"/>
      <c r="E618" s="23"/>
      <c r="F618" s="23"/>
      <c r="G618" s="3" t="s">
        <v>1510</v>
      </c>
      <c r="H618" s="6"/>
      <c r="I618" s="6"/>
      <c r="J618" s="6"/>
      <c r="K618" s="21"/>
      <c r="L618" s="21" t="s">
        <v>1493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1091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1486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1063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1486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1511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1486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1512</v>
      </c>
      <c r="B622" s="2"/>
      <c r="C622" s="21">
        <v>3.75</v>
      </c>
      <c r="D622" s="23"/>
      <c r="E622" s="23"/>
      <c r="F622" s="23"/>
      <c r="G622" s="3" t="s">
        <v>1513</v>
      </c>
      <c r="H622" s="6"/>
      <c r="I622" s="6"/>
      <c r="J622" s="6"/>
      <c r="K622" s="21"/>
      <c r="L622" s="21" t="s">
        <v>1493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1045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1486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1514</v>
      </c>
      <c r="B624" s="2"/>
      <c r="C624" s="21">
        <v>2</v>
      </c>
      <c r="D624" s="23"/>
      <c r="E624" s="23"/>
      <c r="F624" s="23"/>
      <c r="G624" s="3" t="s">
        <v>1497</v>
      </c>
      <c r="H624" s="6"/>
      <c r="I624" s="6"/>
      <c r="J624" s="6"/>
      <c r="K624" s="21"/>
      <c r="L624" s="5" t="s">
        <v>1486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1515</v>
      </c>
      <c r="B625" s="2"/>
      <c r="C625" s="21">
        <v>3.75</v>
      </c>
      <c r="D625" s="23"/>
      <c r="E625" s="23"/>
      <c r="F625" s="23"/>
      <c r="G625" s="3" t="s">
        <v>1516</v>
      </c>
      <c r="H625" s="4"/>
      <c r="I625" s="6"/>
      <c r="J625" s="4"/>
      <c r="K625" s="5"/>
      <c r="L625" s="5" t="s">
        <v>1517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1493</v>
      </c>
      <c r="M626" s="4" t="s">
        <v>1504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1518</v>
      </c>
      <c r="B627" s="2"/>
      <c r="C627" s="21">
        <v>30</v>
      </c>
      <c r="D627" s="23"/>
      <c r="E627" s="23"/>
      <c r="F627" s="23"/>
      <c r="G627" s="3" t="s">
        <v>1479</v>
      </c>
      <c r="H627" s="6"/>
      <c r="I627" s="6"/>
      <c r="J627" s="6"/>
      <c r="K627" s="21"/>
      <c r="L627" s="21" t="s">
        <v>1493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1101</v>
      </c>
      <c r="B628" s="2"/>
      <c r="C628" s="21">
        <v>4</v>
      </c>
      <c r="D628" s="23"/>
      <c r="E628" s="23"/>
      <c r="F628" s="23"/>
      <c r="G628" s="3" t="s">
        <v>1519</v>
      </c>
      <c r="H628" s="4"/>
      <c r="I628" s="6"/>
      <c r="J628" s="4"/>
      <c r="K628" s="5"/>
      <c r="L628" s="5" t="s">
        <v>1493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1520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1493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1078</v>
      </c>
      <c r="B630" s="2"/>
      <c r="C630" s="21">
        <v>1.5</v>
      </c>
      <c r="D630" s="23"/>
      <c r="E630" s="23"/>
      <c r="F630" s="23"/>
      <c r="G630" s="3" t="s">
        <v>1521</v>
      </c>
      <c r="H630" s="6"/>
      <c r="I630" s="6"/>
      <c r="J630" s="6"/>
      <c r="K630" s="21"/>
      <c r="L630" s="5" t="s">
        <v>1486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1522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1493</v>
      </c>
      <c r="M631" s="4" t="s">
        <v>1504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1523</v>
      </c>
      <c r="B632" s="2"/>
      <c r="C632" s="21">
        <v>4</v>
      </c>
      <c r="D632" s="23"/>
      <c r="E632" s="23"/>
      <c r="F632" s="23"/>
      <c r="G632" s="3" t="s">
        <v>1524</v>
      </c>
      <c r="H632" s="6"/>
      <c r="I632" s="6"/>
      <c r="J632" s="6"/>
      <c r="K632" s="21"/>
      <c r="L632" s="21" t="s">
        <v>1493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1525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1490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1526</v>
      </c>
      <c r="B634" s="2"/>
      <c r="C634" s="21">
        <v>45</v>
      </c>
      <c r="D634" s="23"/>
      <c r="E634" s="23"/>
      <c r="F634" s="23"/>
      <c r="G634" s="3" t="s">
        <v>1479</v>
      </c>
      <c r="H634" s="6"/>
      <c r="I634" s="6"/>
      <c r="J634" s="6"/>
      <c r="K634" s="21"/>
      <c r="L634" s="5" t="s">
        <v>1493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1527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1486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1528</v>
      </c>
      <c r="B636" s="2"/>
      <c r="C636" s="21">
        <v>3</v>
      </c>
      <c r="D636" s="23"/>
      <c r="E636" s="23"/>
      <c r="F636" s="23"/>
      <c r="G636" s="3" t="s">
        <v>1485</v>
      </c>
      <c r="H636" s="6"/>
      <c r="I636" s="6"/>
      <c r="J636" s="6"/>
      <c r="K636" s="21"/>
      <c r="L636" s="21" t="s">
        <v>1486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1529</v>
      </c>
      <c r="B637" s="2"/>
      <c r="C637" s="21">
        <v>9.75</v>
      </c>
      <c r="D637" s="23"/>
      <c r="E637" s="23"/>
      <c r="F637" s="23"/>
      <c r="G637" s="3" t="s">
        <v>1530</v>
      </c>
      <c r="H637" s="6"/>
      <c r="I637" s="6"/>
      <c r="J637" s="6"/>
      <c r="K637" s="21"/>
      <c r="L637" s="21" t="s">
        <v>1486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1531</v>
      </c>
      <c r="B638" s="2"/>
      <c r="C638" s="21">
        <v>12.25</v>
      </c>
      <c r="D638" s="23"/>
      <c r="E638" s="23"/>
      <c r="F638" s="23"/>
      <c r="G638" s="3" t="s">
        <v>1507</v>
      </c>
      <c r="H638" s="6"/>
      <c r="I638" s="6"/>
      <c r="J638" s="6"/>
      <c r="K638" s="21"/>
      <c r="L638" s="21" t="s">
        <v>1486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1532</v>
      </c>
      <c r="B639" s="2"/>
      <c r="C639" s="21">
        <v>1.9</v>
      </c>
      <c r="D639" s="23"/>
      <c r="E639" s="23"/>
      <c r="F639" s="23"/>
      <c r="G639" s="3" t="s">
        <v>1497</v>
      </c>
      <c r="H639" s="4"/>
      <c r="I639" s="6"/>
      <c r="J639" s="4"/>
      <c r="K639" s="5"/>
      <c r="L639" s="5" t="s">
        <v>1493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1533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1493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1083</v>
      </c>
      <c r="B641" s="2"/>
      <c r="C641" s="21">
        <v>6</v>
      </c>
      <c r="D641" s="23"/>
      <c r="E641" s="23"/>
      <c r="F641" s="23"/>
      <c r="G641" s="3" t="s">
        <v>1519</v>
      </c>
      <c r="H641" s="4"/>
      <c r="I641" s="6"/>
      <c r="J641" s="4"/>
      <c r="K641" s="5"/>
      <c r="L641" s="5" t="s">
        <v>1493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1142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1493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1534</v>
      </c>
      <c r="B643" s="2"/>
      <c r="C643" s="21">
        <v>5</v>
      </c>
      <c r="D643" s="23"/>
      <c r="E643" s="23"/>
      <c r="F643" s="23"/>
      <c r="G643" s="3" t="s">
        <v>1535</v>
      </c>
      <c r="H643" s="4"/>
      <c r="I643" s="6"/>
      <c r="J643" s="4"/>
      <c r="K643" s="5"/>
      <c r="L643" s="5" t="s">
        <v>1493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1536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1490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1060</v>
      </c>
      <c r="B645" s="2"/>
      <c r="C645" s="21">
        <v>4</v>
      </c>
      <c r="D645" s="23"/>
      <c r="E645" s="23"/>
      <c r="F645" s="23"/>
      <c r="G645" s="3" t="s">
        <v>1485</v>
      </c>
      <c r="H645" s="4"/>
      <c r="I645" s="4"/>
      <c r="J645" s="4"/>
      <c r="K645" s="5"/>
      <c r="L645" s="5" t="s">
        <v>1493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1537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1486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1125</v>
      </c>
      <c r="B647" s="2"/>
      <c r="C647" s="21">
        <v>4.75</v>
      </c>
      <c r="D647" s="23"/>
      <c r="E647" s="23"/>
      <c r="F647" s="23"/>
      <c r="G647" s="3" t="s">
        <v>1519</v>
      </c>
      <c r="H647" s="4"/>
      <c r="I647" s="6"/>
      <c r="J647" s="4"/>
      <c r="K647" s="5"/>
      <c r="L647" s="5" t="s">
        <v>1493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1538</v>
      </c>
      <c r="B648" s="2"/>
      <c r="C648" s="21">
        <v>3</v>
      </c>
      <c r="D648" s="23"/>
      <c r="E648" s="23"/>
      <c r="F648" s="23"/>
      <c r="G648" s="3" t="s">
        <v>1524</v>
      </c>
      <c r="H648" s="6"/>
      <c r="I648" s="6"/>
      <c r="J648" s="6"/>
      <c r="K648" s="21"/>
      <c r="L648" s="5" t="s">
        <v>1539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1540</v>
      </c>
      <c r="H649" s="4"/>
      <c r="I649" s="4"/>
      <c r="J649" s="4"/>
      <c r="K649" s="5"/>
      <c r="L649" s="5" t="s">
        <v>1539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1541</v>
      </c>
      <c r="B650" s="2"/>
      <c r="C650" s="21">
        <v>2</v>
      </c>
      <c r="D650" s="23"/>
      <c r="E650" s="23"/>
      <c r="F650" s="23"/>
      <c r="G650" s="3" t="s">
        <v>1535</v>
      </c>
      <c r="H650" s="4"/>
      <c r="I650" s="6"/>
      <c r="J650" s="4"/>
      <c r="K650" s="5"/>
      <c r="L650" s="5" t="s">
        <v>1493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1542</v>
      </c>
      <c r="B651" s="2"/>
      <c r="C651" s="21">
        <v>4</v>
      </c>
      <c r="D651" s="23"/>
      <c r="E651" s="23"/>
      <c r="F651" s="23"/>
      <c r="G651" s="3" t="s">
        <v>1485</v>
      </c>
      <c r="H651" s="4"/>
      <c r="I651" s="6"/>
      <c r="J651" s="4"/>
      <c r="K651" s="5"/>
      <c r="L651" s="5" t="s">
        <v>1493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1485</v>
      </c>
      <c r="H652" s="4"/>
      <c r="I652" s="6"/>
      <c r="J652" s="4"/>
      <c r="K652" s="5"/>
      <c r="L652" s="5" t="s">
        <v>1486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1543</v>
      </c>
      <c r="B653" s="2"/>
      <c r="C653" s="21">
        <v>1.2</v>
      </c>
      <c r="D653" s="23"/>
      <c r="E653" s="23"/>
      <c r="F653" s="23"/>
      <c r="G653" s="3" t="s">
        <v>1544</v>
      </c>
      <c r="H653" s="4"/>
      <c r="I653" s="6"/>
      <c r="J653" s="4"/>
      <c r="K653" s="5"/>
      <c r="L653" s="5" t="s">
        <v>1539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1545</v>
      </c>
      <c r="B654" s="2"/>
      <c r="C654" s="21">
        <v>6</v>
      </c>
      <c r="D654" s="23"/>
      <c r="E654" s="23"/>
      <c r="F654" s="23"/>
      <c r="G654" s="3" t="s">
        <v>1509</v>
      </c>
      <c r="H654" s="6"/>
      <c r="I654" s="6"/>
      <c r="J654" s="6"/>
      <c r="K654" s="21"/>
      <c r="L654" s="21" t="s">
        <v>1486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1546</v>
      </c>
      <c r="B655" s="2"/>
      <c r="C655" s="21">
        <v>3.75</v>
      </c>
      <c r="D655" s="23"/>
      <c r="E655" s="23"/>
      <c r="F655" s="23"/>
      <c r="G655" s="3" t="s">
        <v>1547</v>
      </c>
      <c r="H655" s="4"/>
      <c r="I655" s="6"/>
      <c r="J655" s="4"/>
      <c r="K655" s="5"/>
      <c r="L655" s="5" t="s">
        <v>1493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1548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1486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1549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1486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1550</v>
      </c>
      <c r="B658" s="2"/>
      <c r="C658" s="21">
        <v>8</v>
      </c>
      <c r="D658" s="23"/>
      <c r="E658" s="23"/>
      <c r="F658" s="23"/>
      <c r="G658" s="3" t="s">
        <v>1509</v>
      </c>
      <c r="H658" s="4"/>
      <c r="I658" s="4"/>
      <c r="J658" s="4"/>
      <c r="K658" s="5"/>
      <c r="L658" s="5" t="s">
        <v>1486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1551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1486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1552</v>
      </c>
      <c r="B660" s="2"/>
      <c r="C660" s="21">
        <v>0.7</v>
      </c>
      <c r="D660" s="23"/>
      <c r="E660" s="23"/>
      <c r="F660" s="77"/>
      <c r="G660" s="3" t="s">
        <v>1509</v>
      </c>
      <c r="H660" s="4"/>
      <c r="I660" s="4"/>
      <c r="J660" s="4"/>
      <c r="K660" s="5"/>
      <c r="L660" s="5" t="s">
        <v>1486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1553</v>
      </c>
      <c r="B661" s="2"/>
      <c r="C661" s="21">
        <v>1</v>
      </c>
      <c r="D661" s="23"/>
      <c r="E661" s="23"/>
      <c r="F661" s="77"/>
      <c r="G661" s="3" t="s">
        <v>1521</v>
      </c>
      <c r="H661" s="6"/>
      <c r="I661" s="6"/>
      <c r="J661" s="6"/>
      <c r="K661" s="21"/>
      <c r="L661" s="21" t="s">
        <v>1539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1554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1486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1141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1493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1555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1556</v>
      </c>
      <c r="M664" s="4" t="s">
        <v>1504</v>
      </c>
      <c r="N664" s="4"/>
      <c r="O664" s="4"/>
      <c r="P664" s="4"/>
      <c r="Q664" s="24"/>
      <c r="R664" s="24" t="s">
        <v>205</v>
      </c>
      <c r="S664" s="6" t="s">
        <v>1557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1558</v>
      </c>
      <c r="B665" s="2"/>
      <c r="C665" s="21">
        <v>18</v>
      </c>
      <c r="D665" s="23"/>
      <c r="E665" s="23"/>
      <c r="F665" s="23"/>
      <c r="G665" s="3" t="s">
        <v>1026</v>
      </c>
      <c r="H665" s="4"/>
      <c r="I665" s="6"/>
      <c r="J665" s="4"/>
      <c r="K665" s="5"/>
      <c r="L665" s="5" t="s">
        <v>1486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1559</v>
      </c>
      <c r="B666" s="2"/>
      <c r="C666" s="21">
        <v>1</v>
      </c>
      <c r="D666" s="23"/>
      <c r="E666" s="23"/>
      <c r="F666" s="23"/>
      <c r="G666" s="3" t="s">
        <v>1560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1561</v>
      </c>
      <c r="B667" s="2"/>
      <c r="C667" s="21">
        <v>7.75</v>
      </c>
      <c r="D667" s="23"/>
      <c r="E667" s="23"/>
      <c r="F667" s="23"/>
      <c r="G667" s="3" t="s">
        <v>1218</v>
      </c>
      <c r="H667" s="4"/>
      <c r="I667" s="6"/>
      <c r="J667" s="4"/>
      <c r="K667" s="5"/>
      <c r="L667" s="5" t="s">
        <v>1486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1562</v>
      </c>
      <c r="B668" s="2"/>
      <c r="C668" s="21">
        <v>2</v>
      </c>
      <c r="D668" s="23"/>
      <c r="E668" s="23"/>
      <c r="F668" s="23"/>
      <c r="G668" s="3" t="s">
        <v>1535</v>
      </c>
      <c r="H668" s="6"/>
      <c r="I668" s="6"/>
      <c r="J668" s="6"/>
      <c r="K668" s="21"/>
      <c r="L668" s="21" t="s">
        <v>1493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1563</v>
      </c>
      <c r="B669" s="2"/>
      <c r="C669" s="21">
        <v>5</v>
      </c>
      <c r="D669" s="23"/>
      <c r="E669" s="23"/>
      <c r="F669" s="23"/>
      <c r="G669" s="3" t="s">
        <v>1535</v>
      </c>
      <c r="H669" s="6"/>
      <c r="I669" s="6"/>
      <c r="J669" s="6"/>
      <c r="K669" s="21"/>
      <c r="L669" s="21" t="s">
        <v>1493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1564</v>
      </c>
      <c r="B670" s="2"/>
      <c r="C670" s="21">
        <v>1.9</v>
      </c>
      <c r="D670" s="23"/>
      <c r="E670" s="23"/>
      <c r="F670" s="23"/>
      <c r="G670" s="3" t="s">
        <v>1565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1566</v>
      </c>
      <c r="B671" s="2"/>
      <c r="C671" s="21">
        <v>3</v>
      </c>
      <c r="D671" s="23"/>
      <c r="E671" s="23"/>
      <c r="F671" s="23"/>
      <c r="G671" s="3" t="s">
        <v>1567</v>
      </c>
      <c r="H671" s="6"/>
      <c r="I671" s="6"/>
      <c r="J671" s="6"/>
      <c r="K671" s="21"/>
      <c r="L671" s="5" t="s">
        <v>1493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1568</v>
      </c>
      <c r="B672" s="2"/>
      <c r="C672" s="21">
        <v>5</v>
      </c>
      <c r="D672" s="23"/>
      <c r="E672" s="23"/>
      <c r="F672" s="23"/>
      <c r="G672" s="3" t="s">
        <v>1567</v>
      </c>
      <c r="H672" s="4"/>
      <c r="I672" s="6"/>
      <c r="J672" s="4"/>
      <c r="K672" s="5"/>
      <c r="L672" s="5" t="s">
        <v>1493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1569</v>
      </c>
      <c r="B673" s="2"/>
      <c r="C673" s="21">
        <v>15.88</v>
      </c>
      <c r="D673" s="23"/>
      <c r="E673" s="23"/>
      <c r="F673" s="23"/>
      <c r="G673" s="3" t="s">
        <v>1026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1570</v>
      </c>
      <c r="B674" s="2"/>
      <c r="C674" s="21">
        <v>16</v>
      </c>
      <c r="D674" s="23"/>
      <c r="E674" s="23"/>
      <c r="F674" s="23"/>
      <c r="G674" s="3" t="s">
        <v>1026</v>
      </c>
      <c r="H674" s="4"/>
      <c r="I674" s="6"/>
      <c r="J674" s="4"/>
      <c r="K674" s="5"/>
      <c r="L674" s="5" t="s">
        <v>1493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1571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1572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1493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1573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1493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1574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1493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1575</v>
      </c>
      <c r="B679" s="2"/>
      <c r="C679" s="21">
        <v>2.5</v>
      </c>
      <c r="D679" s="23"/>
      <c r="E679" s="23"/>
      <c r="F679" s="23"/>
      <c r="G679" s="3" t="s">
        <v>1485</v>
      </c>
      <c r="H679" s="4"/>
      <c r="I679" s="4"/>
      <c r="J679" s="4"/>
      <c r="K679" s="5"/>
      <c r="L679" s="5" t="s">
        <v>1486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1576</v>
      </c>
      <c r="B680" s="2"/>
      <c r="C680" s="21">
        <v>3</v>
      </c>
      <c r="D680" s="23"/>
      <c r="E680" s="23"/>
      <c r="F680" s="23"/>
      <c r="G680" s="3" t="s">
        <v>1524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1056</v>
      </c>
      <c r="B681" s="2"/>
      <c r="C681" s="21">
        <v>3</v>
      </c>
      <c r="D681" s="23"/>
      <c r="E681" s="23"/>
      <c r="F681" s="23"/>
      <c r="G681" s="3" t="s">
        <v>1524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1577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1493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1578</v>
      </c>
      <c r="B683" s="2"/>
      <c r="C683" s="21">
        <v>3</v>
      </c>
      <c r="D683" s="23"/>
      <c r="E683" s="23"/>
      <c r="F683" s="23"/>
      <c r="G683" s="3" t="s">
        <v>1485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1579</v>
      </c>
      <c r="B684" s="2"/>
      <c r="C684" s="21">
        <v>3</v>
      </c>
      <c r="D684" s="23"/>
      <c r="E684" s="23"/>
      <c r="F684" s="23"/>
      <c r="G684" s="3" t="s">
        <v>1485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1580</v>
      </c>
      <c r="B685" s="2"/>
      <c r="C685" s="21">
        <v>4</v>
      </c>
      <c r="D685" s="23"/>
      <c r="E685" s="23"/>
      <c r="F685" s="23"/>
      <c r="G685" s="3" t="s">
        <v>1498</v>
      </c>
      <c r="H685" s="6"/>
      <c r="I685" s="6"/>
      <c r="J685" s="6"/>
      <c r="K685" s="21"/>
      <c r="L685" s="21" t="s">
        <v>1539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1581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1486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1582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1486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1583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1486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1584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1486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1585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1586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1587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1588</v>
      </c>
      <c r="B693" s="2"/>
      <c r="C693" s="21">
        <v>4.75</v>
      </c>
      <c r="D693" s="23"/>
      <c r="E693" s="23"/>
      <c r="F693" s="23"/>
      <c r="G693" s="3" t="s">
        <v>1509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1589</v>
      </c>
      <c r="B694" s="2"/>
      <c r="C694" s="21">
        <v>4.75</v>
      </c>
      <c r="D694" s="23"/>
      <c r="E694" s="23"/>
      <c r="F694" s="23"/>
      <c r="G694" s="3" t="s">
        <v>1485</v>
      </c>
      <c r="H694" s="6"/>
      <c r="I694" s="6"/>
      <c r="J694" s="6"/>
      <c r="K694" s="21"/>
      <c r="L694" s="21" t="s">
        <v>1486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1590</v>
      </c>
      <c r="B695" s="2"/>
      <c r="C695" s="21">
        <v>4.75</v>
      </c>
      <c r="D695" s="23"/>
      <c r="E695" s="23"/>
      <c r="F695" s="23"/>
      <c r="G695" s="3" t="s">
        <v>1485</v>
      </c>
      <c r="H695" s="6"/>
      <c r="I695" s="6"/>
      <c r="J695" s="6"/>
      <c r="K695" s="21"/>
      <c r="L695" s="21" t="s">
        <v>1486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1591</v>
      </c>
      <c r="B696" s="2"/>
      <c r="C696" s="21">
        <v>4.75</v>
      </c>
      <c r="D696" s="23"/>
      <c r="E696" s="23"/>
      <c r="F696" s="23"/>
      <c r="G696" s="3" t="s">
        <v>1485</v>
      </c>
      <c r="H696" s="6"/>
      <c r="I696" s="6"/>
      <c r="J696" s="6"/>
      <c r="K696" s="21"/>
      <c r="L696" s="21" t="s">
        <v>1486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1237</v>
      </c>
      <c r="B697" s="2"/>
      <c r="C697" s="21">
        <v>5</v>
      </c>
      <c r="D697" s="23"/>
      <c r="E697" s="23"/>
      <c r="F697" s="23"/>
      <c r="G697" s="3" t="s">
        <v>1592</v>
      </c>
      <c r="H697" s="6"/>
      <c r="I697" s="6"/>
      <c r="J697" s="6"/>
      <c r="K697" s="21"/>
      <c r="L697" s="21" t="s">
        <v>1486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1593</v>
      </c>
      <c r="B698" s="2"/>
      <c r="C698" s="21">
        <v>5.75</v>
      </c>
      <c r="D698" s="23"/>
      <c r="E698" s="23"/>
      <c r="F698" s="23"/>
      <c r="G698" s="3" t="s">
        <v>1516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1594</v>
      </c>
      <c r="B699" s="2"/>
      <c r="C699" s="21">
        <v>6</v>
      </c>
      <c r="D699" s="23"/>
      <c r="E699" s="23"/>
      <c r="F699" s="23"/>
      <c r="G699" s="3" t="s">
        <v>1592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1595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1596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1597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1486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1598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1260</v>
      </c>
      <c r="B704" s="2"/>
      <c r="C704" s="21">
        <v>9.5</v>
      </c>
      <c r="D704" s="23"/>
      <c r="E704" s="23"/>
      <c r="F704" s="23"/>
      <c r="G704" s="3" t="s">
        <v>1497</v>
      </c>
      <c r="H704" s="6"/>
      <c r="I704" s="6"/>
      <c r="J704" s="6"/>
      <c r="K704" s="21"/>
      <c r="L704" s="21" t="s">
        <v>1493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1599</v>
      </c>
      <c r="B705" s="2"/>
      <c r="C705" s="21">
        <v>9.75</v>
      </c>
      <c r="D705" s="23"/>
      <c r="E705" s="23"/>
      <c r="F705" s="23"/>
      <c r="G705" s="3" t="s">
        <v>1530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1600</v>
      </c>
      <c r="B706" s="2"/>
      <c r="C706" s="21">
        <v>9.75</v>
      </c>
      <c r="D706" s="23"/>
      <c r="E706" s="23"/>
      <c r="F706" s="23"/>
      <c r="G706" s="3" t="s">
        <v>1530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1601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1486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1602</v>
      </c>
      <c r="B708" s="2"/>
      <c r="C708" s="21">
        <v>12</v>
      </c>
      <c r="D708" s="23"/>
      <c r="E708" s="23"/>
      <c r="F708" s="23"/>
      <c r="G708" s="3" t="s">
        <v>1026</v>
      </c>
      <c r="H708" s="6"/>
      <c r="I708" s="6"/>
      <c r="J708" s="6"/>
      <c r="K708" s="21"/>
      <c r="L708" s="21" t="s">
        <v>1482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1603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1556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1604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1556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1605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3">
      <filters>
        <filter val="Saveiro"/>
        <filter val="Saveiro - sup rad"/>
      </filters>
    </filterColumn>
    <filterColumn colId="17">
      <filters>
        <filter val="Diadema"/>
      </filters>
    </filterColumn>
  </autoFilter>
  <conditionalFormatting sqref="A193:A213 A4:A95 A97:A118">
    <cfRule type="duplicateValues" dxfId="7" priority="12"/>
  </conditionalFormatting>
  <conditionalFormatting sqref="A460:A488">
    <cfRule type="duplicateValues" dxfId="6" priority="11"/>
  </conditionalFormatting>
  <conditionalFormatting sqref="A582 A584:A711">
    <cfRule type="duplicateValues" dxfId="5" priority="10"/>
  </conditionalFormatting>
  <conditionalFormatting sqref="Z3:AF711">
    <cfRule type="containsText" dxfId="4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3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K121"/>
  <sheetViews>
    <sheetView showGridLines="0" tabSelected="1" zoomScale="70" zoomScaleNormal="70" workbookViewId="0">
      <pane xSplit="2" ySplit="5" topLeftCell="C9" activePane="bottomRight" state="frozen"/>
      <selection pane="topRight" activeCell="B1" sqref="B1"/>
      <selection pane="bottomLeft" activeCell="A6" sqref="A6"/>
      <selection pane="bottomRight" activeCell="D14" sqref="D14"/>
    </sheetView>
  </sheetViews>
  <sheetFormatPr defaultColWidth="9.33203125" defaultRowHeight="15" customHeight="1" outlineLevelCol="1" x14ac:dyDescent="0.3"/>
  <cols>
    <col min="1" max="1" width="27.6640625" customWidth="1"/>
    <col min="2" max="3" width="22.5546875" customWidth="1"/>
    <col min="4" max="4" width="44.44140625" customWidth="1"/>
    <col min="5" max="5" width="14.3320312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6640625" customWidth="1" outlineLevel="1"/>
    <col min="11" max="11" width="18.6640625" customWidth="1" outlineLevel="1"/>
    <col min="12" max="12" width="36.88671875" bestFit="1" customWidth="1" outlineLevel="1"/>
    <col min="13" max="13" width="3" customWidth="1"/>
    <col min="14" max="14" width="23.664062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664062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6640625" style="96" customWidth="1" outlineLevel="1"/>
    <col min="27" max="27" width="27.44140625" customWidth="1" outlineLevel="1"/>
    <col min="28" max="31" width="26.5546875" style="96" customWidth="1" outlineLevel="1"/>
    <col min="32" max="33" width="31.33203125" style="96" customWidth="1" outlineLevel="1"/>
    <col min="34" max="34" width="32.5546875" style="96" customWidth="1" outlineLevel="1"/>
    <col min="35" max="35" width="133.77734375" style="96" bestFit="1" customWidth="1" outlineLevel="1"/>
    <col min="37" max="37" width="21.44140625" hidden="1" customWidth="1"/>
  </cols>
  <sheetData>
    <row r="1" spans="1:37" ht="24" thickBot="1" x14ac:dyDescent="0.5">
      <c r="M1" s="97"/>
      <c r="X1" s="97"/>
      <c r="AK1" t="s">
        <v>8</v>
      </c>
    </row>
    <row r="2" spans="1:37" ht="14.85" customHeight="1" x14ac:dyDescent="0.45">
      <c r="A2" s="137"/>
      <c r="B2" s="137" t="s">
        <v>1606</v>
      </c>
      <c r="C2" s="138"/>
      <c r="D2" s="138"/>
      <c r="E2" s="138"/>
      <c r="F2" s="138"/>
      <c r="G2" s="138"/>
      <c r="H2" s="138"/>
      <c r="I2" s="97"/>
      <c r="J2" s="137"/>
      <c r="K2" s="138"/>
      <c r="L2" s="139"/>
      <c r="M2" s="97"/>
      <c r="N2" s="137"/>
      <c r="O2" s="139"/>
      <c r="P2" s="97"/>
      <c r="Q2" s="266"/>
      <c r="R2" s="267"/>
      <c r="S2" s="97"/>
      <c r="T2" s="137"/>
      <c r="U2" s="138"/>
      <c r="V2" s="138"/>
      <c r="W2" s="139"/>
      <c r="X2" s="97"/>
      <c r="Y2" s="234" t="s">
        <v>1607</v>
      </c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K2" t="s">
        <v>10</v>
      </c>
    </row>
    <row r="3" spans="1:37" ht="15" customHeight="1" thickBot="1" x14ac:dyDescent="0.5">
      <c r="A3" s="140"/>
      <c r="B3" s="140"/>
      <c r="C3" s="141"/>
      <c r="D3" s="141"/>
      <c r="E3" s="141"/>
      <c r="F3" s="141"/>
      <c r="G3" s="141"/>
      <c r="H3" s="141"/>
      <c r="I3" s="97"/>
      <c r="J3" s="140"/>
      <c r="K3" s="141"/>
      <c r="L3" s="142"/>
      <c r="M3" s="97"/>
      <c r="N3" s="263"/>
      <c r="O3" s="264"/>
      <c r="P3" s="97"/>
      <c r="Q3" s="143"/>
      <c r="R3" s="145"/>
      <c r="S3" s="97"/>
      <c r="T3" s="140"/>
      <c r="U3" s="141"/>
      <c r="V3" s="141"/>
      <c r="W3" s="142"/>
      <c r="X3" s="97"/>
      <c r="Y3" s="236"/>
      <c r="Z3" s="237"/>
      <c r="AA3" s="237"/>
      <c r="AB3" s="237"/>
      <c r="AC3" s="237"/>
      <c r="AD3" s="237"/>
      <c r="AE3" s="238"/>
      <c r="AF3" s="238"/>
      <c r="AG3" s="238"/>
      <c r="AH3" s="237"/>
      <c r="AI3" s="237"/>
      <c r="AK3" t="s">
        <v>1608</v>
      </c>
    </row>
    <row r="4" spans="1:37" s="98" customFormat="1" ht="24" thickBot="1" x14ac:dyDescent="0.5">
      <c r="A4" s="143"/>
      <c r="B4" s="143" t="s">
        <v>1609</v>
      </c>
      <c r="C4" s="144"/>
      <c r="D4" s="144"/>
      <c r="E4" s="144"/>
      <c r="F4" s="144"/>
      <c r="G4" s="144"/>
      <c r="H4" s="145"/>
      <c r="I4" s="97"/>
      <c r="J4" s="258" t="s">
        <v>1610</v>
      </c>
      <c r="K4" s="259"/>
      <c r="L4" s="260"/>
      <c r="M4" s="97"/>
      <c r="N4" s="258" t="s">
        <v>1611</v>
      </c>
      <c r="O4" s="260"/>
      <c r="P4" s="97"/>
      <c r="Q4" s="258" t="s">
        <v>1612</v>
      </c>
      <c r="R4" s="260"/>
      <c r="S4" s="97"/>
      <c r="T4" s="258" t="s">
        <v>1613</v>
      </c>
      <c r="U4" s="259"/>
      <c r="V4" s="259"/>
      <c r="W4" s="260"/>
      <c r="X4" s="97"/>
      <c r="Y4" s="155" t="s">
        <v>1614</v>
      </c>
      <c r="Z4" s="155" t="s">
        <v>1615</v>
      </c>
      <c r="AA4" s="155" t="s">
        <v>1615</v>
      </c>
      <c r="AB4" s="155" t="s">
        <v>1615</v>
      </c>
      <c r="AC4" s="155" t="s">
        <v>1615</v>
      </c>
      <c r="AD4" s="154" t="s">
        <v>1616</v>
      </c>
      <c r="AE4" s="156" t="s">
        <v>1615</v>
      </c>
      <c r="AF4" s="154" t="s">
        <v>1615</v>
      </c>
      <c r="AG4" s="154" t="s">
        <v>1615</v>
      </c>
      <c r="AH4" s="153" t="s">
        <v>1617</v>
      </c>
      <c r="AI4" s="154" t="s">
        <v>1618</v>
      </c>
      <c r="AK4" t="s">
        <v>13</v>
      </c>
    </row>
    <row r="5" spans="1:37" ht="78.45" customHeight="1" x14ac:dyDescent="0.3">
      <c r="A5" s="221" t="s">
        <v>1833</v>
      </c>
      <c r="B5" s="99" t="s">
        <v>1619</v>
      </c>
      <c r="C5" s="106" t="s">
        <v>1620</v>
      </c>
      <c r="D5" s="100" t="s">
        <v>1621</v>
      </c>
      <c r="E5" s="101" t="s">
        <v>1622</v>
      </c>
      <c r="F5" s="102" t="s">
        <v>1623</v>
      </c>
      <c r="G5" s="102" t="s">
        <v>1624</v>
      </c>
      <c r="H5" s="103" t="s">
        <v>1625</v>
      </c>
      <c r="J5" s="104" t="s">
        <v>1626</v>
      </c>
      <c r="K5" s="101" t="s">
        <v>1627</v>
      </c>
      <c r="L5" s="105" t="s">
        <v>1628</v>
      </c>
      <c r="N5" s="261" t="s">
        <v>1629</v>
      </c>
      <c r="O5" s="262" t="s">
        <v>1630</v>
      </c>
      <c r="Q5" s="265" t="s">
        <v>1631</v>
      </c>
      <c r="R5" s="262" t="s">
        <v>1632</v>
      </c>
      <c r="T5" s="104" t="s">
        <v>1633</v>
      </c>
      <c r="U5" s="106" t="s">
        <v>1634</v>
      </c>
      <c r="V5" s="101" t="s">
        <v>1635</v>
      </c>
      <c r="W5" s="105" t="s">
        <v>1636</v>
      </c>
      <c r="Y5" s="149" t="s">
        <v>1637</v>
      </c>
      <c r="Z5" s="107" t="s">
        <v>1638</v>
      </c>
      <c r="AA5" s="107" t="s">
        <v>1639</v>
      </c>
      <c r="AB5" s="107" t="s">
        <v>1640</v>
      </c>
      <c r="AC5" s="107" t="s">
        <v>1641</v>
      </c>
      <c r="AD5" s="107" t="s">
        <v>1642</v>
      </c>
      <c r="AE5" s="107" t="s">
        <v>1643</v>
      </c>
      <c r="AF5" s="107" t="s">
        <v>1644</v>
      </c>
      <c r="AG5" s="107" t="s">
        <v>1846</v>
      </c>
      <c r="AH5" s="107" t="s">
        <v>1645</v>
      </c>
      <c r="AI5" s="107" t="s">
        <v>1646</v>
      </c>
    </row>
    <row r="6" spans="1:37" ht="44.1" hidden="1" customHeight="1" x14ac:dyDescent="0.3">
      <c r="A6" s="108"/>
      <c r="B6" s="108" t="s">
        <v>38</v>
      </c>
      <c r="C6" s="108"/>
      <c r="D6" s="134" t="s">
        <v>1647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58" t="s">
        <v>1648</v>
      </c>
      <c r="N6" s="114" t="s">
        <v>1649</v>
      </c>
      <c r="O6" s="116" t="s">
        <v>1650</v>
      </c>
      <c r="Q6" s="108" t="s">
        <v>1507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1651</v>
      </c>
      <c r="Z6" s="108" t="s">
        <v>8</v>
      </c>
      <c r="AA6" s="131">
        <v>45722</v>
      </c>
      <c r="AB6" s="131">
        <v>46118</v>
      </c>
      <c r="AC6" s="131">
        <v>46218</v>
      </c>
      <c r="AD6" s="108" t="s">
        <v>12</v>
      </c>
      <c r="AE6" s="108" t="s">
        <v>12</v>
      </c>
      <c r="AF6" s="131"/>
      <c r="AG6" s="131"/>
      <c r="AH6" s="108" t="s">
        <v>1652</v>
      </c>
      <c r="AI6" s="112" t="s">
        <v>1653</v>
      </c>
    </row>
    <row r="7" spans="1:37" ht="44.1" hidden="1" customHeight="1" x14ac:dyDescent="0.3">
      <c r="A7" s="108"/>
      <c r="B7" s="108" t="s">
        <v>949</v>
      </c>
      <c r="C7" s="108"/>
      <c r="D7" s="109" t="s">
        <v>1654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1649</v>
      </c>
      <c r="O7" s="116" t="s">
        <v>1650</v>
      </c>
      <c r="Q7" s="108" t="s">
        <v>1507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19" t="s">
        <v>1651</v>
      </c>
      <c r="Z7" s="119" t="s">
        <v>8</v>
      </c>
      <c r="AA7" s="120">
        <v>45722</v>
      </c>
      <c r="AB7" s="120">
        <v>46118</v>
      </c>
      <c r="AC7" s="120">
        <v>46140</v>
      </c>
      <c r="AD7" s="119" t="s">
        <v>12</v>
      </c>
      <c r="AE7" s="119" t="s">
        <v>12</v>
      </c>
      <c r="AF7" s="120">
        <v>46203</v>
      </c>
      <c r="AG7" s="120"/>
      <c r="AH7" s="119" t="s">
        <v>1652</v>
      </c>
      <c r="AI7" s="122" t="s">
        <v>1655</v>
      </c>
    </row>
    <row r="8" spans="1:37" ht="44.1" hidden="1" customHeight="1" x14ac:dyDescent="0.3">
      <c r="A8" s="108"/>
      <c r="B8" s="108" t="s">
        <v>40</v>
      </c>
      <c r="C8" s="108"/>
      <c r="D8" s="109" t="s">
        <v>1656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1657</v>
      </c>
      <c r="O8" s="116" t="s">
        <v>1650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19" t="s">
        <v>1651</v>
      </c>
      <c r="Z8" s="119" t="s">
        <v>8</v>
      </c>
      <c r="AA8" s="120">
        <v>45722</v>
      </c>
      <c r="AB8" s="120">
        <v>46118</v>
      </c>
      <c r="AC8" s="120">
        <v>46140</v>
      </c>
      <c r="AD8" s="119" t="s">
        <v>12</v>
      </c>
      <c r="AE8" s="119" t="s">
        <v>12</v>
      </c>
      <c r="AF8" s="120">
        <v>46203</v>
      </c>
      <c r="AG8" s="120">
        <v>46231</v>
      </c>
      <c r="AH8" s="119" t="s">
        <v>1652</v>
      </c>
      <c r="AI8" s="119" t="s">
        <v>95</v>
      </c>
    </row>
    <row r="9" spans="1:37" ht="44.1" customHeight="1" x14ac:dyDescent="0.3">
      <c r="A9" s="119"/>
      <c r="B9" s="119" t="s">
        <v>41</v>
      </c>
      <c r="C9" s="119" t="s">
        <v>1658</v>
      </c>
      <c r="D9" s="122" t="s">
        <v>1659</v>
      </c>
      <c r="E9" s="119">
        <v>87.74</v>
      </c>
      <c r="F9" s="224">
        <v>168140.89131840027</v>
      </c>
      <c r="G9" s="119" t="s">
        <v>24</v>
      </c>
      <c r="H9" s="122" t="s">
        <v>42</v>
      </c>
      <c r="J9" s="208">
        <f>MID(B9,4,4)/100</f>
        <v>1.8</v>
      </c>
      <c r="K9" s="215" t="s">
        <v>1285</v>
      </c>
      <c r="L9" s="125" t="s">
        <v>1660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19" t="s">
        <v>1651</v>
      </c>
      <c r="Z9" s="119" t="s">
        <v>8</v>
      </c>
      <c r="AA9" s="120">
        <v>46093</v>
      </c>
      <c r="AB9" s="120">
        <v>46108</v>
      </c>
      <c r="AC9" s="120">
        <v>46155</v>
      </c>
      <c r="AD9" s="120">
        <v>46231</v>
      </c>
      <c r="AE9" s="120">
        <v>46248</v>
      </c>
      <c r="AF9" s="120">
        <v>46174</v>
      </c>
      <c r="AG9" s="120">
        <v>46174</v>
      </c>
      <c r="AH9" s="120">
        <v>46285</v>
      </c>
      <c r="AI9" s="127" t="s">
        <v>96</v>
      </c>
    </row>
    <row r="10" spans="1:37" ht="44.1" customHeight="1" x14ac:dyDescent="0.3">
      <c r="A10" s="202"/>
      <c r="B10" s="202" t="s">
        <v>44</v>
      </c>
      <c r="C10" s="202" t="s">
        <v>1658</v>
      </c>
      <c r="D10" s="226" t="s">
        <v>1662</v>
      </c>
      <c r="E10" s="202">
        <v>33.04</v>
      </c>
      <c r="F10" s="227">
        <f>76639.7953125005+90849.43</f>
        <v>167489.22531250049</v>
      </c>
      <c r="G10" s="202" t="s">
        <v>24</v>
      </c>
      <c r="H10" s="220" t="s">
        <v>45</v>
      </c>
      <c r="J10" s="204">
        <f>MID(B10,4,4)/100</f>
        <v>1.4</v>
      </c>
      <c r="K10" s="216" t="s">
        <v>1315</v>
      </c>
      <c r="L10" s="202" t="s">
        <v>1663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1651</v>
      </c>
      <c r="Z10" s="108" t="s">
        <v>8</v>
      </c>
      <c r="AA10" s="131">
        <v>46269</v>
      </c>
      <c r="AB10" s="131">
        <v>46281</v>
      </c>
      <c r="AC10" s="108"/>
      <c r="AD10" s="108"/>
      <c r="AE10" s="108"/>
      <c r="AF10" s="108"/>
      <c r="AG10" s="108"/>
      <c r="AH10" s="108"/>
      <c r="AI10" s="108" t="s">
        <v>1858</v>
      </c>
    </row>
    <row r="11" spans="1:37" ht="44.1" hidden="1" customHeight="1" x14ac:dyDescent="0.3">
      <c r="A11" s="108"/>
      <c r="B11" s="108" t="s">
        <v>35</v>
      </c>
      <c r="C11" s="108"/>
      <c r="D11" s="109" t="s">
        <v>964</v>
      </c>
      <c r="E11" s="128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9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0" t="s">
        <v>1664</v>
      </c>
      <c r="V11" s="108" t="s">
        <v>1665</v>
      </c>
      <c r="W11" s="130" t="s">
        <v>1666</v>
      </c>
      <c r="Y11" s="119" t="s">
        <v>1651</v>
      </c>
      <c r="Z11" s="119" t="s">
        <v>8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19" t="s">
        <v>12</v>
      </c>
      <c r="AG11" s="120">
        <v>46153</v>
      </c>
      <c r="AH11" s="120">
        <v>46254</v>
      </c>
      <c r="AI11" s="119" t="s">
        <v>93</v>
      </c>
    </row>
    <row r="12" spans="1:37" ht="44.1" hidden="1" customHeight="1" x14ac:dyDescent="0.3">
      <c r="A12" s="108"/>
      <c r="B12" s="108" t="s">
        <v>968</v>
      </c>
      <c r="C12" s="108"/>
      <c r="D12" s="134" t="s">
        <v>952</v>
      </c>
      <c r="E12" s="128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9" t="s">
        <v>1657</v>
      </c>
      <c r="O12" s="116" t="s">
        <v>1667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1">
        <v>46130</v>
      </c>
      <c r="Z12" s="108" t="s">
        <v>8</v>
      </c>
      <c r="AA12" s="131">
        <v>46136</v>
      </c>
      <c r="AB12" s="131">
        <v>46166</v>
      </c>
      <c r="AC12" s="131">
        <v>46227</v>
      </c>
      <c r="AD12" s="108" t="s">
        <v>12</v>
      </c>
      <c r="AE12" s="108" t="s">
        <v>12</v>
      </c>
      <c r="AF12" s="108"/>
      <c r="AG12" s="108"/>
      <c r="AH12" s="108"/>
      <c r="AI12" s="108" t="s">
        <v>1668</v>
      </c>
    </row>
    <row r="13" spans="1:37" ht="44.1" hidden="1" customHeight="1" x14ac:dyDescent="0.3">
      <c r="A13" s="108"/>
      <c r="B13" s="108" t="s">
        <v>979</v>
      </c>
      <c r="C13" s="108"/>
      <c r="D13" s="134" t="s">
        <v>1669</v>
      </c>
      <c r="E13" s="128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9" t="s">
        <v>1649</v>
      </c>
      <c r="O13" s="116" t="s">
        <v>1650</v>
      </c>
      <c r="Q13" s="108" t="s">
        <v>1507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1">
        <v>46094</v>
      </c>
      <c r="Z13" s="108" t="s">
        <v>8</v>
      </c>
      <c r="AA13" s="131">
        <v>46136</v>
      </c>
      <c r="AB13" s="131">
        <v>46166</v>
      </c>
      <c r="AC13" s="131">
        <v>46227</v>
      </c>
      <c r="AD13" s="108" t="s">
        <v>12</v>
      </c>
      <c r="AE13" s="108" t="s">
        <v>12</v>
      </c>
      <c r="AF13" s="108"/>
      <c r="AG13" s="108"/>
      <c r="AH13" s="108"/>
      <c r="AI13" s="108" t="s">
        <v>1668</v>
      </c>
    </row>
    <row r="14" spans="1:37" ht="44.1" customHeight="1" x14ac:dyDescent="0.3">
      <c r="A14" s="119"/>
      <c r="B14" s="119" t="s">
        <v>50</v>
      </c>
      <c r="C14" s="119" t="s">
        <v>1658</v>
      </c>
      <c r="D14" s="122" t="s">
        <v>1670</v>
      </c>
      <c r="E14" s="119">
        <v>59.67</v>
      </c>
      <c r="F14" s="224">
        <v>113701.83224399976</v>
      </c>
      <c r="G14" s="119" t="s">
        <v>24</v>
      </c>
      <c r="H14" s="122" t="s">
        <v>42</v>
      </c>
      <c r="J14" s="208">
        <f>MID(B14,4,4)/100</f>
        <v>1.8</v>
      </c>
      <c r="K14" s="215" t="s">
        <v>1295</v>
      </c>
      <c r="L14" s="125" t="s">
        <v>1660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19" t="s">
        <v>1651</v>
      </c>
      <c r="Z14" s="119" t="s">
        <v>8</v>
      </c>
      <c r="AA14" s="120">
        <v>46093</v>
      </c>
      <c r="AB14" s="120">
        <v>46108</v>
      </c>
      <c r="AC14" s="120">
        <v>46155</v>
      </c>
      <c r="AD14" s="120">
        <v>46231</v>
      </c>
      <c r="AE14" s="120">
        <v>46248</v>
      </c>
      <c r="AF14" s="120">
        <v>46174</v>
      </c>
      <c r="AG14" s="120">
        <v>46174</v>
      </c>
      <c r="AH14" s="120">
        <v>46285</v>
      </c>
      <c r="AI14" s="127" t="s">
        <v>96</v>
      </c>
    </row>
    <row r="15" spans="1:37" ht="44.1" customHeight="1" x14ac:dyDescent="0.3">
      <c r="A15" s="202"/>
      <c r="B15" s="202" t="s">
        <v>52</v>
      </c>
      <c r="C15" s="202" t="s">
        <v>1658</v>
      </c>
      <c r="D15" s="226" t="s">
        <v>1671</v>
      </c>
      <c r="E15" s="202">
        <v>36.520000000000003</v>
      </c>
      <c r="F15" s="227">
        <f>66510.6497055+47086.87</f>
        <v>113597.51970550002</v>
      </c>
      <c r="G15" s="202" t="s">
        <v>24</v>
      </c>
      <c r="H15" s="220" t="s">
        <v>51</v>
      </c>
      <c r="J15" s="204">
        <f>MID(B15,4,4)/100</f>
        <v>1.4</v>
      </c>
      <c r="K15" s="216" t="s">
        <v>1303</v>
      </c>
      <c r="L15" s="202" t="s">
        <v>1672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1651</v>
      </c>
      <c r="Z15" s="108" t="s">
        <v>10</v>
      </c>
      <c r="AA15" s="108"/>
      <c r="AB15" s="108"/>
      <c r="AC15" s="108"/>
      <c r="AD15" s="108"/>
      <c r="AE15" s="108"/>
      <c r="AF15" s="108"/>
      <c r="AG15" s="108"/>
      <c r="AH15" s="108"/>
      <c r="AI15" s="108"/>
    </row>
    <row r="16" spans="1:37" ht="44.1" customHeight="1" x14ac:dyDescent="0.3">
      <c r="A16" s="119"/>
      <c r="B16" s="119" t="s">
        <v>71</v>
      </c>
      <c r="C16" s="119" t="s">
        <v>1658</v>
      </c>
      <c r="D16" s="122" t="s">
        <v>1673</v>
      </c>
      <c r="E16" s="119">
        <v>25.64</v>
      </c>
      <c r="F16" s="224">
        <f>47874.1634078397+63041.48</f>
        <v>110915.6434078397</v>
      </c>
      <c r="G16" s="119" t="s">
        <v>24</v>
      </c>
      <c r="H16" s="122" t="s">
        <v>42</v>
      </c>
      <c r="J16" s="208">
        <f>MID(B16,4,4)/100</f>
        <v>1.8</v>
      </c>
      <c r="K16" s="215" t="s">
        <v>1295</v>
      </c>
      <c r="L16" s="125" t="s">
        <v>1674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19" t="s">
        <v>1651</v>
      </c>
      <c r="Z16" s="119" t="s">
        <v>8</v>
      </c>
      <c r="AA16" s="120">
        <v>46093</v>
      </c>
      <c r="AB16" s="120">
        <v>46118</v>
      </c>
      <c r="AC16" s="120">
        <v>46155</v>
      </c>
      <c r="AD16" s="119" t="s">
        <v>1661</v>
      </c>
      <c r="AE16" s="119" t="s">
        <v>1661</v>
      </c>
      <c r="AF16" s="119"/>
      <c r="AG16" s="119"/>
      <c r="AH16" s="120">
        <v>46285</v>
      </c>
      <c r="AI16" s="127" t="s">
        <v>1675</v>
      </c>
      <c r="AJ16" t="s">
        <v>1676</v>
      </c>
    </row>
    <row r="17" spans="1:36" ht="44.1" hidden="1" customHeight="1" x14ac:dyDescent="0.3">
      <c r="A17" s="108"/>
      <c r="B17" s="108" t="s">
        <v>47</v>
      </c>
      <c r="C17" s="108"/>
      <c r="D17" s="109" t="s">
        <v>863</v>
      </c>
      <c r="E17" s="128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9" t="s">
        <v>1677</v>
      </c>
      <c r="O17" s="159" t="s">
        <v>1678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1651</v>
      </c>
      <c r="Z17" s="108" t="s">
        <v>8</v>
      </c>
      <c r="AA17" s="131">
        <v>46162</v>
      </c>
      <c r="AB17" s="131">
        <v>46193</v>
      </c>
      <c r="AC17" s="131">
        <v>46181</v>
      </c>
      <c r="AD17" s="108" t="s">
        <v>1661</v>
      </c>
      <c r="AE17" s="108" t="s">
        <v>12</v>
      </c>
      <c r="AF17" s="108"/>
      <c r="AG17" s="108"/>
      <c r="AH17" s="108"/>
      <c r="AI17" s="108" t="s">
        <v>97</v>
      </c>
    </row>
    <row r="18" spans="1:36" ht="44.1" hidden="1" customHeight="1" x14ac:dyDescent="0.3">
      <c r="A18" s="108"/>
      <c r="B18" s="108" t="s">
        <v>990</v>
      </c>
      <c r="C18" s="108"/>
      <c r="D18" s="109" t="s">
        <v>991</v>
      </c>
      <c r="E18" s="128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9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2" t="s">
        <v>1679</v>
      </c>
      <c r="W18" s="130" t="s">
        <v>1680</v>
      </c>
      <c r="Y18" s="119" t="s">
        <v>1651</v>
      </c>
      <c r="Z18" s="119" t="s">
        <v>12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 t="s">
        <v>12</v>
      </c>
      <c r="AH18" s="119"/>
      <c r="AI18" s="119"/>
    </row>
    <row r="19" spans="1:36" ht="44.1" hidden="1" customHeight="1" x14ac:dyDescent="0.3">
      <c r="A19" s="108"/>
      <c r="B19" s="108" t="s">
        <v>995</v>
      </c>
      <c r="C19" s="108"/>
      <c r="D19" s="109" t="s">
        <v>991</v>
      </c>
      <c r="E19" s="128">
        <v>44.43</v>
      </c>
      <c r="F19" s="123"/>
      <c r="G19" s="108" t="s">
        <v>27</v>
      </c>
      <c r="H19" s="112" t="s">
        <v>53</v>
      </c>
      <c r="J19" s="133">
        <v>6.8</v>
      </c>
      <c r="K19" s="114" t="s">
        <v>996</v>
      </c>
      <c r="L19" s="117" t="s">
        <v>12</v>
      </c>
      <c r="N19" s="129" t="s">
        <v>1649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1681</v>
      </c>
      <c r="W19" s="130" t="s">
        <v>1682</v>
      </c>
      <c r="Y19" s="119" t="s">
        <v>1651</v>
      </c>
      <c r="Z19" s="119" t="s">
        <v>12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 t="s">
        <v>12</v>
      </c>
      <c r="AH19" s="119"/>
      <c r="AI19" s="119"/>
    </row>
    <row r="20" spans="1:36" ht="44.1" hidden="1" customHeight="1" x14ac:dyDescent="0.3">
      <c r="A20" s="108"/>
      <c r="B20" s="108" t="s">
        <v>995</v>
      </c>
      <c r="C20" s="108"/>
      <c r="D20" s="109" t="s">
        <v>991</v>
      </c>
      <c r="E20" s="128">
        <v>44.43</v>
      </c>
      <c r="F20" s="123"/>
      <c r="G20" s="108" t="s">
        <v>27</v>
      </c>
      <c r="H20" s="112" t="s">
        <v>39</v>
      </c>
      <c r="J20" s="133">
        <v>6.8</v>
      </c>
      <c r="K20" s="114" t="s">
        <v>996</v>
      </c>
      <c r="L20" s="118" t="s">
        <v>1683</v>
      </c>
      <c r="N20" s="129" t="s">
        <v>1649</v>
      </c>
      <c r="O20" s="116" t="s">
        <v>1650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1651</v>
      </c>
      <c r="Z20" s="108" t="s">
        <v>8</v>
      </c>
      <c r="AA20" s="131">
        <v>46192</v>
      </c>
      <c r="AB20" s="131">
        <v>46232</v>
      </c>
      <c r="AC20" s="131" t="s">
        <v>1661</v>
      </c>
      <c r="AD20" s="108"/>
      <c r="AE20" s="108"/>
      <c r="AF20" s="108"/>
      <c r="AG20" s="108"/>
      <c r="AH20" s="108"/>
      <c r="AI20" s="108" t="s">
        <v>1684</v>
      </c>
    </row>
    <row r="21" spans="1:36" ht="44.1" customHeight="1" x14ac:dyDescent="0.3">
      <c r="A21" s="202"/>
      <c r="B21" s="202" t="s">
        <v>73</v>
      </c>
      <c r="C21" s="202" t="s">
        <v>1818</v>
      </c>
      <c r="D21" s="226" t="s">
        <v>1685</v>
      </c>
      <c r="E21" s="202">
        <v>171.51</v>
      </c>
      <c r="F21" s="227">
        <v>96985.81</v>
      </c>
      <c r="G21" s="202" t="s">
        <v>24</v>
      </c>
      <c r="H21" s="220" t="s">
        <v>42</v>
      </c>
      <c r="J21" s="239" t="s">
        <v>12</v>
      </c>
      <c r="K21" s="240"/>
      <c r="L21" s="241"/>
      <c r="N21" s="242" t="s">
        <v>12</v>
      </c>
      <c r="O21" s="243"/>
      <c r="Q21" s="126" t="s">
        <v>12</v>
      </c>
      <c r="R21" s="116" t="s">
        <v>12</v>
      </c>
      <c r="T21" s="204">
        <v>1350</v>
      </c>
      <c r="U21" s="204">
        <v>1345</v>
      </c>
      <c r="V21" s="204">
        <v>315</v>
      </c>
      <c r="W21" s="204" t="s">
        <v>12</v>
      </c>
      <c r="Y21" s="108" t="s">
        <v>1651</v>
      </c>
      <c r="Z21" s="108" t="s">
        <v>8</v>
      </c>
      <c r="AA21" s="131">
        <v>46093</v>
      </c>
      <c r="AB21" s="131">
        <v>46237</v>
      </c>
      <c r="AC21" s="131">
        <v>46223</v>
      </c>
      <c r="AD21" s="131">
        <v>46267</v>
      </c>
      <c r="AE21" s="108"/>
      <c r="AF21" s="108"/>
      <c r="AG21" s="108"/>
      <c r="AH21" s="108"/>
      <c r="AI21" s="112" t="s">
        <v>1686</v>
      </c>
      <c r="AJ21" t="s">
        <v>1676</v>
      </c>
    </row>
    <row r="22" spans="1:36" ht="60.6" customHeight="1" x14ac:dyDescent="0.3">
      <c r="A22" s="202"/>
      <c r="B22" s="207" t="s">
        <v>1309</v>
      </c>
      <c r="C22" s="207" t="s">
        <v>1847</v>
      </c>
      <c r="D22" s="207" t="s">
        <v>1688</v>
      </c>
      <c r="E22" s="207">
        <v>34.83</v>
      </c>
      <c r="F22" s="207">
        <f>13191.83+78959.6057250004</f>
        <v>92151.435725000396</v>
      </c>
      <c r="G22" s="207" t="s">
        <v>24</v>
      </c>
      <c r="H22" s="207" t="s">
        <v>42</v>
      </c>
      <c r="J22" s="211">
        <v>1.2</v>
      </c>
      <c r="K22" s="210" t="s">
        <v>1290</v>
      </c>
      <c r="L22" s="209" t="s">
        <v>1689</v>
      </c>
      <c r="N22" s="219" t="s">
        <v>1690</v>
      </c>
      <c r="O22" s="217" t="s">
        <v>1856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1651</v>
      </c>
      <c r="Z22" s="108" t="s">
        <v>8</v>
      </c>
      <c r="AA22" s="131">
        <v>46184</v>
      </c>
      <c r="AB22" s="131">
        <v>46214</v>
      </c>
      <c r="AC22" s="131" t="s">
        <v>1691</v>
      </c>
      <c r="AD22" s="108"/>
      <c r="AE22" s="108"/>
      <c r="AF22" s="108"/>
      <c r="AG22" s="108"/>
      <c r="AH22" s="108"/>
      <c r="AI22" s="112" t="s">
        <v>1692</v>
      </c>
    </row>
    <row r="23" spans="1:36" ht="63.6" customHeight="1" x14ac:dyDescent="0.3">
      <c r="A23" s="207"/>
      <c r="B23" s="207" t="s">
        <v>1316</v>
      </c>
      <c r="C23" s="207" t="s">
        <v>1658</v>
      </c>
      <c r="D23" s="207" t="s">
        <v>1693</v>
      </c>
      <c r="E23" s="207">
        <v>24.12</v>
      </c>
      <c r="F23" s="207">
        <v>80839.72780537518</v>
      </c>
      <c r="G23" s="207" t="s">
        <v>24</v>
      </c>
      <c r="H23" s="207" t="s">
        <v>42</v>
      </c>
      <c r="J23" s="211">
        <f>MID(B23,4,4)/100</f>
        <v>0.7</v>
      </c>
      <c r="K23" s="210" t="s">
        <v>1317</v>
      </c>
      <c r="L23" s="209" t="s">
        <v>1694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1651</v>
      </c>
      <c r="Z23" s="108" t="s">
        <v>8</v>
      </c>
      <c r="AA23" s="131">
        <v>46184</v>
      </c>
      <c r="AB23" s="131">
        <v>46214</v>
      </c>
      <c r="AC23" s="131" t="s">
        <v>1691</v>
      </c>
      <c r="AD23" s="108"/>
      <c r="AE23" s="108"/>
      <c r="AF23" s="108"/>
      <c r="AG23" s="108"/>
      <c r="AH23" s="108"/>
      <c r="AI23" s="112" t="s">
        <v>1692</v>
      </c>
    </row>
    <row r="24" spans="1:36" ht="44.1" customHeight="1" x14ac:dyDescent="0.3">
      <c r="A24" s="119"/>
      <c r="B24" s="119" t="s">
        <v>74</v>
      </c>
      <c r="C24" s="119" t="s">
        <v>1658</v>
      </c>
      <c r="D24" s="225" t="s">
        <v>1695</v>
      </c>
      <c r="E24" s="119">
        <v>58.78</v>
      </c>
      <c r="F24" s="224">
        <v>77871.275812968932</v>
      </c>
      <c r="G24" s="119" t="s">
        <v>24</v>
      </c>
      <c r="H24" s="122" t="s">
        <v>42</v>
      </c>
      <c r="J24" s="208">
        <f>MID(B24,4,4)/100</f>
        <v>1.5</v>
      </c>
      <c r="K24" s="215" t="s">
        <v>1285</v>
      </c>
      <c r="L24" s="125" t="s">
        <v>1696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19" t="s">
        <v>1651</v>
      </c>
      <c r="Z24" s="119" t="s">
        <v>8</v>
      </c>
      <c r="AA24" s="120">
        <v>46093</v>
      </c>
      <c r="AB24" s="120">
        <v>46108</v>
      </c>
      <c r="AC24" s="120">
        <v>46155</v>
      </c>
      <c r="AD24" s="120">
        <v>46231</v>
      </c>
      <c r="AE24" s="120">
        <v>46248</v>
      </c>
      <c r="AF24" s="120">
        <v>46174</v>
      </c>
      <c r="AG24" s="120">
        <v>46174</v>
      </c>
      <c r="AH24" s="120">
        <v>46285</v>
      </c>
      <c r="AI24" s="127" t="s">
        <v>96</v>
      </c>
    </row>
    <row r="25" spans="1:36" ht="64.95" customHeight="1" x14ac:dyDescent="0.3">
      <c r="A25" s="119"/>
      <c r="B25" s="119" t="s">
        <v>75</v>
      </c>
      <c r="C25" s="119" t="s">
        <v>1658</v>
      </c>
      <c r="D25" s="225" t="s">
        <v>1697</v>
      </c>
      <c r="E25" s="119">
        <v>21.47</v>
      </c>
      <c r="F25" s="224">
        <f>10393.72+31672.6645679009+34645.74</f>
        <v>76712.124567900901</v>
      </c>
      <c r="G25" s="119" t="s">
        <v>24</v>
      </c>
      <c r="H25" s="122" t="s">
        <v>42</v>
      </c>
      <c r="J25" s="208">
        <f>MID(B25,4,4)/100</f>
        <v>1.2</v>
      </c>
      <c r="K25" s="215" t="s">
        <v>1317</v>
      </c>
      <c r="L25" s="125" t="s">
        <v>1701</v>
      </c>
      <c r="N25" s="125" t="s">
        <v>1690</v>
      </c>
      <c r="O25" s="217" t="s">
        <v>1856</v>
      </c>
      <c r="P25" s="50"/>
      <c r="Q25" s="108" t="s">
        <v>12</v>
      </c>
      <c r="R25" s="117" t="s">
        <v>12</v>
      </c>
      <c r="S25" s="50"/>
      <c r="T25" s="208">
        <v>950</v>
      </c>
      <c r="U25" s="208">
        <v>930</v>
      </c>
      <c r="V25" s="208">
        <v>378</v>
      </c>
      <c r="W25" s="208">
        <v>378</v>
      </c>
      <c r="Y25" s="108" t="s">
        <v>1651</v>
      </c>
      <c r="Z25" s="108" t="s">
        <v>8</v>
      </c>
      <c r="AA25" s="131">
        <v>46184</v>
      </c>
      <c r="AB25" s="131">
        <v>46237</v>
      </c>
      <c r="AC25" s="157">
        <v>46223</v>
      </c>
      <c r="AD25" s="157">
        <v>46267</v>
      </c>
      <c r="AE25" s="108"/>
      <c r="AF25" s="108"/>
      <c r="AG25" s="108"/>
      <c r="AH25" s="108"/>
      <c r="AI25" s="112" t="s">
        <v>1698</v>
      </c>
      <c r="AJ25" t="s">
        <v>1676</v>
      </c>
    </row>
    <row r="26" spans="1:36" ht="64.95" customHeight="1" x14ac:dyDescent="0.3">
      <c r="A26" s="207"/>
      <c r="B26" s="207" t="s">
        <v>1323</v>
      </c>
      <c r="C26" s="207" t="s">
        <v>1658</v>
      </c>
      <c r="D26" s="207" t="s">
        <v>1699</v>
      </c>
      <c r="E26" s="207">
        <v>19.170000000000002</v>
      </c>
      <c r="F26" s="207">
        <v>43204.421619449888</v>
      </c>
      <c r="G26" s="207" t="s">
        <v>24</v>
      </c>
      <c r="H26" s="207" t="s">
        <v>42</v>
      </c>
      <c r="J26" s="211">
        <f>MID(B26,4,4)/100</f>
        <v>0.7</v>
      </c>
      <c r="K26" s="210" t="s">
        <v>1317</v>
      </c>
      <c r="L26" s="209" t="s">
        <v>1694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1651</v>
      </c>
      <c r="Z26" s="108" t="s">
        <v>8</v>
      </c>
      <c r="AA26" s="131">
        <v>46184</v>
      </c>
      <c r="AB26" s="131">
        <v>46214</v>
      </c>
      <c r="AC26" s="131" t="s">
        <v>1691</v>
      </c>
      <c r="AD26" s="108"/>
      <c r="AE26" s="108"/>
      <c r="AF26" s="108"/>
      <c r="AG26" s="108"/>
      <c r="AH26" s="108"/>
      <c r="AI26" s="112" t="s">
        <v>1692</v>
      </c>
    </row>
    <row r="27" spans="1:36" ht="44.1" customHeight="1" x14ac:dyDescent="0.3">
      <c r="A27" s="119"/>
      <c r="B27" s="119" t="s">
        <v>76</v>
      </c>
      <c r="C27" s="119" t="s">
        <v>1658</v>
      </c>
      <c r="D27" s="225" t="s">
        <v>1700</v>
      </c>
      <c r="E27" s="119">
        <v>21.47</v>
      </c>
      <c r="F27" s="224">
        <f>11347.81+31670.2095128998</f>
        <v>43018.019512899802</v>
      </c>
      <c r="G27" s="119" t="s">
        <v>24</v>
      </c>
      <c r="H27" s="122" t="s">
        <v>42</v>
      </c>
      <c r="J27" s="208">
        <f>MID(B27,4,4)/100</f>
        <v>1.2</v>
      </c>
      <c r="K27" s="215" t="s">
        <v>1317</v>
      </c>
      <c r="L27" s="125" t="s">
        <v>1701</v>
      </c>
      <c r="N27" s="219" t="s">
        <v>1690</v>
      </c>
      <c r="O27" s="217" t="s">
        <v>1856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19" t="s">
        <v>1651</v>
      </c>
      <c r="Z27" s="119" t="s">
        <v>8</v>
      </c>
      <c r="AA27" s="120">
        <v>46093</v>
      </c>
      <c r="AB27" s="120">
        <v>46108</v>
      </c>
      <c r="AC27" s="120">
        <v>46155</v>
      </c>
      <c r="AD27" s="120">
        <v>46231</v>
      </c>
      <c r="AE27" s="120">
        <v>46248</v>
      </c>
      <c r="AF27" s="120">
        <v>46174</v>
      </c>
      <c r="AG27" s="120">
        <v>46174</v>
      </c>
      <c r="AH27" s="120">
        <v>46285</v>
      </c>
      <c r="AI27" s="127" t="s">
        <v>96</v>
      </c>
    </row>
    <row r="28" spans="1:36" ht="46.95" customHeight="1" x14ac:dyDescent="0.3">
      <c r="A28" s="207"/>
      <c r="B28" s="207" t="s">
        <v>1328</v>
      </c>
      <c r="C28" s="207" t="s">
        <v>1687</v>
      </c>
      <c r="D28" s="207" t="s">
        <v>1313</v>
      </c>
      <c r="E28" s="207">
        <v>16.028320000000001</v>
      </c>
      <c r="F28" s="207">
        <v>42227.410696379688</v>
      </c>
      <c r="G28" s="207" t="s">
        <v>24</v>
      </c>
      <c r="H28" s="207" t="s">
        <v>42</v>
      </c>
      <c r="J28" s="211">
        <v>0.65</v>
      </c>
      <c r="K28" s="210" t="s">
        <v>215</v>
      </c>
      <c r="L28" s="209" t="s">
        <v>1702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1651</v>
      </c>
      <c r="Z28" s="108" t="s">
        <v>8</v>
      </c>
      <c r="AA28" s="131">
        <v>46184</v>
      </c>
      <c r="AB28" s="131">
        <v>46214</v>
      </c>
      <c r="AC28" s="131" t="s">
        <v>1691</v>
      </c>
      <c r="AD28" s="108"/>
      <c r="AE28" s="108"/>
      <c r="AF28" s="108"/>
      <c r="AG28" s="108"/>
      <c r="AH28" s="108"/>
      <c r="AI28" s="112" t="s">
        <v>1703</v>
      </c>
    </row>
    <row r="29" spans="1:36" ht="44.1" customHeight="1" x14ac:dyDescent="0.3">
      <c r="A29" s="202"/>
      <c r="B29" s="202" t="s">
        <v>1312</v>
      </c>
      <c r="C29" s="202" t="s">
        <v>1817</v>
      </c>
      <c r="D29" s="226" t="s">
        <v>1313</v>
      </c>
      <c r="E29" s="202">
        <v>35.130000000000003</v>
      </c>
      <c r="F29" s="227">
        <v>35917.449999999997</v>
      </c>
      <c r="G29" s="202" t="s">
        <v>24</v>
      </c>
      <c r="H29" s="220" t="s">
        <v>42</v>
      </c>
      <c r="J29" s="239" t="s">
        <v>12</v>
      </c>
      <c r="K29" s="240"/>
      <c r="L29" s="241"/>
      <c r="N29" s="217" t="s">
        <v>1704</v>
      </c>
      <c r="O29" s="217" t="s">
        <v>1856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1651</v>
      </c>
      <c r="Z29" s="108" t="s">
        <v>8</v>
      </c>
      <c r="AA29" s="131">
        <v>46093</v>
      </c>
      <c r="AB29" s="131">
        <v>46245</v>
      </c>
      <c r="AC29" s="108"/>
      <c r="AD29" s="108"/>
      <c r="AE29" s="108"/>
      <c r="AF29" s="108"/>
      <c r="AG29" s="108"/>
      <c r="AH29" s="108"/>
      <c r="AI29" s="108"/>
    </row>
    <row r="30" spans="1:36" ht="44.1" hidden="1" customHeight="1" x14ac:dyDescent="0.3">
      <c r="A30" s="222" t="s">
        <v>1839</v>
      </c>
      <c r="B30" s="108" t="s">
        <v>315</v>
      </c>
      <c r="C30" s="108"/>
      <c r="D30" s="109" t="s">
        <v>1705</v>
      </c>
      <c r="E30" s="128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9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19" t="s">
        <v>1651</v>
      </c>
      <c r="Z30" s="119" t="s">
        <v>8</v>
      </c>
      <c r="AA30" s="120">
        <v>46120</v>
      </c>
      <c r="AB30" s="120">
        <v>46141</v>
      </c>
      <c r="AC30" s="120">
        <v>46134</v>
      </c>
      <c r="AD30" s="119" t="s">
        <v>12</v>
      </c>
      <c r="AE30" s="119" t="s">
        <v>12</v>
      </c>
      <c r="AF30" s="119" t="s">
        <v>1706</v>
      </c>
      <c r="AG30" s="120">
        <v>46247</v>
      </c>
      <c r="AH30" s="119" t="s">
        <v>1706</v>
      </c>
      <c r="AI30" s="119" t="s">
        <v>98</v>
      </c>
    </row>
    <row r="31" spans="1:36" ht="53.4" customHeight="1" x14ac:dyDescent="0.3">
      <c r="A31" s="119"/>
      <c r="B31" s="119" t="s">
        <v>1305</v>
      </c>
      <c r="C31" s="119" t="s">
        <v>1658</v>
      </c>
      <c r="D31" s="225" t="s">
        <v>1707</v>
      </c>
      <c r="E31" s="119">
        <v>36.06</v>
      </c>
      <c r="F31" s="224">
        <v>28224.957600000023</v>
      </c>
      <c r="G31" s="119" t="s">
        <v>24</v>
      </c>
      <c r="H31" s="122" t="s">
        <v>42</v>
      </c>
      <c r="J31" s="208">
        <f>MID(B31,4,4)/100</f>
        <v>1.75</v>
      </c>
      <c r="K31" s="215" t="s">
        <v>1285</v>
      </c>
      <c r="L31" s="125" t="s">
        <v>1708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1651</v>
      </c>
      <c r="Z31" s="108" t="s">
        <v>8</v>
      </c>
      <c r="AA31" s="131">
        <v>46184</v>
      </c>
      <c r="AB31" s="131">
        <v>46214</v>
      </c>
      <c r="AC31" s="131">
        <v>46227</v>
      </c>
      <c r="AD31" s="131">
        <v>46231</v>
      </c>
      <c r="AE31" s="131">
        <v>46248</v>
      </c>
      <c r="AF31" s="131">
        <v>46266</v>
      </c>
      <c r="AG31" s="108"/>
      <c r="AH31" s="108"/>
      <c r="AI31" s="112" t="s">
        <v>1709</v>
      </c>
    </row>
    <row r="32" spans="1:36" ht="44.1" customHeight="1" x14ac:dyDescent="0.3">
      <c r="A32" s="202"/>
      <c r="B32" s="207" t="s">
        <v>1334</v>
      </c>
      <c r="C32" s="207" t="s">
        <v>1687</v>
      </c>
      <c r="D32" s="207" t="s">
        <v>1336</v>
      </c>
      <c r="E32" s="207">
        <v>14.416587500000002</v>
      </c>
      <c r="F32" s="207">
        <v>34245.480172994976</v>
      </c>
      <c r="G32" s="207" t="s">
        <v>24</v>
      </c>
      <c r="H32" s="207" t="s">
        <v>53</v>
      </c>
      <c r="J32" s="211">
        <v>1</v>
      </c>
      <c r="K32" s="210" t="s">
        <v>1335</v>
      </c>
      <c r="L32" s="209" t="s">
        <v>1663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1651</v>
      </c>
      <c r="Z32" s="108" t="s">
        <v>10</v>
      </c>
      <c r="AA32" s="108"/>
      <c r="AB32" s="108"/>
      <c r="AC32" s="108"/>
      <c r="AD32" s="108"/>
      <c r="AE32" s="108"/>
      <c r="AF32" s="108"/>
      <c r="AG32" s="108"/>
      <c r="AH32" s="108"/>
      <c r="AI32" s="108"/>
    </row>
    <row r="33" spans="1:37" ht="44.1" hidden="1" customHeight="1" x14ac:dyDescent="0.3">
      <c r="A33" s="223" t="s">
        <v>1840</v>
      </c>
      <c r="B33" s="108" t="s">
        <v>48</v>
      </c>
      <c r="C33" s="108"/>
      <c r="D33" s="109" t="s">
        <v>183</v>
      </c>
      <c r="E33" s="128">
        <v>20</v>
      </c>
      <c r="F33" s="123">
        <v>115000</v>
      </c>
      <c r="G33" s="108" t="s">
        <v>34</v>
      </c>
      <c r="H33" s="112" t="s">
        <v>1710</v>
      </c>
      <c r="J33" s="108">
        <v>5.75</v>
      </c>
      <c r="K33" s="113" t="s">
        <v>1711</v>
      </c>
      <c r="L33" s="118" t="s">
        <v>1712</v>
      </c>
      <c r="N33" s="129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20">
        <v>46118</v>
      </c>
      <c r="Z33" s="119" t="s">
        <v>8</v>
      </c>
      <c r="AA33" s="120">
        <v>46120</v>
      </c>
      <c r="AB33" s="120">
        <v>46150</v>
      </c>
      <c r="AC33" s="120">
        <v>46127</v>
      </c>
      <c r="AD33" s="119" t="s">
        <v>12</v>
      </c>
      <c r="AE33" s="119" t="s">
        <v>12</v>
      </c>
      <c r="AF33" s="120">
        <v>46266</v>
      </c>
      <c r="AG33" s="120">
        <v>46266</v>
      </c>
      <c r="AH33" s="119" t="s">
        <v>1706</v>
      </c>
      <c r="AI33" s="119" t="s">
        <v>98</v>
      </c>
    </row>
    <row r="34" spans="1:37" ht="44.1" customHeight="1" x14ac:dyDescent="0.3">
      <c r="A34" s="119"/>
      <c r="B34" s="119" t="s">
        <v>1326</v>
      </c>
      <c r="C34" s="119" t="s">
        <v>1687</v>
      </c>
      <c r="D34" s="225" t="s">
        <v>1713</v>
      </c>
      <c r="E34" s="233">
        <v>16.496479999999998</v>
      </c>
      <c r="F34" s="224">
        <v>27611.064772199956</v>
      </c>
      <c r="G34" s="119" t="s">
        <v>24</v>
      </c>
      <c r="H34" s="122" t="s">
        <v>42</v>
      </c>
      <c r="J34" s="208">
        <v>0.8</v>
      </c>
      <c r="K34" s="215" t="s">
        <v>215</v>
      </c>
      <c r="L34" s="125" t="s">
        <v>1714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1651</v>
      </c>
      <c r="Z34" s="119" t="s">
        <v>8</v>
      </c>
      <c r="AA34" s="120">
        <v>46093</v>
      </c>
      <c r="AB34" s="120">
        <v>46108</v>
      </c>
      <c r="AC34" s="120">
        <v>46155</v>
      </c>
      <c r="AD34" s="120">
        <v>46231</v>
      </c>
      <c r="AE34" s="120">
        <v>46248</v>
      </c>
      <c r="AF34" s="120">
        <v>46174</v>
      </c>
      <c r="AG34" s="120">
        <v>46174</v>
      </c>
      <c r="AH34" s="120">
        <v>46285</v>
      </c>
      <c r="AI34" s="127" t="s">
        <v>96</v>
      </c>
    </row>
    <row r="35" spans="1:37" ht="44.1" customHeight="1" x14ac:dyDescent="0.3">
      <c r="A35" s="203"/>
      <c r="B35" s="203" t="s">
        <v>1356</v>
      </c>
      <c r="C35" s="203" t="s">
        <v>1687</v>
      </c>
      <c r="D35" s="228" t="s">
        <v>1291</v>
      </c>
      <c r="E35" s="229">
        <v>10.200945000000001</v>
      </c>
      <c r="F35" s="230">
        <f>13937.7508231501+12721.88</f>
        <v>26659.630823150099</v>
      </c>
      <c r="G35" s="203" t="s">
        <v>24</v>
      </c>
      <c r="H35" s="231" t="s">
        <v>42</v>
      </c>
      <c r="J35" s="205">
        <v>1.2</v>
      </c>
      <c r="K35" s="218" t="s">
        <v>1357</v>
      </c>
      <c r="L35" s="232" t="s">
        <v>1715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1651</v>
      </c>
      <c r="Z35" s="108" t="s">
        <v>8</v>
      </c>
      <c r="AA35" s="131">
        <v>46199</v>
      </c>
      <c r="AB35" s="131">
        <v>46245</v>
      </c>
      <c r="AC35" s="108"/>
      <c r="AD35" s="108"/>
      <c r="AE35" s="108"/>
      <c r="AF35" s="108"/>
      <c r="AG35" s="108"/>
      <c r="AH35" s="108"/>
      <c r="AI35" s="108"/>
    </row>
    <row r="36" spans="1:37" ht="44.1" customHeight="1" x14ac:dyDescent="0.3">
      <c r="A36" s="203"/>
      <c r="B36" s="203" t="s">
        <v>1339</v>
      </c>
      <c r="C36" s="203" t="s">
        <v>1687</v>
      </c>
      <c r="D36" s="228" t="s">
        <v>1340</v>
      </c>
      <c r="E36" s="229">
        <v>13.940079999999998</v>
      </c>
      <c r="F36" s="230">
        <v>26601.63473167178</v>
      </c>
      <c r="G36" s="203" t="s">
        <v>24</v>
      </c>
      <c r="H36" s="231" t="s">
        <v>42</v>
      </c>
      <c r="J36" s="205">
        <v>0.7</v>
      </c>
      <c r="K36" s="218" t="s">
        <v>215</v>
      </c>
      <c r="L36" s="232" t="s">
        <v>1716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1651</v>
      </c>
      <c r="Z36" s="108" t="s">
        <v>8</v>
      </c>
      <c r="AA36" s="131">
        <v>46199</v>
      </c>
      <c r="AB36" s="131">
        <v>46245</v>
      </c>
      <c r="AC36" s="108"/>
      <c r="AD36" s="108"/>
      <c r="AE36" s="108"/>
      <c r="AF36" s="108"/>
      <c r="AG36" s="108"/>
      <c r="AH36" s="108"/>
      <c r="AI36" s="108"/>
    </row>
    <row r="37" spans="1:37" ht="44.1" customHeight="1" x14ac:dyDescent="0.3">
      <c r="A37" s="203"/>
      <c r="B37" s="119" t="s">
        <v>1353</v>
      </c>
      <c r="C37" s="119" t="s">
        <v>1687</v>
      </c>
      <c r="D37" s="225" t="s">
        <v>1354</v>
      </c>
      <c r="E37" s="233">
        <v>10.848305</v>
      </c>
      <c r="F37" s="224">
        <v>20698.992122215666</v>
      </c>
      <c r="G37" s="119" t="s">
        <v>24</v>
      </c>
      <c r="H37" s="122" t="s">
        <v>42</v>
      </c>
      <c r="J37" s="208">
        <v>1.65</v>
      </c>
      <c r="K37" s="215" t="s">
        <v>1848</v>
      </c>
      <c r="L37" s="125" t="s">
        <v>1717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1651</v>
      </c>
      <c r="Z37" s="119" t="s">
        <v>8</v>
      </c>
      <c r="AA37" s="120">
        <v>46199</v>
      </c>
      <c r="AB37" s="120">
        <v>46245</v>
      </c>
      <c r="AC37" s="131">
        <v>46260</v>
      </c>
      <c r="AD37" s="108"/>
      <c r="AE37" s="108"/>
      <c r="AF37" s="108"/>
      <c r="AG37" s="108"/>
      <c r="AH37" s="108"/>
      <c r="AI37" s="108" t="s">
        <v>1845</v>
      </c>
    </row>
    <row r="38" spans="1:37" ht="44.1" customHeight="1" x14ac:dyDescent="0.3">
      <c r="A38" s="202"/>
      <c r="B38" s="203" t="s">
        <v>1380</v>
      </c>
      <c r="C38" s="203" t="s">
        <v>1687</v>
      </c>
      <c r="D38" s="228" t="s">
        <v>1340</v>
      </c>
      <c r="E38" s="229">
        <v>5.0187400000000002</v>
      </c>
      <c r="F38" s="230">
        <v>25247.000838780237</v>
      </c>
      <c r="G38" s="203" t="s">
        <v>24</v>
      </c>
      <c r="H38" s="231" t="s">
        <v>51</v>
      </c>
      <c r="J38" s="205">
        <v>0.7</v>
      </c>
      <c r="K38" s="218" t="s">
        <v>215</v>
      </c>
      <c r="L38" s="232" t="s">
        <v>1716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1651</v>
      </c>
      <c r="Z38" s="119" t="s">
        <v>10</v>
      </c>
      <c r="AA38" s="120"/>
      <c r="AB38" s="120"/>
      <c r="AC38" s="108"/>
      <c r="AD38" s="108"/>
      <c r="AE38" s="108"/>
      <c r="AF38" s="108"/>
      <c r="AG38" s="108"/>
      <c r="AH38" s="108"/>
      <c r="AI38" s="108"/>
    </row>
    <row r="39" spans="1:37" ht="44.1" customHeight="1" x14ac:dyDescent="0.3">
      <c r="A39" s="202"/>
      <c r="B39" s="203" t="s">
        <v>1718</v>
      </c>
      <c r="C39" s="203" t="s">
        <v>1719</v>
      </c>
      <c r="D39" s="228" t="s">
        <v>785</v>
      </c>
      <c r="E39" s="229">
        <v>1.37</v>
      </c>
      <c r="F39" s="230">
        <v>24586.690002966105</v>
      </c>
      <c r="G39" s="203" t="s">
        <v>24</v>
      </c>
      <c r="H39" s="231" t="s">
        <v>177</v>
      </c>
      <c r="J39" s="205">
        <v>1</v>
      </c>
      <c r="K39" s="218" t="s">
        <v>1749</v>
      </c>
      <c r="L39" s="232" t="s">
        <v>1716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1651</v>
      </c>
      <c r="Z39" s="119" t="s">
        <v>10</v>
      </c>
      <c r="AA39" s="120"/>
      <c r="AB39" s="120"/>
      <c r="AC39" s="108"/>
      <c r="AD39" s="108"/>
      <c r="AE39" s="108"/>
      <c r="AF39" s="108"/>
      <c r="AG39" s="108"/>
      <c r="AH39" s="108"/>
      <c r="AI39" s="108"/>
    </row>
    <row r="40" spans="1:37" ht="44.1" hidden="1" customHeight="1" x14ac:dyDescent="0.3">
      <c r="A40" s="223" t="s">
        <v>1841</v>
      </c>
      <c r="B40" s="203" t="s">
        <v>243</v>
      </c>
      <c r="C40" s="203"/>
      <c r="D40" s="228" t="s">
        <v>244</v>
      </c>
      <c r="E40" s="229">
        <v>15.5</v>
      </c>
      <c r="F40" s="230">
        <v>43285.04</v>
      </c>
      <c r="G40" s="203" t="s">
        <v>34</v>
      </c>
      <c r="H40" s="231" t="s">
        <v>39</v>
      </c>
      <c r="J40" s="205">
        <v>1.5</v>
      </c>
      <c r="K40" s="218" t="s">
        <v>12</v>
      </c>
      <c r="L40" s="232" t="s">
        <v>12</v>
      </c>
      <c r="N40" s="129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19" t="s">
        <v>1651</v>
      </c>
      <c r="Z40" s="119" t="s">
        <v>8</v>
      </c>
      <c r="AA40" s="120">
        <v>46120</v>
      </c>
      <c r="AB40" s="120">
        <v>46141</v>
      </c>
      <c r="AC40" s="120">
        <v>46134</v>
      </c>
      <c r="AD40" s="119" t="s">
        <v>12</v>
      </c>
      <c r="AE40" s="119" t="s">
        <v>12</v>
      </c>
      <c r="AF40" s="119" t="s">
        <v>1706</v>
      </c>
      <c r="AG40" s="120">
        <v>46247</v>
      </c>
      <c r="AH40" s="119" t="s">
        <v>1706</v>
      </c>
      <c r="AI40" s="119"/>
    </row>
    <row r="41" spans="1:37" ht="44.1" customHeight="1" x14ac:dyDescent="0.3">
      <c r="A41" s="202"/>
      <c r="B41" s="203" t="s">
        <v>1720</v>
      </c>
      <c r="C41" s="203" t="s">
        <v>1719</v>
      </c>
      <c r="D41" s="228" t="s">
        <v>1391</v>
      </c>
      <c r="E41" s="229">
        <v>4.6100000000000003</v>
      </c>
      <c r="F41" s="230">
        <v>22999.954309605026</v>
      </c>
      <c r="G41" s="203" t="s">
        <v>24</v>
      </c>
      <c r="H41" s="231" t="s">
        <v>1556</v>
      </c>
      <c r="J41" s="205">
        <v>0.7</v>
      </c>
      <c r="K41" s="218" t="s">
        <v>1854</v>
      </c>
      <c r="L41" s="232" t="s">
        <v>1716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1721</v>
      </c>
      <c r="Z41" s="119" t="s">
        <v>10</v>
      </c>
      <c r="AA41" s="120" t="s">
        <v>1722</v>
      </c>
      <c r="AB41" s="120"/>
      <c r="AC41" s="108"/>
      <c r="AD41" s="108"/>
      <c r="AE41" s="108"/>
      <c r="AF41" s="108"/>
      <c r="AG41" s="108"/>
      <c r="AH41" s="108"/>
      <c r="AI41" s="108"/>
    </row>
    <row r="42" spans="1:37" ht="44.1" customHeight="1" x14ac:dyDescent="0.3">
      <c r="A42" s="202"/>
      <c r="B42" s="203" t="s">
        <v>1723</v>
      </c>
      <c r="C42" s="203" t="s">
        <v>1719</v>
      </c>
      <c r="D42" s="228" t="s">
        <v>1368</v>
      </c>
      <c r="E42" s="229">
        <v>4.1399999999999997</v>
      </c>
      <c r="F42" s="230">
        <v>21941.07309544352</v>
      </c>
      <c r="G42" s="203" t="s">
        <v>24</v>
      </c>
      <c r="H42" s="231" t="s">
        <v>1556</v>
      </c>
      <c r="J42" s="205">
        <v>1.4</v>
      </c>
      <c r="K42" s="218" t="s">
        <v>1408</v>
      </c>
      <c r="L42" s="232" t="s">
        <v>1672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1721</v>
      </c>
      <c r="Z42" s="119" t="s">
        <v>10</v>
      </c>
      <c r="AA42" s="120" t="s">
        <v>1722</v>
      </c>
      <c r="AB42" s="120"/>
      <c r="AC42" s="108"/>
      <c r="AD42" s="108"/>
      <c r="AE42" s="108"/>
      <c r="AF42" s="108"/>
      <c r="AG42" s="108"/>
      <c r="AH42" s="108"/>
      <c r="AI42" s="108"/>
    </row>
    <row r="43" spans="1:37" ht="44.1" customHeight="1" x14ac:dyDescent="0.3">
      <c r="A43" s="203"/>
      <c r="B43" s="203" t="s">
        <v>1724</v>
      </c>
      <c r="C43" s="203" t="s">
        <v>1687</v>
      </c>
      <c r="D43" s="228" t="s">
        <v>1344</v>
      </c>
      <c r="E43" s="229">
        <v>13.9</v>
      </c>
      <c r="F43" s="230">
        <v>15706.677756106737</v>
      </c>
      <c r="G43" s="203" t="s">
        <v>24</v>
      </c>
      <c r="H43" s="231" t="s">
        <v>42</v>
      </c>
      <c r="J43" s="205">
        <v>1.5</v>
      </c>
      <c r="K43" s="218" t="s">
        <v>1357</v>
      </c>
      <c r="L43" s="232" t="s">
        <v>1715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1651</v>
      </c>
      <c r="Z43" s="119" t="s">
        <v>8</v>
      </c>
      <c r="AA43" s="120">
        <v>46199</v>
      </c>
      <c r="AB43" s="120">
        <v>46245</v>
      </c>
      <c r="AC43" s="108"/>
      <c r="AD43" s="108"/>
      <c r="AE43" s="108"/>
      <c r="AF43" s="108"/>
      <c r="AG43" s="108"/>
      <c r="AH43" s="108"/>
      <c r="AI43" s="108"/>
    </row>
    <row r="44" spans="1:37" ht="44.1" customHeight="1" x14ac:dyDescent="0.3">
      <c r="A44" s="202"/>
      <c r="B44" s="203" t="s">
        <v>1725</v>
      </c>
      <c r="C44" s="203" t="s">
        <v>1719</v>
      </c>
      <c r="D44" s="228" t="s">
        <v>1405</v>
      </c>
      <c r="E44" s="229">
        <v>4</v>
      </c>
      <c r="F44" s="230">
        <v>18761.627807047204</v>
      </c>
      <c r="G44" s="203" t="s">
        <v>24</v>
      </c>
      <c r="H44" s="231" t="s">
        <v>1556</v>
      </c>
      <c r="J44" s="205">
        <v>1</v>
      </c>
      <c r="K44" s="218" t="s">
        <v>1357</v>
      </c>
      <c r="L44" s="232" t="s">
        <v>1715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1721</v>
      </c>
      <c r="Z44" s="119" t="s">
        <v>10</v>
      </c>
      <c r="AA44" s="120" t="s">
        <v>1722</v>
      </c>
      <c r="AB44" s="120"/>
      <c r="AC44" s="108"/>
      <c r="AD44" s="108"/>
      <c r="AE44" s="108"/>
      <c r="AF44" s="108"/>
      <c r="AG44" s="108"/>
      <c r="AH44" s="108"/>
      <c r="AI44" s="108"/>
    </row>
    <row r="45" spans="1:37" ht="44.1" customHeight="1" x14ac:dyDescent="0.3">
      <c r="A45" s="202"/>
      <c r="B45" s="203" t="s">
        <v>1726</v>
      </c>
      <c r="C45" s="203" t="s">
        <v>1719</v>
      </c>
      <c r="D45" s="228" t="s">
        <v>1368</v>
      </c>
      <c r="E45" s="229">
        <v>4.1399999999999997</v>
      </c>
      <c r="F45" s="230">
        <v>18138.504719658984</v>
      </c>
      <c r="G45" s="203" t="s">
        <v>24</v>
      </c>
      <c r="H45" s="231" t="s">
        <v>1556</v>
      </c>
      <c r="J45" s="205">
        <v>1.4</v>
      </c>
      <c r="K45" s="218" t="s">
        <v>1408</v>
      </c>
      <c r="L45" s="232" t="s">
        <v>1672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1721</v>
      </c>
      <c r="Z45" s="119" t="s">
        <v>10</v>
      </c>
      <c r="AA45" s="120" t="s">
        <v>1722</v>
      </c>
      <c r="AB45" s="120"/>
      <c r="AC45" s="108"/>
      <c r="AD45" s="108"/>
      <c r="AE45" s="108"/>
      <c r="AF45" s="108"/>
      <c r="AG45" s="108"/>
      <c r="AH45" s="108"/>
      <c r="AI45" s="108"/>
    </row>
    <row r="46" spans="1:37" ht="44.1" customHeight="1" x14ac:dyDescent="0.3">
      <c r="A46" s="202"/>
      <c r="B46" s="202" t="s">
        <v>574</v>
      </c>
      <c r="C46" s="202" t="s">
        <v>1687</v>
      </c>
      <c r="D46" s="226" t="s">
        <v>1727</v>
      </c>
      <c r="E46" s="202">
        <v>15.71</v>
      </c>
      <c r="F46" s="227">
        <f>5418.58+11198.892152448</f>
        <v>16617.472152447997</v>
      </c>
      <c r="G46" s="202" t="s">
        <v>24</v>
      </c>
      <c r="H46" s="220" t="s">
        <v>53</v>
      </c>
      <c r="J46" s="204">
        <v>1.5</v>
      </c>
      <c r="K46" s="216" t="s">
        <v>1295</v>
      </c>
      <c r="L46" s="219" t="s">
        <v>1717</v>
      </c>
      <c r="N46" s="217" t="s">
        <v>1704</v>
      </c>
      <c r="O46" s="217" t="s">
        <v>1856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1651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</row>
    <row r="47" spans="1:37" s="257" customFormat="1" ht="44.1" customHeight="1" x14ac:dyDescent="0.3">
      <c r="A47" s="202"/>
      <c r="B47" s="207" t="s">
        <v>1341</v>
      </c>
      <c r="C47" s="207" t="s">
        <v>1817</v>
      </c>
      <c r="D47" s="207" t="s">
        <v>1728</v>
      </c>
      <c r="E47" s="207">
        <v>12.53</v>
      </c>
      <c r="F47" s="207">
        <v>15224.98</v>
      </c>
      <c r="G47" s="207" t="s">
        <v>24</v>
      </c>
      <c r="H47" s="207" t="s">
        <v>42</v>
      </c>
      <c r="I47"/>
      <c r="J47" s="211" t="s">
        <v>12</v>
      </c>
      <c r="K47" s="210" t="s">
        <v>12</v>
      </c>
      <c r="L47" s="209" t="s">
        <v>12</v>
      </c>
      <c r="M47"/>
      <c r="N47" s="219"/>
      <c r="O47" s="217"/>
      <c r="P47"/>
      <c r="Q47" t="s">
        <v>12</v>
      </c>
      <c r="R47" s="113" t="s">
        <v>12</v>
      </c>
      <c r="S47" s="118"/>
      <c r="T47" s="113" t="s">
        <v>12</v>
      </c>
      <c r="U47" s="118" t="s">
        <v>12</v>
      </c>
      <c r="V47" t="s">
        <v>12</v>
      </c>
      <c r="W47" s="108" t="s">
        <v>12</v>
      </c>
      <c r="X47" s="108"/>
      <c r="Y47" s="131" t="s">
        <v>1651</v>
      </c>
      <c r="Z47" s="131" t="s">
        <v>8</v>
      </c>
      <c r="AA47" s="131">
        <v>46199</v>
      </c>
      <c r="AB47" s="108">
        <v>46245</v>
      </c>
      <c r="AC47" s="108"/>
      <c r="AD47" s="108"/>
      <c r="AE47" s="108"/>
      <c r="AF47" s="108"/>
      <c r="AG47" s="112"/>
      <c r="AH47" s="50"/>
      <c r="AI47" s="50"/>
      <c r="AJ47"/>
      <c r="AK47"/>
    </row>
    <row r="48" spans="1:37" ht="44.1" customHeight="1" x14ac:dyDescent="0.3">
      <c r="A48" s="203"/>
      <c r="B48" s="203" t="s">
        <v>926</v>
      </c>
      <c r="C48" s="203" t="s">
        <v>1687</v>
      </c>
      <c r="D48" s="228" t="s">
        <v>1378</v>
      </c>
      <c r="E48" s="229">
        <v>5.6520000000000001</v>
      </c>
      <c r="F48" s="230">
        <v>10239.625233337503</v>
      </c>
      <c r="G48" s="203" t="s">
        <v>24</v>
      </c>
      <c r="H48" s="231" t="s">
        <v>42</v>
      </c>
      <c r="J48" s="205">
        <v>0.75</v>
      </c>
      <c r="K48" s="218" t="s">
        <v>1849</v>
      </c>
      <c r="L48" s="232" t="s">
        <v>1716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1651</v>
      </c>
      <c r="Z48" s="119" t="s">
        <v>8</v>
      </c>
      <c r="AA48" s="120">
        <v>46199</v>
      </c>
      <c r="AB48" s="120">
        <v>46245</v>
      </c>
      <c r="AC48" s="108"/>
      <c r="AD48" s="108"/>
      <c r="AE48" s="108"/>
      <c r="AF48" s="108"/>
      <c r="AG48" s="108"/>
      <c r="AH48" s="108"/>
      <c r="AI48" s="108"/>
    </row>
    <row r="49" spans="1:35" ht="44.1" customHeight="1" x14ac:dyDescent="0.3">
      <c r="A49" s="202"/>
      <c r="B49" s="202" t="s">
        <v>1729</v>
      </c>
      <c r="C49" s="202" t="s">
        <v>1719</v>
      </c>
      <c r="D49" s="226" t="s">
        <v>1730</v>
      </c>
      <c r="E49" s="202">
        <v>5.69</v>
      </c>
      <c r="F49" s="227">
        <v>14582.787749930398</v>
      </c>
      <c r="G49" s="202" t="s">
        <v>24</v>
      </c>
      <c r="H49" s="220" t="s">
        <v>1556</v>
      </c>
      <c r="J49" s="202">
        <v>1.2</v>
      </c>
      <c r="K49" s="216" t="s">
        <v>1357</v>
      </c>
      <c r="L49" s="202" t="s">
        <v>1715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1721</v>
      </c>
      <c r="Z49" s="119" t="s">
        <v>10</v>
      </c>
      <c r="AA49" s="120" t="s">
        <v>1722</v>
      </c>
      <c r="AB49" s="120"/>
      <c r="AC49" s="108"/>
      <c r="AD49" s="108"/>
      <c r="AE49" s="108"/>
      <c r="AF49" s="108"/>
      <c r="AG49" s="108"/>
      <c r="AH49" s="108"/>
      <c r="AI49" s="108"/>
    </row>
    <row r="50" spans="1:35" ht="44.1" customHeight="1" x14ac:dyDescent="0.3">
      <c r="A50" s="119"/>
      <c r="B50" s="203" t="s">
        <v>1361</v>
      </c>
      <c r="C50" s="203" t="s">
        <v>1719</v>
      </c>
      <c r="D50" s="228" t="s">
        <v>1344</v>
      </c>
      <c r="E50" s="229">
        <v>8.6300000000000008</v>
      </c>
      <c r="F50" s="230">
        <v>12633.085718253134</v>
      </c>
      <c r="G50" s="203" t="s">
        <v>24</v>
      </c>
      <c r="H50" s="231" t="s">
        <v>1556</v>
      </c>
      <c r="J50" s="205">
        <v>1.5</v>
      </c>
      <c r="K50" s="218" t="s">
        <v>1749</v>
      </c>
      <c r="L50" s="232" t="s">
        <v>1716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1651</v>
      </c>
      <c r="Z50" s="119" t="s">
        <v>8</v>
      </c>
      <c r="AA50" s="120">
        <v>46217</v>
      </c>
      <c r="AB50" s="120">
        <v>46245</v>
      </c>
      <c r="AC50" s="108"/>
      <c r="AD50" s="256"/>
      <c r="AE50" s="108"/>
      <c r="AF50" s="108"/>
      <c r="AG50" s="108"/>
      <c r="AH50" s="108"/>
      <c r="AI50" s="108"/>
    </row>
    <row r="51" spans="1:35" ht="44.1" customHeight="1" x14ac:dyDescent="0.3">
      <c r="A51" s="202"/>
      <c r="B51" s="202" t="s">
        <v>1731</v>
      </c>
      <c r="C51" s="202" t="s">
        <v>1719</v>
      </c>
      <c r="D51" s="226" t="s">
        <v>633</v>
      </c>
      <c r="E51" s="202">
        <v>4</v>
      </c>
      <c r="F51" s="227">
        <v>12157.462698176198</v>
      </c>
      <c r="G51" s="202" t="s">
        <v>24</v>
      </c>
      <c r="H51" s="220" t="s">
        <v>1556</v>
      </c>
      <c r="J51" s="202">
        <v>1.2</v>
      </c>
      <c r="K51" s="216" t="s">
        <v>215</v>
      </c>
      <c r="L51" s="202" t="s">
        <v>1716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1721</v>
      </c>
      <c r="Z51" s="119" t="s">
        <v>10</v>
      </c>
      <c r="AA51" s="120" t="s">
        <v>1722</v>
      </c>
      <c r="AB51" s="120"/>
      <c r="AC51" s="108"/>
      <c r="AD51" s="108"/>
      <c r="AE51" s="108"/>
      <c r="AF51" s="108"/>
      <c r="AG51" s="108"/>
      <c r="AH51" s="108"/>
      <c r="AI51" s="108"/>
    </row>
    <row r="52" spans="1:35" ht="44.1" customHeight="1" x14ac:dyDescent="0.3">
      <c r="A52" s="202"/>
      <c r="B52" s="202" t="s">
        <v>1732</v>
      </c>
      <c r="C52" s="202" t="s">
        <v>1719</v>
      </c>
      <c r="D52" s="226" t="s">
        <v>1405</v>
      </c>
      <c r="E52" s="202">
        <v>2.74</v>
      </c>
      <c r="F52" s="227">
        <v>12062.94014484057</v>
      </c>
      <c r="G52" s="202" t="s">
        <v>24</v>
      </c>
      <c r="H52" s="220" t="s">
        <v>1556</v>
      </c>
      <c r="J52" s="202">
        <v>1</v>
      </c>
      <c r="K52" s="216" t="s">
        <v>1357</v>
      </c>
      <c r="L52" s="202" t="s">
        <v>1715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1721</v>
      </c>
      <c r="Z52" s="119" t="s">
        <v>10</v>
      </c>
      <c r="AA52" s="120" t="s">
        <v>1722</v>
      </c>
      <c r="AB52" s="120"/>
      <c r="AC52" s="108"/>
      <c r="AD52" s="108"/>
      <c r="AE52" s="108"/>
      <c r="AF52" s="108"/>
      <c r="AG52" s="108"/>
      <c r="AH52" s="108"/>
      <c r="AI52" s="108"/>
    </row>
    <row r="53" spans="1:35" ht="44.1" customHeight="1" x14ac:dyDescent="0.3">
      <c r="A53" s="202"/>
      <c r="B53" s="202" t="s">
        <v>1733</v>
      </c>
      <c r="C53" s="202" t="s">
        <v>1719</v>
      </c>
      <c r="D53" s="226" t="s">
        <v>1344</v>
      </c>
      <c r="E53" s="202">
        <v>4.5999999999999996</v>
      </c>
      <c r="F53" s="227">
        <v>11841.607961308147</v>
      </c>
      <c r="G53" s="202" t="s">
        <v>24</v>
      </c>
      <c r="H53" s="220" t="s">
        <v>1556</v>
      </c>
      <c r="J53" s="202">
        <v>1.5</v>
      </c>
      <c r="K53" s="216" t="s">
        <v>1357</v>
      </c>
      <c r="L53" s="202" t="s">
        <v>1715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1721</v>
      </c>
      <c r="Z53" s="119" t="s">
        <v>10</v>
      </c>
      <c r="AA53" s="120" t="s">
        <v>1722</v>
      </c>
      <c r="AB53" s="120"/>
      <c r="AC53" s="108"/>
      <c r="AD53" s="108"/>
      <c r="AE53" s="108"/>
      <c r="AF53" s="108"/>
      <c r="AG53" s="108"/>
      <c r="AH53" s="108"/>
      <c r="AI53" s="108"/>
    </row>
    <row r="54" spans="1:35" ht="44.1" customHeight="1" x14ac:dyDescent="0.3">
      <c r="A54" s="203"/>
      <c r="B54" s="119" t="s">
        <v>1371</v>
      </c>
      <c r="C54" s="119" t="s">
        <v>1687</v>
      </c>
      <c r="D54" s="225" t="s">
        <v>1373</v>
      </c>
      <c r="E54" s="233">
        <v>6.4512</v>
      </c>
      <c r="F54" s="224">
        <v>9529.5824094649397</v>
      </c>
      <c r="G54" s="119" t="s">
        <v>24</v>
      </c>
      <c r="H54" s="122" t="s">
        <v>42</v>
      </c>
      <c r="J54" s="208">
        <v>2.5</v>
      </c>
      <c r="K54" s="215" t="s">
        <v>1850</v>
      </c>
      <c r="L54" s="125" t="s">
        <v>1855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1651</v>
      </c>
      <c r="Z54" s="119" t="s">
        <v>8</v>
      </c>
      <c r="AA54" s="120">
        <v>46199</v>
      </c>
      <c r="AB54" s="120">
        <v>46245</v>
      </c>
      <c r="AC54" s="131">
        <v>46260</v>
      </c>
      <c r="AD54" s="108"/>
      <c r="AE54" s="108"/>
      <c r="AF54" s="108"/>
      <c r="AG54" s="108"/>
      <c r="AH54" s="108"/>
      <c r="AI54" s="108" t="s">
        <v>1845</v>
      </c>
    </row>
    <row r="55" spans="1:35" ht="44.1" customHeight="1" x14ac:dyDescent="0.3">
      <c r="A55" s="202"/>
      <c r="B55" s="203" t="s">
        <v>1735</v>
      </c>
      <c r="C55" s="203" t="s">
        <v>1687</v>
      </c>
      <c r="D55" s="228" t="s">
        <v>1351</v>
      </c>
      <c r="E55" s="229">
        <v>11.65</v>
      </c>
      <c r="F55" s="230">
        <v>10196.017828738581</v>
      </c>
      <c r="G55" s="203" t="s">
        <v>24</v>
      </c>
      <c r="H55" s="231" t="s">
        <v>1736</v>
      </c>
      <c r="J55" s="205">
        <v>4</v>
      </c>
      <c r="K55" s="218" t="s">
        <v>1737</v>
      </c>
      <c r="L55" s="232" t="s">
        <v>1738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1651</v>
      </c>
      <c r="Z55" s="268" t="s">
        <v>8</v>
      </c>
      <c r="AA55" s="269" t="s">
        <v>12</v>
      </c>
      <c r="AB55" s="269" t="s">
        <v>12</v>
      </c>
      <c r="AC55" s="131" t="s">
        <v>12</v>
      </c>
      <c r="AD55" s="131" t="s">
        <v>12</v>
      </c>
      <c r="AE55" s="131" t="s">
        <v>12</v>
      </c>
      <c r="AF55" s="131" t="s">
        <v>12</v>
      </c>
      <c r="AG55" s="131" t="s">
        <v>12</v>
      </c>
      <c r="AH55" s="131" t="s">
        <v>12</v>
      </c>
      <c r="AI55" s="108" t="s">
        <v>1859</v>
      </c>
    </row>
    <row r="56" spans="1:35" ht="44.1" customHeight="1" x14ac:dyDescent="0.3">
      <c r="A56" s="202"/>
      <c r="B56" s="203" t="s">
        <v>1739</v>
      </c>
      <c r="C56" s="203" t="s">
        <v>1719</v>
      </c>
      <c r="D56" s="228" t="s">
        <v>1449</v>
      </c>
      <c r="E56" s="229">
        <v>0.66</v>
      </c>
      <c r="F56" s="230">
        <v>9673.2695159100913</v>
      </c>
      <c r="G56" s="203" t="s">
        <v>24</v>
      </c>
      <c r="H56" s="231" t="s">
        <v>1556</v>
      </c>
      <c r="J56" s="205">
        <v>1.2</v>
      </c>
      <c r="K56" s="218" t="s">
        <v>1357</v>
      </c>
      <c r="L56" s="232" t="s">
        <v>1715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1721</v>
      </c>
      <c r="Z56" s="119" t="s">
        <v>10</v>
      </c>
      <c r="AA56" s="120" t="s">
        <v>1722</v>
      </c>
      <c r="AB56" s="120"/>
      <c r="AC56" s="108"/>
      <c r="AD56" s="108"/>
      <c r="AE56" s="108"/>
      <c r="AF56" s="108"/>
      <c r="AG56" s="108"/>
      <c r="AH56" s="108"/>
      <c r="AI56" s="108"/>
    </row>
    <row r="57" spans="1:35" ht="44.1" customHeight="1" x14ac:dyDescent="0.3">
      <c r="A57" s="202"/>
      <c r="B57" s="203" t="s">
        <v>1740</v>
      </c>
      <c r="C57" s="203" t="s">
        <v>1719</v>
      </c>
      <c r="D57" s="228" t="s">
        <v>1344</v>
      </c>
      <c r="E57" s="229">
        <v>2.89</v>
      </c>
      <c r="F57" s="230">
        <v>9606.0373226999764</v>
      </c>
      <c r="G57" s="203" t="s">
        <v>24</v>
      </c>
      <c r="H57" s="231" t="s">
        <v>1556</v>
      </c>
      <c r="J57" s="205">
        <v>1</v>
      </c>
      <c r="K57" s="218" t="s">
        <v>215</v>
      </c>
      <c r="L57" s="232" t="s">
        <v>1716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1721</v>
      </c>
      <c r="Z57" s="119" t="s">
        <v>10</v>
      </c>
      <c r="AA57" s="120" t="s">
        <v>1722</v>
      </c>
      <c r="AB57" s="120"/>
      <c r="AC57" s="108"/>
      <c r="AD57" s="108"/>
      <c r="AE57" s="108"/>
      <c r="AF57" s="108"/>
      <c r="AG57" s="108"/>
      <c r="AH57" s="108"/>
      <c r="AI57" s="108"/>
    </row>
    <row r="58" spans="1:35" ht="44.1" customHeight="1" x14ac:dyDescent="0.3">
      <c r="A58" s="203"/>
      <c r="B58" s="203" t="s">
        <v>1382</v>
      </c>
      <c r="C58" s="203" t="s">
        <v>1687</v>
      </c>
      <c r="D58" s="228" t="s">
        <v>1383</v>
      </c>
      <c r="E58" s="229">
        <v>5.1935000000000002</v>
      </c>
      <c r="F58" s="230">
        <v>8902.0294336259212</v>
      </c>
      <c r="G58" s="203" t="s">
        <v>24</v>
      </c>
      <c r="H58" s="231" t="s">
        <v>42</v>
      </c>
      <c r="J58" s="205">
        <v>0.8</v>
      </c>
      <c r="K58" s="218" t="s">
        <v>1851</v>
      </c>
      <c r="L58" s="232" t="s">
        <v>1716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1651</v>
      </c>
      <c r="Z58" s="119" t="s">
        <v>8</v>
      </c>
      <c r="AA58" s="120">
        <v>46199</v>
      </c>
      <c r="AB58" s="120">
        <v>46245</v>
      </c>
      <c r="AC58" s="108"/>
      <c r="AD58" s="108"/>
      <c r="AE58" s="108"/>
      <c r="AF58" s="108"/>
      <c r="AG58" s="108"/>
      <c r="AH58" s="108"/>
      <c r="AI58" s="108"/>
    </row>
    <row r="59" spans="1:35" ht="44.1" customHeight="1" x14ac:dyDescent="0.3">
      <c r="A59" s="202"/>
      <c r="B59" s="202" t="s">
        <v>1741</v>
      </c>
      <c r="C59" s="202" t="s">
        <v>1719</v>
      </c>
      <c r="D59" s="202" t="s">
        <v>1368</v>
      </c>
      <c r="E59" s="202">
        <v>6.84</v>
      </c>
      <c r="F59" s="202">
        <v>8977.6446340546463</v>
      </c>
      <c r="G59" s="202" t="s">
        <v>24</v>
      </c>
      <c r="H59" s="202" t="s">
        <v>1556</v>
      </c>
      <c r="J59" s="202">
        <v>3</v>
      </c>
      <c r="K59" s="216" t="s">
        <v>1347</v>
      </c>
      <c r="L59" s="202" t="s">
        <v>1717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1721</v>
      </c>
      <c r="Z59" s="119" t="s">
        <v>10</v>
      </c>
      <c r="AA59" s="120" t="s">
        <v>1722</v>
      </c>
      <c r="AB59" s="120"/>
      <c r="AC59" s="108"/>
      <c r="AD59" s="108"/>
      <c r="AE59" s="108"/>
      <c r="AF59" s="108"/>
      <c r="AG59" s="108"/>
      <c r="AH59" s="108"/>
      <c r="AI59" s="108"/>
    </row>
    <row r="60" spans="1:35" ht="44.1" customHeight="1" x14ac:dyDescent="0.3">
      <c r="A60" s="203"/>
      <c r="B60" s="119" t="s">
        <v>1346</v>
      </c>
      <c r="C60" s="119" t="s">
        <v>1687</v>
      </c>
      <c r="D60" s="225" t="s">
        <v>1348</v>
      </c>
      <c r="E60" s="233">
        <v>12.333375</v>
      </c>
      <c r="F60" s="224">
        <v>8426.3931185615984</v>
      </c>
      <c r="G60" s="119" t="s">
        <v>24</v>
      </c>
      <c r="H60" s="122" t="s">
        <v>42</v>
      </c>
      <c r="J60" s="208">
        <v>1.8</v>
      </c>
      <c r="K60" s="215" t="s">
        <v>1852</v>
      </c>
      <c r="L60" s="125" t="s">
        <v>1717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1651</v>
      </c>
      <c r="Z60" s="119" t="s">
        <v>8</v>
      </c>
      <c r="AA60" s="120">
        <v>46199</v>
      </c>
      <c r="AB60" s="120">
        <v>46245</v>
      </c>
      <c r="AC60" s="131">
        <v>46260</v>
      </c>
      <c r="AD60" s="108"/>
      <c r="AE60" s="108"/>
      <c r="AF60" s="108"/>
      <c r="AG60" s="108"/>
      <c r="AH60" s="108"/>
      <c r="AI60" s="108" t="s">
        <v>1845</v>
      </c>
    </row>
    <row r="61" spans="1:35" ht="44.1" customHeight="1" x14ac:dyDescent="0.3">
      <c r="A61" s="203"/>
      <c r="B61" s="119" t="s">
        <v>1439</v>
      </c>
      <c r="C61" s="119" t="s">
        <v>1687</v>
      </c>
      <c r="D61" s="225" t="s">
        <v>1440</v>
      </c>
      <c r="E61" s="233">
        <v>1.0164</v>
      </c>
      <c r="F61" s="224">
        <v>7591.6560892095195</v>
      </c>
      <c r="G61" s="119" t="s">
        <v>24</v>
      </c>
      <c r="H61" s="122" t="s">
        <v>42</v>
      </c>
      <c r="J61" s="208">
        <v>1.5</v>
      </c>
      <c r="K61" s="215" t="s">
        <v>1408</v>
      </c>
      <c r="L61" s="125" t="s">
        <v>1717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1651</v>
      </c>
      <c r="Z61" s="119" t="s">
        <v>8</v>
      </c>
      <c r="AA61" s="120">
        <v>46199</v>
      </c>
      <c r="AB61" s="120">
        <v>46245</v>
      </c>
      <c r="AC61" s="131">
        <v>46260</v>
      </c>
      <c r="AD61" s="108"/>
      <c r="AE61" s="108"/>
      <c r="AF61" s="108"/>
      <c r="AG61" s="108"/>
      <c r="AH61" s="108"/>
      <c r="AI61" s="108" t="s">
        <v>1845</v>
      </c>
    </row>
    <row r="62" spans="1:35" ht="44.1" hidden="1" customHeight="1" x14ac:dyDescent="0.3">
      <c r="A62" s="223" t="s">
        <v>1842</v>
      </c>
      <c r="B62" s="108" t="s">
        <v>430</v>
      </c>
      <c r="C62" s="108"/>
      <c r="D62" s="109" t="s">
        <v>1742</v>
      </c>
      <c r="E62" s="128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1743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1">
        <v>46038</v>
      </c>
      <c r="Z62" s="268" t="s">
        <v>8</v>
      </c>
      <c r="AA62" s="269">
        <v>46038</v>
      </c>
      <c r="AB62" s="269">
        <v>46069</v>
      </c>
      <c r="AC62" s="131">
        <v>46071</v>
      </c>
      <c r="AD62" s="108" t="s">
        <v>1661</v>
      </c>
      <c r="AE62" s="108" t="s">
        <v>1661</v>
      </c>
      <c r="AF62" s="108"/>
      <c r="AG62" s="108"/>
      <c r="AH62" s="108"/>
      <c r="AI62" s="108"/>
    </row>
    <row r="63" spans="1:35" ht="44.1" customHeight="1" x14ac:dyDescent="0.3">
      <c r="A63" s="202"/>
      <c r="B63" s="203" t="s">
        <v>1420</v>
      </c>
      <c r="C63" s="203" t="s">
        <v>1687</v>
      </c>
      <c r="D63" s="228" t="s">
        <v>1744</v>
      </c>
      <c r="E63" s="229">
        <v>2.2283600000000003</v>
      </c>
      <c r="F63" s="230">
        <v>8029.7351111249855</v>
      </c>
      <c r="G63" s="203" t="s">
        <v>24</v>
      </c>
      <c r="H63" s="231" t="s">
        <v>51</v>
      </c>
      <c r="J63" s="205">
        <v>1.5</v>
      </c>
      <c r="K63" s="218" t="s">
        <v>1408</v>
      </c>
      <c r="L63" s="232" t="s">
        <v>1672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1651</v>
      </c>
      <c r="Z63" s="119" t="s">
        <v>10</v>
      </c>
      <c r="AA63" s="120"/>
      <c r="AB63" s="120"/>
      <c r="AC63" s="108"/>
      <c r="AD63" s="108"/>
      <c r="AE63" s="108"/>
      <c r="AF63" s="108"/>
      <c r="AG63" s="108"/>
      <c r="AH63" s="108"/>
      <c r="AI63" s="108"/>
    </row>
    <row r="64" spans="1:35" ht="44.1" customHeight="1" x14ac:dyDescent="0.3">
      <c r="A64" s="202"/>
      <c r="B64" s="203" t="s">
        <v>1745</v>
      </c>
      <c r="C64" s="203" t="s">
        <v>1719</v>
      </c>
      <c r="D64" s="228" t="s">
        <v>1344</v>
      </c>
      <c r="E64" s="229">
        <v>4.16</v>
      </c>
      <c r="F64" s="230">
        <v>7989.1897730873443</v>
      </c>
      <c r="G64" s="203" t="s">
        <v>24</v>
      </c>
      <c r="H64" s="231" t="s">
        <v>1556</v>
      </c>
      <c r="J64" s="205">
        <v>1.2</v>
      </c>
      <c r="K64" s="218" t="s">
        <v>215</v>
      </c>
      <c r="L64" s="232" t="s">
        <v>1716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1721</v>
      </c>
      <c r="Z64" s="119" t="s">
        <v>10</v>
      </c>
      <c r="AA64" s="120" t="s">
        <v>1722</v>
      </c>
      <c r="AB64" s="120"/>
      <c r="AC64" s="108"/>
      <c r="AD64" s="108"/>
      <c r="AE64" s="108"/>
      <c r="AF64" s="108"/>
      <c r="AG64" s="108"/>
      <c r="AH64" s="108"/>
      <c r="AI64" s="108"/>
    </row>
    <row r="65" spans="1:35" ht="44.1" customHeight="1" x14ac:dyDescent="0.3">
      <c r="A65" s="203"/>
      <c r="B65" s="203" t="s">
        <v>1425</v>
      </c>
      <c r="C65" s="203" t="s">
        <v>1687</v>
      </c>
      <c r="D65" s="228" t="s">
        <v>1746</v>
      </c>
      <c r="E65" s="229">
        <v>2.1937499999999996</v>
      </c>
      <c r="F65" s="230">
        <v>7375.3943988375131</v>
      </c>
      <c r="G65" s="203" t="s">
        <v>24</v>
      </c>
      <c r="H65" s="231" t="s">
        <v>42</v>
      </c>
      <c r="J65" s="205">
        <v>1.2</v>
      </c>
      <c r="K65" s="218" t="s">
        <v>1852</v>
      </c>
      <c r="L65" s="232" t="s">
        <v>1716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1651</v>
      </c>
      <c r="Z65" s="119" t="s">
        <v>8</v>
      </c>
      <c r="AA65" s="120">
        <v>46199</v>
      </c>
      <c r="AB65" s="120">
        <v>46245</v>
      </c>
      <c r="AC65" s="108"/>
      <c r="AD65" s="108"/>
      <c r="AE65" s="108"/>
      <c r="AF65" s="108"/>
      <c r="AG65" s="108"/>
      <c r="AH65" s="108"/>
      <c r="AI65" s="108"/>
    </row>
    <row r="66" spans="1:35" ht="44.1" customHeight="1" x14ac:dyDescent="0.3">
      <c r="A66" s="203"/>
      <c r="B66" s="119" t="s">
        <v>1400</v>
      </c>
      <c r="C66" s="119" t="s">
        <v>1687</v>
      </c>
      <c r="D66" s="225" t="s">
        <v>1401</v>
      </c>
      <c r="E66" s="233">
        <v>3.8872200000000001</v>
      </c>
      <c r="F66" s="224">
        <v>6848.7510031367929</v>
      </c>
      <c r="G66" s="119" t="s">
        <v>24</v>
      </c>
      <c r="H66" s="122" t="s">
        <v>42</v>
      </c>
      <c r="J66" s="208">
        <v>1.6</v>
      </c>
      <c r="K66" s="215" t="s">
        <v>1853</v>
      </c>
      <c r="L66" s="125" t="s">
        <v>1717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1651</v>
      </c>
      <c r="Z66" s="119" t="s">
        <v>8</v>
      </c>
      <c r="AA66" s="120">
        <v>46199</v>
      </c>
      <c r="AB66" s="120">
        <v>46245</v>
      </c>
      <c r="AC66" s="131">
        <v>46260</v>
      </c>
      <c r="AD66" s="108"/>
      <c r="AE66" s="108"/>
      <c r="AF66" s="108"/>
      <c r="AG66" s="108"/>
      <c r="AH66" s="108"/>
      <c r="AI66" s="108" t="s">
        <v>1845</v>
      </c>
    </row>
    <row r="67" spans="1:35" ht="44.1" customHeight="1" x14ac:dyDescent="0.3">
      <c r="A67" s="203"/>
      <c r="B67" s="119" t="s">
        <v>1392</v>
      </c>
      <c r="C67" s="119" t="s">
        <v>1687</v>
      </c>
      <c r="D67" s="225" t="s">
        <v>1393</v>
      </c>
      <c r="E67" s="233">
        <v>4.2117500000000003</v>
      </c>
      <c r="F67" s="224">
        <v>6584.071068839311</v>
      </c>
      <c r="G67" s="119" t="s">
        <v>24</v>
      </c>
      <c r="H67" s="122" t="s">
        <v>42</v>
      </c>
      <c r="J67" s="208">
        <v>1.5</v>
      </c>
      <c r="K67" s="215" t="s">
        <v>1408</v>
      </c>
      <c r="L67" s="125" t="s">
        <v>1717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1651</v>
      </c>
      <c r="Z67" s="119" t="s">
        <v>8</v>
      </c>
      <c r="AA67" s="120">
        <v>46199</v>
      </c>
      <c r="AB67" s="120">
        <v>46245</v>
      </c>
      <c r="AC67" s="131">
        <v>46260</v>
      </c>
      <c r="AD67" s="108"/>
      <c r="AE67" s="108"/>
      <c r="AF67" s="108"/>
      <c r="AG67" s="108"/>
      <c r="AH67" s="108"/>
      <c r="AI67" s="108" t="s">
        <v>1845</v>
      </c>
    </row>
    <row r="68" spans="1:35" ht="44.1" customHeight="1" x14ac:dyDescent="0.3">
      <c r="A68" s="202"/>
      <c r="B68" s="203" t="s">
        <v>1364</v>
      </c>
      <c r="C68" s="203" t="s">
        <v>1687</v>
      </c>
      <c r="D68" s="228" t="s">
        <v>1747</v>
      </c>
      <c r="E68" s="229">
        <v>6.5935199999999998</v>
      </c>
      <c r="F68" s="230">
        <v>6829.6049839277157</v>
      </c>
      <c r="G68" s="203" t="s">
        <v>24</v>
      </c>
      <c r="H68" s="231" t="s">
        <v>51</v>
      </c>
      <c r="J68" s="205">
        <v>1.2</v>
      </c>
      <c r="K68" s="218" t="s">
        <v>1357</v>
      </c>
      <c r="L68" s="232" t="s">
        <v>1715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1651</v>
      </c>
      <c r="Z68" s="119" t="s">
        <v>10</v>
      </c>
      <c r="AA68" s="120"/>
      <c r="AB68" s="120"/>
      <c r="AC68" s="108"/>
      <c r="AD68" s="108"/>
      <c r="AE68" s="108"/>
      <c r="AF68" s="108"/>
      <c r="AG68" s="108"/>
      <c r="AH68" s="108"/>
      <c r="AI68" s="108"/>
    </row>
    <row r="69" spans="1:35" ht="44.1" customHeight="1" x14ac:dyDescent="0.3">
      <c r="A69" s="203"/>
      <c r="B69" s="119" t="s">
        <v>1376</v>
      </c>
      <c r="C69" s="119" t="s">
        <v>1687</v>
      </c>
      <c r="D69" s="225" t="s">
        <v>1377</v>
      </c>
      <c r="E69" s="233">
        <v>5.9535</v>
      </c>
      <c r="F69" s="224">
        <v>6369.1097869769919</v>
      </c>
      <c r="G69" s="119" t="s">
        <v>24</v>
      </c>
      <c r="H69" s="122" t="s">
        <v>42</v>
      </c>
      <c r="J69" s="208">
        <v>2.5</v>
      </c>
      <c r="K69" s="215" t="s">
        <v>1372</v>
      </c>
      <c r="L69" s="125" t="s">
        <v>1734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1651</v>
      </c>
      <c r="Z69" s="119" t="s">
        <v>8</v>
      </c>
      <c r="AA69" s="120">
        <v>46199</v>
      </c>
      <c r="AB69" s="120">
        <v>46245</v>
      </c>
      <c r="AC69" s="131">
        <v>46260</v>
      </c>
      <c r="AD69" s="108"/>
      <c r="AE69" s="108"/>
      <c r="AF69" s="108"/>
      <c r="AG69" s="108"/>
      <c r="AH69" s="108"/>
      <c r="AI69" s="108" t="s">
        <v>1845</v>
      </c>
    </row>
    <row r="70" spans="1:35" ht="44.1" customHeight="1" x14ac:dyDescent="0.3">
      <c r="A70" s="203"/>
      <c r="B70" s="203" t="s">
        <v>1397</v>
      </c>
      <c r="C70" s="203" t="s">
        <v>1687</v>
      </c>
      <c r="D70" s="228" t="s">
        <v>1393</v>
      </c>
      <c r="E70" s="229">
        <v>3.9763875000000004</v>
      </c>
      <c r="F70" s="230">
        <v>6302.4478452360854</v>
      </c>
      <c r="G70" s="203" t="s">
        <v>24</v>
      </c>
      <c r="H70" s="231" t="s">
        <v>42</v>
      </c>
      <c r="J70" s="205">
        <v>1.5</v>
      </c>
      <c r="K70" s="218" t="s">
        <v>1347</v>
      </c>
      <c r="L70" s="232" t="s">
        <v>1717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1651</v>
      </c>
      <c r="Z70" s="108" t="s">
        <v>8</v>
      </c>
      <c r="AA70" s="131">
        <v>46199</v>
      </c>
      <c r="AB70" s="131">
        <v>46245</v>
      </c>
      <c r="AC70" s="108"/>
      <c r="AD70" s="108"/>
      <c r="AE70" s="108"/>
      <c r="AF70" s="108"/>
      <c r="AG70" s="108"/>
      <c r="AH70" s="108"/>
      <c r="AI70" s="108"/>
    </row>
    <row r="71" spans="1:35" ht="44.1" customHeight="1" x14ac:dyDescent="0.3">
      <c r="A71" s="203"/>
      <c r="B71" s="203" t="s">
        <v>1428</v>
      </c>
      <c r="C71" s="203" t="s">
        <v>1687</v>
      </c>
      <c r="D71" s="228" t="s">
        <v>1429</v>
      </c>
      <c r="E71" s="229">
        <v>1.95</v>
      </c>
      <c r="F71" s="230">
        <v>6109.2115281288543</v>
      </c>
      <c r="G71" s="203" t="s">
        <v>24</v>
      </c>
      <c r="H71" s="231" t="s">
        <v>42</v>
      </c>
      <c r="J71" s="205">
        <v>0.7</v>
      </c>
      <c r="K71" s="218" t="s">
        <v>215</v>
      </c>
      <c r="L71" s="232" t="s">
        <v>1716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1651</v>
      </c>
      <c r="Z71" s="108" t="s">
        <v>8</v>
      </c>
      <c r="AA71" s="131">
        <v>46199</v>
      </c>
      <c r="AB71" s="131">
        <v>46245</v>
      </c>
      <c r="AC71" s="108"/>
      <c r="AD71" s="108"/>
      <c r="AE71" s="108"/>
      <c r="AF71" s="108"/>
      <c r="AG71" s="108"/>
      <c r="AH71" s="108"/>
      <c r="AI71" s="108"/>
    </row>
    <row r="72" spans="1:35" ht="44.1" customHeight="1" x14ac:dyDescent="0.3">
      <c r="A72" s="202"/>
      <c r="B72" s="203" t="s">
        <v>1748</v>
      </c>
      <c r="C72" s="203" t="s">
        <v>1719</v>
      </c>
      <c r="D72" s="228" t="s">
        <v>1462</v>
      </c>
      <c r="E72" s="229">
        <v>0.05</v>
      </c>
      <c r="F72" s="230">
        <v>6241.7428491599348</v>
      </c>
      <c r="G72" s="203" t="s">
        <v>24</v>
      </c>
      <c r="H72" s="231" t="s">
        <v>1556</v>
      </c>
      <c r="J72" s="205">
        <v>0.6</v>
      </c>
      <c r="K72" s="218" t="s">
        <v>1749</v>
      </c>
      <c r="L72" s="232" t="s">
        <v>1716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1721</v>
      </c>
      <c r="Z72" s="108" t="s">
        <v>10</v>
      </c>
      <c r="AA72" s="112" t="s">
        <v>1722</v>
      </c>
      <c r="AB72" s="108"/>
      <c r="AC72" s="108"/>
      <c r="AD72" s="108"/>
      <c r="AE72" s="108"/>
      <c r="AF72" s="108"/>
      <c r="AG72" s="108"/>
      <c r="AH72" s="108"/>
      <c r="AI72" s="108"/>
    </row>
    <row r="73" spans="1:35" ht="44.1" customHeight="1" x14ac:dyDescent="0.3">
      <c r="A73" s="203"/>
      <c r="B73" s="203" t="s">
        <v>1359</v>
      </c>
      <c r="C73" s="203" t="s">
        <v>1719</v>
      </c>
      <c r="D73" s="228" t="s">
        <v>916</v>
      </c>
      <c r="E73" s="229">
        <v>7.6096000000000004</v>
      </c>
      <c r="F73" s="230">
        <v>5364.2951771850076</v>
      </c>
      <c r="G73" s="203" t="s">
        <v>24</v>
      </c>
      <c r="H73" s="231" t="s">
        <v>42</v>
      </c>
      <c r="J73" s="205">
        <v>1.2</v>
      </c>
      <c r="K73" s="218" t="s">
        <v>215</v>
      </c>
      <c r="L73" s="232" t="s">
        <v>1716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1651</v>
      </c>
      <c r="Z73" s="108" t="s">
        <v>8</v>
      </c>
      <c r="AA73" s="131">
        <v>46199</v>
      </c>
      <c r="AB73" s="131">
        <v>46245</v>
      </c>
      <c r="AC73" s="108"/>
      <c r="AD73" s="108"/>
      <c r="AE73" s="108"/>
      <c r="AF73" s="108"/>
      <c r="AG73" s="108"/>
      <c r="AH73" s="108"/>
      <c r="AI73" s="108"/>
    </row>
    <row r="74" spans="1:35" ht="44.1" customHeight="1" x14ac:dyDescent="0.3">
      <c r="A74" s="202"/>
      <c r="B74" s="203" t="s">
        <v>1375</v>
      </c>
      <c r="C74" s="203" t="s">
        <v>1687</v>
      </c>
      <c r="D74" s="228" t="s">
        <v>1365</v>
      </c>
      <c r="E74" s="229">
        <v>5.7246000000000006</v>
      </c>
      <c r="F74" s="230">
        <v>6072.2602971029992</v>
      </c>
      <c r="G74" s="203" t="s">
        <v>24</v>
      </c>
      <c r="H74" s="231" t="s">
        <v>51</v>
      </c>
      <c r="J74" s="205">
        <v>1.2</v>
      </c>
      <c r="K74" s="218" t="s">
        <v>1357</v>
      </c>
      <c r="L74" s="232" t="s">
        <v>1715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1651</v>
      </c>
      <c r="Z74" s="108" t="s">
        <v>10</v>
      </c>
      <c r="AA74" s="108"/>
      <c r="AB74" s="108"/>
      <c r="AC74" s="108"/>
      <c r="AD74" s="108"/>
      <c r="AE74" s="108"/>
      <c r="AF74" s="108"/>
      <c r="AG74" s="108"/>
      <c r="AH74" s="108"/>
      <c r="AI74" s="108"/>
    </row>
    <row r="75" spans="1:35" ht="44.1" customHeight="1" x14ac:dyDescent="0.3">
      <c r="A75" s="202"/>
      <c r="B75" s="203" t="s">
        <v>1750</v>
      </c>
      <c r="C75" s="203" t="s">
        <v>1719</v>
      </c>
      <c r="D75" s="228" t="s">
        <v>1344</v>
      </c>
      <c r="E75" s="229">
        <v>2.89</v>
      </c>
      <c r="F75" s="230">
        <v>5832.0105480000566</v>
      </c>
      <c r="G75" s="203" t="s">
        <v>24</v>
      </c>
      <c r="H75" s="231" t="s">
        <v>1556</v>
      </c>
      <c r="J75" s="205">
        <v>1</v>
      </c>
      <c r="K75" s="218" t="s">
        <v>215</v>
      </c>
      <c r="L75" s="232" t="s">
        <v>1716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1721</v>
      </c>
      <c r="Z75" s="108" t="s">
        <v>10</v>
      </c>
      <c r="AA75" s="112" t="s">
        <v>1722</v>
      </c>
      <c r="AB75" s="108"/>
      <c r="AC75" s="108"/>
      <c r="AD75" s="108"/>
      <c r="AE75" s="108"/>
      <c r="AF75" s="108"/>
      <c r="AG75" s="108"/>
      <c r="AH75" s="108"/>
      <c r="AI75" s="108"/>
    </row>
    <row r="76" spans="1:35" ht="44.1" customHeight="1" x14ac:dyDescent="0.3">
      <c r="A76" s="203"/>
      <c r="B76" s="203" t="s">
        <v>1455</v>
      </c>
      <c r="C76" s="203" t="s">
        <v>1719</v>
      </c>
      <c r="D76" s="228" t="s">
        <v>1751</v>
      </c>
      <c r="E76" s="229">
        <v>0.36</v>
      </c>
      <c r="F76" s="230">
        <v>4056.9783891524821</v>
      </c>
      <c r="G76" s="203" t="s">
        <v>24</v>
      </c>
      <c r="H76" s="231" t="s">
        <v>42</v>
      </c>
      <c r="J76" s="205">
        <v>0.7</v>
      </c>
      <c r="K76" s="218" t="s">
        <v>215</v>
      </c>
      <c r="L76" s="232" t="s">
        <v>1716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1651</v>
      </c>
      <c r="Z76" s="108" t="s">
        <v>8</v>
      </c>
      <c r="AA76" s="131">
        <v>46199</v>
      </c>
      <c r="AB76" s="131">
        <v>46245</v>
      </c>
      <c r="AC76" s="108"/>
      <c r="AD76" s="108"/>
      <c r="AE76" s="108"/>
      <c r="AF76" s="108"/>
      <c r="AG76" s="108"/>
      <c r="AH76" s="108"/>
      <c r="AI76" s="108"/>
    </row>
    <row r="77" spans="1:35" ht="44.1" customHeight="1" x14ac:dyDescent="0.3">
      <c r="A77" s="202"/>
      <c r="B77" s="203" t="s">
        <v>1752</v>
      </c>
      <c r="C77" s="203" t="s">
        <v>1719</v>
      </c>
      <c r="D77" s="228" t="s">
        <v>785</v>
      </c>
      <c r="E77" s="229">
        <v>1.37</v>
      </c>
      <c r="F77" s="230">
        <v>5301.6760721925139</v>
      </c>
      <c r="G77" s="203" t="s">
        <v>24</v>
      </c>
      <c r="H77" s="231" t="s">
        <v>1556</v>
      </c>
      <c r="J77" s="205">
        <v>0.8</v>
      </c>
      <c r="K77" s="218" t="s">
        <v>215</v>
      </c>
      <c r="L77" s="232" t="s">
        <v>1716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1721</v>
      </c>
      <c r="Z77" s="108" t="s">
        <v>10</v>
      </c>
      <c r="AA77" s="112" t="s">
        <v>1722</v>
      </c>
      <c r="AB77" s="108"/>
      <c r="AC77" s="108"/>
      <c r="AD77" s="108"/>
      <c r="AE77" s="108"/>
      <c r="AF77" s="108"/>
      <c r="AG77" s="108"/>
      <c r="AH77" s="108"/>
      <c r="AI77" s="108"/>
    </row>
    <row r="78" spans="1:35" ht="44.1" customHeight="1" x14ac:dyDescent="0.3">
      <c r="A78" s="202"/>
      <c r="B78" s="203" t="s">
        <v>1753</v>
      </c>
      <c r="C78" s="203" t="s">
        <v>1719</v>
      </c>
      <c r="D78" s="228" t="s">
        <v>1452</v>
      </c>
      <c r="E78" s="229">
        <v>0.63</v>
      </c>
      <c r="F78" s="230">
        <v>4306.029936390004</v>
      </c>
      <c r="G78" s="203" t="s">
        <v>24</v>
      </c>
      <c r="H78" s="231" t="s">
        <v>1556</v>
      </c>
      <c r="J78" s="205">
        <v>0.6</v>
      </c>
      <c r="K78" s="218" t="s">
        <v>1749</v>
      </c>
      <c r="L78" s="232" t="s">
        <v>1716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1721</v>
      </c>
      <c r="Z78" s="108" t="s">
        <v>10</v>
      </c>
      <c r="AA78" s="112" t="s">
        <v>1722</v>
      </c>
      <c r="AB78" s="108"/>
      <c r="AC78" s="108"/>
      <c r="AD78" s="108"/>
      <c r="AE78" s="108"/>
      <c r="AF78" s="108"/>
      <c r="AG78" s="108"/>
      <c r="AH78" s="108"/>
      <c r="AI78" s="108"/>
    </row>
    <row r="79" spans="1:35" ht="44.1" customHeight="1" x14ac:dyDescent="0.3">
      <c r="A79" s="203"/>
      <c r="B79" s="119" t="s">
        <v>1388</v>
      </c>
      <c r="C79" s="119" t="s">
        <v>1719</v>
      </c>
      <c r="D79" s="225" t="s">
        <v>1377</v>
      </c>
      <c r="E79" s="233">
        <v>4.1760000000000002</v>
      </c>
      <c r="F79" s="224">
        <v>3984.5269882341654</v>
      </c>
      <c r="G79" s="119" t="s">
        <v>24</v>
      </c>
      <c r="H79" s="122" t="s">
        <v>42</v>
      </c>
      <c r="J79" s="208">
        <v>2.5</v>
      </c>
      <c r="K79" s="215">
        <v>0.105</v>
      </c>
      <c r="L79" s="125" t="s">
        <v>1754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1651</v>
      </c>
      <c r="Z79" s="108" t="s">
        <v>8</v>
      </c>
      <c r="AA79" s="131">
        <v>46199</v>
      </c>
      <c r="AB79" s="131">
        <v>46245</v>
      </c>
      <c r="AC79" s="120">
        <v>46260</v>
      </c>
      <c r="AD79" s="108"/>
      <c r="AE79" s="108"/>
      <c r="AF79" s="108"/>
      <c r="AG79" s="108"/>
      <c r="AH79" s="108"/>
      <c r="AI79" s="108" t="s">
        <v>1845</v>
      </c>
    </row>
    <row r="80" spans="1:35" ht="44.1" customHeight="1" x14ac:dyDescent="0.3">
      <c r="A80" s="203"/>
      <c r="B80" s="203" t="s">
        <v>1437</v>
      </c>
      <c r="C80" s="203" t="s">
        <v>1719</v>
      </c>
      <c r="D80" s="228" t="s">
        <v>1438</v>
      </c>
      <c r="E80" s="229">
        <v>1.1088</v>
      </c>
      <c r="F80" s="230">
        <v>3844.3218347519828</v>
      </c>
      <c r="G80" s="203" t="s">
        <v>24</v>
      </c>
      <c r="H80" s="231" t="s">
        <v>42</v>
      </c>
      <c r="J80" s="205">
        <v>0.65</v>
      </c>
      <c r="K80" s="218" t="s">
        <v>215</v>
      </c>
      <c r="L80" s="232" t="s">
        <v>1716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1651</v>
      </c>
      <c r="Z80" s="108" t="s">
        <v>8</v>
      </c>
      <c r="AA80" s="131">
        <v>46199</v>
      </c>
      <c r="AB80" s="131">
        <v>46245</v>
      </c>
      <c r="AC80" s="108"/>
      <c r="AD80" s="108"/>
      <c r="AE80" s="108"/>
      <c r="AF80" s="108"/>
      <c r="AG80" s="108"/>
      <c r="AH80" s="108"/>
      <c r="AI80" s="108"/>
    </row>
    <row r="81" spans="1:35" ht="44.1" customHeight="1" x14ac:dyDescent="0.3">
      <c r="A81" s="203"/>
      <c r="B81" s="203" t="s">
        <v>1413</v>
      </c>
      <c r="C81" s="203" t="s">
        <v>1719</v>
      </c>
      <c r="D81" s="228" t="s">
        <v>1414</v>
      </c>
      <c r="E81" s="229">
        <v>2.59335</v>
      </c>
      <c r="F81" s="230">
        <v>3720.6159635235795</v>
      </c>
      <c r="G81" s="203" t="s">
        <v>24</v>
      </c>
      <c r="H81" s="231" t="s">
        <v>42</v>
      </c>
      <c r="J81" s="205">
        <v>0.6</v>
      </c>
      <c r="K81" s="218" t="s">
        <v>215</v>
      </c>
      <c r="L81" s="232" t="s">
        <v>1716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1651</v>
      </c>
      <c r="Z81" s="108" t="s">
        <v>8</v>
      </c>
      <c r="AA81" s="131">
        <v>46199</v>
      </c>
      <c r="AB81" s="131">
        <v>46245</v>
      </c>
      <c r="AC81" s="108"/>
      <c r="AD81" s="108"/>
      <c r="AE81" s="108"/>
      <c r="AF81" s="108"/>
      <c r="AG81" s="108"/>
      <c r="AH81" s="108"/>
      <c r="AI81" s="108"/>
    </row>
    <row r="82" spans="1:35" ht="44.1" customHeight="1" x14ac:dyDescent="0.3">
      <c r="A82" s="203"/>
      <c r="B82" s="203" t="s">
        <v>1395</v>
      </c>
      <c r="C82" s="203" t="s">
        <v>1719</v>
      </c>
      <c r="D82" s="228" t="s">
        <v>1713</v>
      </c>
      <c r="E82" s="229">
        <v>3.6971999999999996</v>
      </c>
      <c r="F82" s="230">
        <v>3330.9095118012024</v>
      </c>
      <c r="G82" s="203" t="s">
        <v>24</v>
      </c>
      <c r="H82" s="231" t="s">
        <v>42</v>
      </c>
      <c r="J82" s="205">
        <v>0.8</v>
      </c>
      <c r="K82" s="218" t="s">
        <v>215</v>
      </c>
      <c r="L82" s="232" t="s">
        <v>1716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1651</v>
      </c>
      <c r="Z82" s="108" t="s">
        <v>8</v>
      </c>
      <c r="AA82" s="131">
        <v>46199</v>
      </c>
      <c r="AB82" s="131">
        <v>46245</v>
      </c>
      <c r="AC82" s="108"/>
      <c r="AD82" s="108"/>
      <c r="AE82" s="108"/>
      <c r="AF82" s="108"/>
      <c r="AG82" s="108"/>
      <c r="AH82" s="108"/>
      <c r="AI82" s="108"/>
    </row>
    <row r="83" spans="1:35" ht="44.1" customHeight="1" x14ac:dyDescent="0.3">
      <c r="A83" s="202"/>
      <c r="B83" s="203" t="s">
        <v>1755</v>
      </c>
      <c r="C83" s="203" t="s">
        <v>1719</v>
      </c>
      <c r="D83" s="228" t="s">
        <v>1730</v>
      </c>
      <c r="E83" s="229">
        <v>5.69</v>
      </c>
      <c r="F83" s="230">
        <v>3707.235151851984</v>
      </c>
      <c r="G83" s="203" t="s">
        <v>24</v>
      </c>
      <c r="H83" s="231" t="s">
        <v>1556</v>
      </c>
      <c r="J83" s="205">
        <v>1.2</v>
      </c>
      <c r="K83" s="218" t="s">
        <v>1357</v>
      </c>
      <c r="L83" s="232" t="s">
        <v>1715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1721</v>
      </c>
      <c r="Z83" s="108" t="s">
        <v>10</v>
      </c>
      <c r="AA83" s="112" t="s">
        <v>1722</v>
      </c>
      <c r="AB83" s="108"/>
      <c r="AC83" s="108"/>
      <c r="AD83" s="108"/>
      <c r="AE83" s="108"/>
      <c r="AF83" s="108"/>
      <c r="AG83" s="108"/>
      <c r="AH83" s="108"/>
      <c r="AI83" s="108"/>
    </row>
    <row r="84" spans="1:35" ht="44.1" customHeight="1" x14ac:dyDescent="0.3">
      <c r="A84" s="202"/>
      <c r="B84" s="203" t="s">
        <v>1444</v>
      </c>
      <c r="C84" s="203" t="s">
        <v>1719</v>
      </c>
      <c r="D84" s="228" t="s">
        <v>1445</v>
      </c>
      <c r="E84" s="229">
        <v>0.77905849999999999</v>
      </c>
      <c r="F84" s="230">
        <v>3516.7974475724823</v>
      </c>
      <c r="G84" s="203" t="s">
        <v>24</v>
      </c>
      <c r="H84" s="231" t="s">
        <v>45</v>
      </c>
      <c r="J84" s="205">
        <v>1.2</v>
      </c>
      <c r="K84" s="218" t="s">
        <v>1408</v>
      </c>
      <c r="L84" s="232" t="s">
        <v>1672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1651</v>
      </c>
      <c r="Z84" s="108" t="s">
        <v>8</v>
      </c>
      <c r="AA84" s="131" t="s">
        <v>12</v>
      </c>
      <c r="AB84" s="131" t="s">
        <v>12</v>
      </c>
      <c r="AC84" s="131" t="s">
        <v>12</v>
      </c>
      <c r="AD84" s="131" t="s">
        <v>12</v>
      </c>
      <c r="AE84" s="131" t="s">
        <v>12</v>
      </c>
      <c r="AF84" s="131" t="s">
        <v>12</v>
      </c>
      <c r="AG84" s="131" t="s">
        <v>12</v>
      </c>
      <c r="AH84" s="131" t="s">
        <v>12</v>
      </c>
      <c r="AI84" s="108" t="s">
        <v>1859</v>
      </c>
    </row>
    <row r="85" spans="1:35" ht="44.1" customHeight="1" x14ac:dyDescent="0.3">
      <c r="A85" s="202"/>
      <c r="B85" s="203" t="s">
        <v>1431</v>
      </c>
      <c r="C85" s="203" t="s">
        <v>1719</v>
      </c>
      <c r="D85" s="228" t="s">
        <v>1432</v>
      </c>
      <c r="E85" s="229">
        <v>1.26</v>
      </c>
      <c r="F85" s="230">
        <v>3471.1709000692636</v>
      </c>
      <c r="G85" s="203" t="s">
        <v>24</v>
      </c>
      <c r="H85" s="231" t="s">
        <v>51</v>
      </c>
      <c r="J85" s="205">
        <v>0.8</v>
      </c>
      <c r="K85" s="218" t="s">
        <v>215</v>
      </c>
      <c r="L85" s="232" t="s">
        <v>1716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1651</v>
      </c>
      <c r="Z85" s="108" t="s">
        <v>10</v>
      </c>
      <c r="AA85" s="131" t="s">
        <v>12</v>
      </c>
      <c r="AB85" s="131" t="s">
        <v>12</v>
      </c>
      <c r="AC85" s="131" t="s">
        <v>12</v>
      </c>
      <c r="AD85" s="131" t="s">
        <v>12</v>
      </c>
      <c r="AE85" s="131" t="s">
        <v>12</v>
      </c>
      <c r="AF85" s="131" t="s">
        <v>12</v>
      </c>
      <c r="AG85" s="131" t="s">
        <v>12</v>
      </c>
      <c r="AH85" s="131" t="s">
        <v>12</v>
      </c>
      <c r="AI85" s="108"/>
    </row>
    <row r="86" spans="1:35" ht="44.1" customHeight="1" x14ac:dyDescent="0.3">
      <c r="A86" s="203"/>
      <c r="B86" s="203" t="s">
        <v>1417</v>
      </c>
      <c r="C86" s="203" t="s">
        <v>1719</v>
      </c>
      <c r="D86" s="228" t="s">
        <v>1418</v>
      </c>
      <c r="E86" s="229">
        <v>2.543625</v>
      </c>
      <c r="F86" s="230">
        <v>3305.7042804576236</v>
      </c>
      <c r="G86" s="203" t="s">
        <v>24</v>
      </c>
      <c r="H86" s="231" t="s">
        <v>42</v>
      </c>
      <c r="J86" s="205">
        <v>1.2</v>
      </c>
      <c r="K86" s="218" t="s">
        <v>215</v>
      </c>
      <c r="L86" s="232" t="s">
        <v>1716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1651</v>
      </c>
      <c r="Z86" s="108" t="s">
        <v>8</v>
      </c>
      <c r="AA86" s="131">
        <v>46199</v>
      </c>
      <c r="AB86" s="131">
        <v>46245</v>
      </c>
      <c r="AC86" s="108"/>
      <c r="AD86" s="108"/>
      <c r="AE86" s="108"/>
      <c r="AF86" s="108"/>
      <c r="AG86" s="108"/>
      <c r="AH86" s="108"/>
      <c r="AI86" s="108"/>
    </row>
    <row r="87" spans="1:35" ht="44.1" customHeight="1" x14ac:dyDescent="0.3">
      <c r="A87" s="202"/>
      <c r="B87" s="203" t="s">
        <v>1423</v>
      </c>
      <c r="C87" s="203" t="s">
        <v>1719</v>
      </c>
      <c r="D87" s="228" t="s">
        <v>916</v>
      </c>
      <c r="E87" s="229">
        <v>2.1473969999999998</v>
      </c>
      <c r="F87" s="230">
        <v>2833.8699876542555</v>
      </c>
      <c r="G87" s="203" t="s">
        <v>24</v>
      </c>
      <c r="H87" s="231" t="s">
        <v>42</v>
      </c>
      <c r="J87" s="205">
        <v>1.2</v>
      </c>
      <c r="K87" s="218" t="s">
        <v>215</v>
      </c>
      <c r="L87" s="232" t="s">
        <v>1716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1651</v>
      </c>
      <c r="Z87" s="108" t="s">
        <v>8</v>
      </c>
      <c r="AA87" s="131">
        <v>46199</v>
      </c>
      <c r="AB87" s="131">
        <v>46245</v>
      </c>
      <c r="AC87" s="108"/>
      <c r="AD87" s="108"/>
      <c r="AE87" s="108"/>
      <c r="AF87" s="108"/>
      <c r="AG87" s="108"/>
      <c r="AH87" s="108"/>
      <c r="AI87" s="108"/>
    </row>
    <row r="88" spans="1:35" ht="44.1" customHeight="1" x14ac:dyDescent="0.3">
      <c r="A88" s="203"/>
      <c r="B88" s="119" t="s">
        <v>1407</v>
      </c>
      <c r="C88" s="119" t="s">
        <v>1719</v>
      </c>
      <c r="D88" s="225" t="s">
        <v>1409</v>
      </c>
      <c r="E88" s="233">
        <v>3.29175</v>
      </c>
      <c r="F88" s="224">
        <v>2328.8325914285183</v>
      </c>
      <c r="G88" s="119" t="s">
        <v>24</v>
      </c>
      <c r="H88" s="122" t="s">
        <v>42</v>
      </c>
      <c r="J88" s="208">
        <v>1.8</v>
      </c>
      <c r="K88" s="215" t="s">
        <v>1408</v>
      </c>
      <c r="L88" s="125" t="s">
        <v>1672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1651</v>
      </c>
      <c r="Z88" s="108" t="s">
        <v>8</v>
      </c>
      <c r="AA88" s="131">
        <v>46199</v>
      </c>
      <c r="AB88" s="131">
        <v>46245</v>
      </c>
      <c r="AC88" s="120">
        <v>46260</v>
      </c>
      <c r="AD88" s="108"/>
      <c r="AE88" s="108"/>
      <c r="AF88" s="108"/>
      <c r="AG88" s="108"/>
      <c r="AH88" s="108"/>
      <c r="AI88" s="108" t="s">
        <v>1845</v>
      </c>
    </row>
    <row r="89" spans="1:35" ht="44.1" customHeight="1" x14ac:dyDescent="0.3">
      <c r="A89" s="203"/>
      <c r="B89" s="119" t="s">
        <v>1419</v>
      </c>
      <c r="C89" s="119" t="s">
        <v>1719</v>
      </c>
      <c r="D89" s="225" t="s">
        <v>1756</v>
      </c>
      <c r="E89" s="233">
        <v>2.5599999999999996</v>
      </c>
      <c r="F89" s="224">
        <v>1225.2361158324156</v>
      </c>
      <c r="G89" s="119" t="s">
        <v>24</v>
      </c>
      <c r="H89" s="122" t="s">
        <v>42</v>
      </c>
      <c r="J89" s="208">
        <v>2</v>
      </c>
      <c r="K89" s="215" t="s">
        <v>1347</v>
      </c>
      <c r="L89" s="125" t="s">
        <v>1717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1651</v>
      </c>
      <c r="Z89" s="108" t="s">
        <v>8</v>
      </c>
      <c r="AA89" s="131">
        <v>46199</v>
      </c>
      <c r="AB89" s="131">
        <v>46245</v>
      </c>
      <c r="AC89" s="120">
        <v>46260</v>
      </c>
      <c r="AD89" s="108"/>
      <c r="AE89" s="108"/>
      <c r="AF89" s="108"/>
      <c r="AG89" s="108"/>
      <c r="AH89" s="108"/>
      <c r="AI89" s="108" t="s">
        <v>1845</v>
      </c>
    </row>
    <row r="90" spans="1:35" ht="44.1" customHeight="1" x14ac:dyDescent="0.3">
      <c r="A90" s="202"/>
      <c r="B90" s="203" t="s">
        <v>1757</v>
      </c>
      <c r="C90" s="203" t="s">
        <v>1719</v>
      </c>
      <c r="D90" s="228" t="s">
        <v>1436</v>
      </c>
      <c r="E90" s="229">
        <v>1.2</v>
      </c>
      <c r="F90" s="230">
        <v>1802.5760172419969</v>
      </c>
      <c r="G90" s="203" t="s">
        <v>24</v>
      </c>
      <c r="H90" s="231" t="s">
        <v>1556</v>
      </c>
      <c r="J90" s="205">
        <v>1</v>
      </c>
      <c r="K90" s="218" t="s">
        <v>215</v>
      </c>
      <c r="L90" s="232" t="s">
        <v>1716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1721</v>
      </c>
      <c r="Z90" s="108" t="s">
        <v>10</v>
      </c>
      <c r="AA90" s="112" t="s">
        <v>1722</v>
      </c>
      <c r="AB90" s="108"/>
      <c r="AC90" s="108"/>
      <c r="AD90" s="108"/>
      <c r="AE90" s="108"/>
      <c r="AF90" s="108"/>
      <c r="AG90" s="108"/>
      <c r="AH90" s="108"/>
      <c r="AI90" s="108"/>
    </row>
    <row r="91" spans="1:35" ht="44.1" customHeight="1" x14ac:dyDescent="0.3">
      <c r="A91" s="202"/>
      <c r="B91" s="203" t="s">
        <v>1442</v>
      </c>
      <c r="C91" s="203" t="s">
        <v>1719</v>
      </c>
      <c r="D91" s="228" t="s">
        <v>1758</v>
      </c>
      <c r="E91" s="229">
        <v>0.84000000000000008</v>
      </c>
      <c r="F91" s="230">
        <v>1532.677728582004</v>
      </c>
      <c r="G91" s="203" t="s">
        <v>24</v>
      </c>
      <c r="H91" s="231" t="s">
        <v>51</v>
      </c>
      <c r="J91" s="205">
        <v>1.5</v>
      </c>
      <c r="K91" s="218" t="s">
        <v>1408</v>
      </c>
      <c r="L91" s="232" t="s">
        <v>1672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1651</v>
      </c>
      <c r="Z91" s="108" t="s">
        <v>10</v>
      </c>
      <c r="AA91" s="108" t="s">
        <v>12</v>
      </c>
      <c r="AB91" s="108" t="s">
        <v>12</v>
      </c>
      <c r="AC91" s="108" t="s">
        <v>12</v>
      </c>
      <c r="AD91" s="108" t="s">
        <v>12</v>
      </c>
      <c r="AE91" s="108" t="s">
        <v>12</v>
      </c>
      <c r="AF91" s="108" t="s">
        <v>12</v>
      </c>
      <c r="AG91" s="108" t="s">
        <v>12</v>
      </c>
      <c r="AH91" s="108" t="s">
        <v>12</v>
      </c>
      <c r="AI91" s="108" t="s">
        <v>1861</v>
      </c>
    </row>
    <row r="92" spans="1:35" ht="44.1" customHeight="1" x14ac:dyDescent="0.3">
      <c r="A92" s="202"/>
      <c r="B92" s="203" t="s">
        <v>1759</v>
      </c>
      <c r="C92" s="203" t="s">
        <v>1719</v>
      </c>
      <c r="D92" s="228" t="s">
        <v>1760</v>
      </c>
      <c r="E92" s="229">
        <v>0.02</v>
      </c>
      <c r="F92" s="230">
        <v>1307.9087699461895</v>
      </c>
      <c r="G92" s="203" t="s">
        <v>24</v>
      </c>
      <c r="H92" s="231" t="s">
        <v>1556</v>
      </c>
      <c r="J92" s="205">
        <v>1</v>
      </c>
      <c r="K92" s="218" t="s">
        <v>215</v>
      </c>
      <c r="L92" s="232" t="s">
        <v>1716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1721</v>
      </c>
      <c r="Z92" s="108" t="s">
        <v>10</v>
      </c>
      <c r="AA92" s="112" t="s">
        <v>1722</v>
      </c>
      <c r="AB92" s="108"/>
      <c r="AC92" s="108"/>
      <c r="AD92" s="108"/>
      <c r="AE92" s="108"/>
      <c r="AF92" s="108"/>
      <c r="AG92" s="108"/>
      <c r="AH92" s="108"/>
      <c r="AI92" s="108"/>
    </row>
    <row r="93" spans="1:35" ht="44.1" customHeight="1" x14ac:dyDescent="0.3">
      <c r="A93" s="203"/>
      <c r="B93" s="203" t="s">
        <v>1446</v>
      </c>
      <c r="C93" s="203" t="s">
        <v>1719</v>
      </c>
      <c r="D93" s="228" t="s">
        <v>1447</v>
      </c>
      <c r="E93" s="229">
        <v>0.60875999999999997</v>
      </c>
      <c r="F93" s="230">
        <v>664.60043776376756</v>
      </c>
      <c r="G93" s="203" t="s">
        <v>24</v>
      </c>
      <c r="H93" s="231" t="s">
        <v>42</v>
      </c>
      <c r="J93" s="205">
        <v>2</v>
      </c>
      <c r="K93" s="218" t="s">
        <v>1347</v>
      </c>
      <c r="L93" s="232" t="s">
        <v>1717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1651</v>
      </c>
      <c r="Z93" s="108" t="s">
        <v>8</v>
      </c>
      <c r="AA93" s="131">
        <v>46199</v>
      </c>
      <c r="AB93" s="131">
        <v>46245</v>
      </c>
      <c r="AC93" s="108"/>
      <c r="AD93" s="108"/>
      <c r="AE93" s="108"/>
      <c r="AF93" s="108"/>
      <c r="AG93" s="108"/>
      <c r="AH93" s="108"/>
      <c r="AI93" s="108"/>
    </row>
    <row r="94" spans="1:35" ht="44.1" customHeight="1" x14ac:dyDescent="0.3">
      <c r="A94" s="203"/>
      <c r="B94" s="203" t="s">
        <v>1453</v>
      </c>
      <c r="C94" s="203" t="s">
        <v>1719</v>
      </c>
      <c r="D94" s="228" t="s">
        <v>1761</v>
      </c>
      <c r="E94" s="229">
        <v>0.40049999999999997</v>
      </c>
      <c r="F94" s="230">
        <v>465.26020107839747</v>
      </c>
      <c r="G94" s="203" t="s">
        <v>24</v>
      </c>
      <c r="H94" s="231" t="s">
        <v>42</v>
      </c>
      <c r="J94" s="205">
        <v>1</v>
      </c>
      <c r="K94" s="218" t="s">
        <v>215</v>
      </c>
      <c r="L94" s="232" t="s">
        <v>1716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1651</v>
      </c>
      <c r="Z94" s="108" t="s">
        <v>8</v>
      </c>
      <c r="AA94" s="131">
        <v>46199</v>
      </c>
      <c r="AB94" s="131">
        <v>46245</v>
      </c>
      <c r="AC94" s="108"/>
      <c r="AD94" s="108"/>
      <c r="AE94" s="108"/>
      <c r="AF94" s="108"/>
      <c r="AG94" s="108"/>
      <c r="AH94" s="108"/>
      <c r="AI94" s="108"/>
    </row>
    <row r="95" spans="1:35" ht="44.1" customHeight="1" x14ac:dyDescent="0.3">
      <c r="A95" s="202"/>
      <c r="B95" s="203" t="s">
        <v>1762</v>
      </c>
      <c r="C95" s="203" t="s">
        <v>1687</v>
      </c>
      <c r="D95" s="228" t="s">
        <v>1727</v>
      </c>
      <c r="E95" s="229">
        <v>15.71</v>
      </c>
      <c r="F95" s="230">
        <v>573.93427343616383</v>
      </c>
      <c r="G95" s="203" t="s">
        <v>24</v>
      </c>
      <c r="H95" s="231" t="s">
        <v>53</v>
      </c>
      <c r="J95" s="205">
        <v>1.5</v>
      </c>
      <c r="K95" s="218" t="s">
        <v>215</v>
      </c>
      <c r="L95" s="232" t="s">
        <v>1716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1651</v>
      </c>
      <c r="Z95" s="108" t="s">
        <v>10</v>
      </c>
      <c r="AA95" s="108"/>
      <c r="AB95" s="108"/>
      <c r="AC95" s="108"/>
      <c r="AD95" s="108"/>
      <c r="AE95" s="108"/>
      <c r="AF95" s="108"/>
      <c r="AG95" s="108"/>
      <c r="AH95" s="108"/>
      <c r="AI95" s="108"/>
    </row>
    <row r="96" spans="1:35" ht="44.1" customHeight="1" x14ac:dyDescent="0.3">
      <c r="A96" s="203"/>
      <c r="B96" s="203" t="s">
        <v>1458</v>
      </c>
      <c r="C96" s="203" t="s">
        <v>1719</v>
      </c>
      <c r="D96" s="228" t="s">
        <v>1459</v>
      </c>
      <c r="E96" s="229">
        <v>0.13750000000000001</v>
      </c>
      <c r="F96" s="230">
        <v>317.9601744250665</v>
      </c>
      <c r="G96" s="203" t="s">
        <v>24</v>
      </c>
      <c r="H96" s="231" t="s">
        <v>42</v>
      </c>
      <c r="J96" s="205">
        <v>1.6</v>
      </c>
      <c r="K96" s="218" t="s">
        <v>215</v>
      </c>
      <c r="L96" s="232" t="s">
        <v>1716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1651</v>
      </c>
      <c r="Z96" s="108" t="s">
        <v>8</v>
      </c>
      <c r="AA96" s="131">
        <v>46199</v>
      </c>
      <c r="AB96" s="131">
        <v>46245</v>
      </c>
      <c r="AC96" s="108"/>
      <c r="AD96" s="108"/>
      <c r="AE96" s="108"/>
      <c r="AF96" s="108"/>
      <c r="AG96" s="108"/>
      <c r="AH96" s="108"/>
      <c r="AI96" s="108"/>
    </row>
    <row r="97" spans="1:35" ht="46.35" customHeight="1" x14ac:dyDescent="0.3">
      <c r="A97" s="203"/>
      <c r="B97" s="203" t="s">
        <v>1460</v>
      </c>
      <c r="C97" s="203" t="s">
        <v>1719</v>
      </c>
      <c r="D97" s="228" t="s">
        <v>1340</v>
      </c>
      <c r="E97" s="229">
        <v>0.14774400000000001</v>
      </c>
      <c r="F97" s="230">
        <v>281.14016879970018</v>
      </c>
      <c r="G97" s="203" t="s">
        <v>24</v>
      </c>
      <c r="H97" s="231" t="s">
        <v>42</v>
      </c>
      <c r="J97" s="205">
        <v>0.7</v>
      </c>
      <c r="K97" s="218" t="s">
        <v>215</v>
      </c>
      <c r="L97" s="232" t="s">
        <v>1716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1651</v>
      </c>
      <c r="Z97" s="108" t="s">
        <v>8</v>
      </c>
      <c r="AA97" s="131">
        <v>46199</v>
      </c>
      <c r="AB97" s="131">
        <v>46245</v>
      </c>
      <c r="AC97" s="108"/>
      <c r="AD97" s="108"/>
      <c r="AE97" s="108"/>
      <c r="AF97" s="108"/>
      <c r="AG97" s="108"/>
      <c r="AH97" s="108"/>
      <c r="AI97" s="108"/>
    </row>
    <row r="98" spans="1:35" ht="44.1" hidden="1" customHeight="1" x14ac:dyDescent="0.3">
      <c r="A98" s="223" t="s">
        <v>1843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1763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50">
        <v>840</v>
      </c>
      <c r="U98" s="151">
        <v>820</v>
      </c>
      <c r="V98" s="113" t="s">
        <v>1764</v>
      </c>
      <c r="W98" s="118" t="s">
        <v>12</v>
      </c>
      <c r="Y98" s="131">
        <v>46078</v>
      </c>
      <c r="Z98" s="108" t="s">
        <v>8</v>
      </c>
      <c r="AA98" s="131">
        <v>46093</v>
      </c>
      <c r="AB98" s="131">
        <v>46237</v>
      </c>
      <c r="AC98" s="131">
        <v>46204</v>
      </c>
      <c r="AD98" s="131" t="s">
        <v>1765</v>
      </c>
      <c r="AE98" s="131">
        <v>46219</v>
      </c>
      <c r="AF98" s="131">
        <v>46269</v>
      </c>
      <c r="AG98" s="108"/>
      <c r="AH98" s="108"/>
      <c r="AI98" s="108"/>
    </row>
    <row r="99" spans="1:35" ht="44.1" customHeight="1" x14ac:dyDescent="0.3">
      <c r="A99" s="207"/>
      <c r="B99" s="207" t="s">
        <v>1289</v>
      </c>
      <c r="C99" s="207" t="s">
        <v>1658</v>
      </c>
      <c r="D99" s="212" t="s">
        <v>1766</v>
      </c>
      <c r="E99" s="207">
        <v>59.36</v>
      </c>
      <c r="F99" s="213">
        <v>0</v>
      </c>
      <c r="G99" s="207" t="s">
        <v>24</v>
      </c>
      <c r="H99" s="212" t="s">
        <v>45</v>
      </c>
      <c r="J99" s="206" t="s">
        <v>12</v>
      </c>
      <c r="K99" s="206" t="s">
        <v>12</v>
      </c>
      <c r="L99" s="211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5" t="s">
        <v>12</v>
      </c>
      <c r="W99" s="118" t="s">
        <v>12</v>
      </c>
      <c r="Y99" s="201" t="s">
        <v>1651</v>
      </c>
      <c r="Z99" s="201" t="s">
        <v>8</v>
      </c>
      <c r="AA99" s="201" t="s">
        <v>12</v>
      </c>
      <c r="AB99" s="201" t="s">
        <v>12</v>
      </c>
      <c r="AC99" s="201" t="s">
        <v>12</v>
      </c>
      <c r="AD99" s="201" t="s">
        <v>12</v>
      </c>
      <c r="AE99" s="201" t="s">
        <v>12</v>
      </c>
      <c r="AF99" s="201" t="s">
        <v>12</v>
      </c>
      <c r="AG99" s="201" t="s">
        <v>12</v>
      </c>
      <c r="AH99" s="201" t="s">
        <v>12</v>
      </c>
      <c r="AI99" s="201" t="s">
        <v>1819</v>
      </c>
    </row>
    <row r="100" spans="1:35" ht="44.1" customHeight="1" x14ac:dyDescent="0.3">
      <c r="A100" s="212"/>
      <c r="B100" s="212" t="s">
        <v>1767</v>
      </c>
      <c r="C100" s="212" t="s">
        <v>1658</v>
      </c>
      <c r="D100" s="214" t="s">
        <v>1768</v>
      </c>
      <c r="E100" s="207">
        <v>43.23</v>
      </c>
      <c r="F100" s="213">
        <v>0</v>
      </c>
      <c r="G100" s="207" t="s">
        <v>24</v>
      </c>
      <c r="H100" s="212" t="s">
        <v>1769</v>
      </c>
      <c r="J100" s="206" t="s">
        <v>12</v>
      </c>
      <c r="K100" s="206" t="s">
        <v>12</v>
      </c>
      <c r="L100" s="211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201" t="s">
        <v>1651</v>
      </c>
      <c r="Z100" s="201" t="s">
        <v>8</v>
      </c>
      <c r="AA100" s="201" t="s">
        <v>12</v>
      </c>
      <c r="AB100" s="201" t="s">
        <v>12</v>
      </c>
      <c r="AC100" s="201" t="s">
        <v>12</v>
      </c>
      <c r="AD100" s="201" t="s">
        <v>12</v>
      </c>
      <c r="AE100" s="201" t="s">
        <v>12</v>
      </c>
      <c r="AF100" s="201" t="s">
        <v>12</v>
      </c>
      <c r="AG100" s="201" t="s">
        <v>12</v>
      </c>
      <c r="AH100" s="201" t="s">
        <v>12</v>
      </c>
      <c r="AI100" s="201" t="s">
        <v>1820</v>
      </c>
    </row>
    <row r="101" spans="1:35" ht="44.1" hidden="1" customHeight="1" x14ac:dyDescent="0.3">
      <c r="A101" s="108"/>
      <c r="B101" s="108" t="s">
        <v>311</v>
      </c>
      <c r="C101" s="108"/>
      <c r="D101" s="109" t="s">
        <v>1770</v>
      </c>
      <c r="E101" s="109">
        <v>18.899999999999999</v>
      </c>
      <c r="F101" s="123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1651</v>
      </c>
      <c r="Z101" s="108" t="s">
        <v>8</v>
      </c>
      <c r="AA101" s="131">
        <v>46199</v>
      </c>
      <c r="AB101" s="131">
        <v>46237</v>
      </c>
      <c r="AC101" s="108"/>
      <c r="AD101" s="108" t="s">
        <v>1661</v>
      </c>
      <c r="AE101" s="108"/>
      <c r="AF101" s="108"/>
      <c r="AG101" s="108"/>
      <c r="AH101" s="108"/>
      <c r="AI101" s="108"/>
    </row>
    <row r="102" spans="1:35" ht="44.1" hidden="1" customHeight="1" x14ac:dyDescent="0.3">
      <c r="A102" s="108"/>
      <c r="B102" s="108" t="s">
        <v>386</v>
      </c>
      <c r="C102" s="108"/>
      <c r="D102" s="109" t="s">
        <v>1771</v>
      </c>
      <c r="E102" s="109">
        <v>11.18</v>
      </c>
      <c r="F102" s="123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1651</v>
      </c>
      <c r="Z102" s="108" t="s">
        <v>8</v>
      </c>
      <c r="AA102" s="131">
        <v>46199</v>
      </c>
      <c r="AB102" s="131">
        <v>46237</v>
      </c>
      <c r="AC102" s="108"/>
      <c r="AD102" s="108" t="s">
        <v>1661</v>
      </c>
      <c r="AE102" s="108"/>
      <c r="AF102" s="108"/>
      <c r="AG102" s="108"/>
      <c r="AH102" s="108"/>
      <c r="AI102" s="108"/>
    </row>
    <row r="103" spans="1:35" ht="44.1" hidden="1" customHeight="1" x14ac:dyDescent="0.3">
      <c r="A103" s="108"/>
      <c r="B103" s="108" t="s">
        <v>404</v>
      </c>
      <c r="C103" s="108"/>
      <c r="D103" s="109" t="s">
        <v>1772</v>
      </c>
      <c r="E103" s="109">
        <v>8</v>
      </c>
      <c r="F103" s="123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1651</v>
      </c>
      <c r="Z103" s="108" t="s">
        <v>8</v>
      </c>
      <c r="AA103" s="131">
        <v>46199</v>
      </c>
      <c r="AB103" s="131">
        <v>46237</v>
      </c>
      <c r="AC103" s="108"/>
      <c r="AD103" s="108" t="s">
        <v>1661</v>
      </c>
      <c r="AE103" s="108"/>
      <c r="AF103" s="108"/>
      <c r="AG103" s="108"/>
      <c r="AH103" s="108"/>
      <c r="AI103" s="108"/>
    </row>
    <row r="104" spans="1:35" ht="44.1" hidden="1" customHeight="1" x14ac:dyDescent="0.3">
      <c r="A104" s="223" t="s">
        <v>1844</v>
      </c>
      <c r="B104" s="108" t="s">
        <v>1773</v>
      </c>
      <c r="C104" s="108"/>
      <c r="D104" s="109" t="s">
        <v>1509</v>
      </c>
      <c r="E104" s="128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9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 t="s">
        <v>1661</v>
      </c>
      <c r="AE104" s="108" t="s">
        <v>12</v>
      </c>
      <c r="AF104" s="108"/>
      <c r="AG104" s="108"/>
      <c r="AH104" s="108"/>
      <c r="AI104" s="108" t="s">
        <v>1774</v>
      </c>
    </row>
    <row r="105" spans="1:35" ht="44.1" hidden="1" customHeight="1" x14ac:dyDescent="0.3">
      <c r="A105" s="108"/>
      <c r="B105" s="108" t="s">
        <v>275</v>
      </c>
      <c r="C105" s="108"/>
      <c r="D105" s="109" t="s">
        <v>276</v>
      </c>
      <c r="E105" s="128">
        <v>25.574999999999999</v>
      </c>
      <c r="F105" s="123"/>
      <c r="G105" s="108" t="s">
        <v>34</v>
      </c>
      <c r="H105" s="112" t="s">
        <v>54</v>
      </c>
      <c r="J105" s="128">
        <v>2.75</v>
      </c>
      <c r="K105" s="124" t="s">
        <v>1775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1651</v>
      </c>
      <c r="Z105" s="108" t="s">
        <v>8</v>
      </c>
      <c r="AA105" s="131">
        <v>46199</v>
      </c>
      <c r="AB105" s="131">
        <v>46237</v>
      </c>
      <c r="AC105" s="108"/>
      <c r="AD105" s="108"/>
      <c r="AE105" s="108"/>
      <c r="AF105" s="108"/>
      <c r="AG105" s="108"/>
      <c r="AH105" s="108"/>
      <c r="AI105" s="108"/>
    </row>
    <row r="106" spans="1:35" ht="44.85" hidden="1" customHeight="1" x14ac:dyDescent="0.3">
      <c r="A106" s="223" t="s">
        <v>1838</v>
      </c>
      <c r="B106" s="108" t="s">
        <v>328</v>
      </c>
      <c r="C106" s="108"/>
      <c r="D106" s="109" t="s">
        <v>1776</v>
      </c>
      <c r="E106" s="128">
        <v>16.989999999999998</v>
      </c>
      <c r="F106" s="123">
        <v>70963.59</v>
      </c>
      <c r="G106" s="108" t="s">
        <v>34</v>
      </c>
      <c r="H106" s="112" t="s">
        <v>54</v>
      </c>
      <c r="J106" s="128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1" t="s">
        <v>12</v>
      </c>
      <c r="X106" s="131"/>
      <c r="Y106" s="131">
        <v>46142</v>
      </c>
      <c r="Z106" s="108" t="s">
        <v>8</v>
      </c>
      <c r="AA106" s="131">
        <v>46199</v>
      </c>
      <c r="AB106" s="131">
        <v>46237</v>
      </c>
      <c r="AC106" s="108"/>
      <c r="AD106" s="108"/>
      <c r="AE106" s="108"/>
      <c r="AF106" s="108"/>
      <c r="AG106" s="108"/>
      <c r="AH106" s="108"/>
      <c r="AI106" s="108"/>
    </row>
    <row r="107" spans="1:35" ht="44.1" hidden="1" customHeight="1" x14ac:dyDescent="0.3">
      <c r="A107" s="108"/>
      <c r="B107" s="108" t="s">
        <v>1007</v>
      </c>
      <c r="C107" s="108"/>
      <c r="D107" s="109" t="s">
        <v>1777</v>
      </c>
      <c r="E107" s="128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1778</v>
      </c>
      <c r="L107" s="118" t="s">
        <v>1779</v>
      </c>
      <c r="N107" s="129" t="s">
        <v>1677</v>
      </c>
      <c r="O107" s="116" t="s">
        <v>1677</v>
      </c>
      <c r="Q107" s="108" t="s">
        <v>12</v>
      </c>
      <c r="R107" s="117" t="s">
        <v>12</v>
      </c>
      <c r="T107" s="108">
        <v>1400</v>
      </c>
      <c r="U107" s="130" t="s">
        <v>1780</v>
      </c>
      <c r="V107" s="108">
        <v>7665</v>
      </c>
      <c r="W107" s="130" t="s">
        <v>1781</v>
      </c>
      <c r="Y107" s="131">
        <v>46172</v>
      </c>
      <c r="Z107" s="160" t="s">
        <v>8</v>
      </c>
      <c r="AA107" s="270">
        <v>46180</v>
      </c>
      <c r="AB107" s="161"/>
      <c r="AC107" s="108"/>
      <c r="AD107" s="108" t="s">
        <v>1661</v>
      </c>
      <c r="AE107" s="108"/>
      <c r="AF107" s="108"/>
      <c r="AG107" s="108"/>
      <c r="AH107" s="108"/>
      <c r="AI107" s="112" t="s">
        <v>1782</v>
      </c>
    </row>
    <row r="108" spans="1:35" ht="61.35" hidden="1" customHeight="1" x14ac:dyDescent="0.3">
      <c r="A108" s="108"/>
      <c r="B108" s="108" t="s">
        <v>280</v>
      </c>
      <c r="C108" s="108"/>
      <c r="D108" s="109" t="s">
        <v>1094</v>
      </c>
      <c r="E108" s="128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1783</v>
      </c>
      <c r="L108" s="118" t="s">
        <v>12</v>
      </c>
      <c r="N108" s="129" t="s">
        <v>1677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2" t="s">
        <v>1784</v>
      </c>
      <c r="W108" s="130" t="s">
        <v>1785</v>
      </c>
      <c r="Y108" s="131">
        <v>46203</v>
      </c>
      <c r="Z108" s="162" t="s">
        <v>12</v>
      </c>
      <c r="AA108" s="162" t="s">
        <v>12</v>
      </c>
      <c r="AB108" s="161" t="s">
        <v>12</v>
      </c>
      <c r="AC108" s="108" t="s">
        <v>12</v>
      </c>
      <c r="AD108" s="108" t="s">
        <v>1661</v>
      </c>
      <c r="AE108" s="108" t="s">
        <v>12</v>
      </c>
      <c r="AF108" s="108" t="s">
        <v>12</v>
      </c>
      <c r="AG108" s="108" t="s">
        <v>12</v>
      </c>
      <c r="AH108" s="108"/>
      <c r="AI108" s="108"/>
    </row>
    <row r="109" spans="1:35" ht="44.1" hidden="1" customHeight="1" x14ac:dyDescent="0.3">
      <c r="A109" s="108"/>
      <c r="B109" s="108" t="s">
        <v>1003</v>
      </c>
      <c r="C109" s="108"/>
      <c r="D109" s="109" t="s">
        <v>958</v>
      </c>
      <c r="E109" s="128">
        <v>30.92</v>
      </c>
      <c r="F109" s="123">
        <v>0</v>
      </c>
      <c r="G109" s="108" t="s">
        <v>27</v>
      </c>
      <c r="H109" s="112" t="s">
        <v>39</v>
      </c>
      <c r="J109" s="113">
        <v>10.75</v>
      </c>
      <c r="K109" s="113" t="s">
        <v>1800</v>
      </c>
      <c r="L109" s="118" t="s">
        <v>1801</v>
      </c>
      <c r="N109" s="129" t="s">
        <v>1677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1">
        <v>46238</v>
      </c>
      <c r="Z109" s="160" t="s">
        <v>8</v>
      </c>
      <c r="AA109" s="270">
        <v>46269</v>
      </c>
      <c r="AB109" s="271">
        <v>46286</v>
      </c>
      <c r="AC109" s="108"/>
      <c r="AD109" s="108"/>
      <c r="AE109" s="108"/>
      <c r="AF109" s="108"/>
      <c r="AG109" s="108"/>
      <c r="AH109" s="108"/>
      <c r="AI109" s="108"/>
    </row>
    <row r="110" spans="1:35" ht="44.1" hidden="1" customHeight="1" x14ac:dyDescent="0.3">
      <c r="A110" s="108"/>
      <c r="B110" s="108" t="s">
        <v>1034</v>
      </c>
      <c r="C110" s="108"/>
      <c r="D110" s="109" t="s">
        <v>1028</v>
      </c>
      <c r="E110" s="128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1811</v>
      </c>
      <c r="L110" s="118" t="s">
        <v>1809</v>
      </c>
      <c r="N110" s="129" t="s">
        <v>1677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1">
        <v>46238</v>
      </c>
      <c r="Z110" s="160" t="s">
        <v>8</v>
      </c>
      <c r="AA110" s="270">
        <v>46240</v>
      </c>
      <c r="AB110" s="271">
        <v>46247</v>
      </c>
      <c r="AC110" s="131">
        <v>46247</v>
      </c>
      <c r="AD110" s="108" t="s">
        <v>12</v>
      </c>
      <c r="AE110" s="108" t="s">
        <v>12</v>
      </c>
      <c r="AF110" s="131">
        <v>46266</v>
      </c>
      <c r="AG110" s="131">
        <v>46266</v>
      </c>
      <c r="AH110" s="108"/>
      <c r="AI110" s="108" t="s">
        <v>1857</v>
      </c>
    </row>
    <row r="111" spans="1:35" ht="44.1" hidden="1" customHeight="1" x14ac:dyDescent="0.3">
      <c r="A111" s="108"/>
      <c r="B111" s="108" t="s">
        <v>1027</v>
      </c>
      <c r="C111" s="108"/>
      <c r="D111" s="109" t="s">
        <v>1028</v>
      </c>
      <c r="E111" s="128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1812</v>
      </c>
      <c r="L111" s="118" t="s">
        <v>1813</v>
      </c>
      <c r="N111" s="129" t="s">
        <v>1814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1">
        <v>46238</v>
      </c>
      <c r="Z111" s="160" t="s">
        <v>8</v>
      </c>
      <c r="AA111" s="270">
        <v>46240</v>
      </c>
      <c r="AB111" s="271">
        <v>46247</v>
      </c>
      <c r="AC111" s="131">
        <v>46247</v>
      </c>
      <c r="AD111" s="108" t="s">
        <v>12</v>
      </c>
      <c r="AE111" s="108" t="s">
        <v>12</v>
      </c>
      <c r="AF111" s="131">
        <v>46266</v>
      </c>
      <c r="AG111" s="131">
        <v>46266</v>
      </c>
      <c r="AH111" s="108"/>
      <c r="AI111" s="108" t="s">
        <v>1857</v>
      </c>
    </row>
    <row r="112" spans="1:35" ht="44.1" hidden="1" customHeight="1" x14ac:dyDescent="0.3">
      <c r="A112" s="108"/>
      <c r="B112" s="108" t="s">
        <v>1018</v>
      </c>
      <c r="C112" s="108"/>
      <c r="D112" s="109" t="s">
        <v>1019</v>
      </c>
      <c r="E112" s="128">
        <v>26.39</v>
      </c>
      <c r="F112" s="123">
        <v>3778.79</v>
      </c>
      <c r="G112" s="108" t="s">
        <v>27</v>
      </c>
      <c r="H112" s="112" t="s">
        <v>39</v>
      </c>
      <c r="J112" s="108">
        <v>6</v>
      </c>
      <c r="K112" s="113" t="s">
        <v>1821</v>
      </c>
      <c r="L112" s="118" t="s">
        <v>12</v>
      </c>
      <c r="N112" s="129" t="s">
        <v>1649</v>
      </c>
      <c r="O112" s="116" t="s">
        <v>1650</v>
      </c>
      <c r="Q112" s="108" t="s">
        <v>12</v>
      </c>
      <c r="R112" s="117" t="s">
        <v>12</v>
      </c>
      <c r="T112" s="113" t="s">
        <v>12</v>
      </c>
      <c r="U112" s="118" t="s">
        <v>12</v>
      </c>
      <c r="V112" s="113" t="s">
        <v>12</v>
      </c>
      <c r="W112" s="118" t="s">
        <v>12</v>
      </c>
      <c r="Y112" s="131">
        <v>46240</v>
      </c>
      <c r="Z112" s="160" t="s">
        <v>8</v>
      </c>
      <c r="AA112" s="270">
        <v>46269</v>
      </c>
      <c r="AB112" s="271">
        <v>46286</v>
      </c>
      <c r="AC112" s="108"/>
      <c r="AD112" s="108"/>
      <c r="AE112" s="108"/>
      <c r="AF112" s="108"/>
      <c r="AG112" s="108"/>
      <c r="AH112" s="108"/>
      <c r="AI112" s="108"/>
    </row>
    <row r="113" spans="1:35" ht="44.1" hidden="1" customHeight="1" x14ac:dyDescent="0.3">
      <c r="A113" s="108"/>
      <c r="B113" s="108" t="s">
        <v>1032</v>
      </c>
      <c r="C113" s="108"/>
      <c r="D113" s="109" t="s">
        <v>972</v>
      </c>
      <c r="E113" s="128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1825</v>
      </c>
      <c r="L113" s="118" t="s">
        <v>1828</v>
      </c>
      <c r="N113" s="129" t="s">
        <v>1657</v>
      </c>
      <c r="O113" s="116" t="s">
        <v>1650</v>
      </c>
      <c r="Q113" s="108" t="s">
        <v>12</v>
      </c>
      <c r="R113" s="117" t="s">
        <v>12</v>
      </c>
      <c r="T113" s="113" t="s">
        <v>12</v>
      </c>
      <c r="U113" s="118" t="s">
        <v>12</v>
      </c>
      <c r="V113" s="113" t="s">
        <v>12</v>
      </c>
      <c r="W113" s="118" t="s">
        <v>12</v>
      </c>
      <c r="Y113" s="131">
        <v>46241</v>
      </c>
      <c r="Z113" s="160" t="s">
        <v>10</v>
      </c>
      <c r="AA113" s="162"/>
      <c r="AB113" s="161"/>
      <c r="AC113" s="108"/>
      <c r="AD113" s="108"/>
      <c r="AE113" s="108"/>
      <c r="AF113" s="108"/>
      <c r="AG113" s="108"/>
      <c r="AH113" s="108"/>
      <c r="AI113" s="108" t="s">
        <v>1860</v>
      </c>
    </row>
    <row r="114" spans="1:35" ht="57.6" hidden="1" x14ac:dyDescent="0.3">
      <c r="A114" s="108"/>
      <c r="B114" s="112" t="s">
        <v>1837</v>
      </c>
      <c r="C114" s="108"/>
      <c r="D114" s="109" t="s">
        <v>1834</v>
      </c>
      <c r="E114" s="128" t="s">
        <v>161</v>
      </c>
      <c r="F114" s="128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 t="s">
        <v>12</v>
      </c>
      <c r="R114" s="117" t="s">
        <v>12</v>
      </c>
      <c r="T114" s="113" t="s">
        <v>12</v>
      </c>
      <c r="U114" s="118" t="s">
        <v>12</v>
      </c>
      <c r="V114" s="132" t="s">
        <v>1835</v>
      </c>
      <c r="W114" s="130" t="s">
        <v>1836</v>
      </c>
      <c r="Y114" s="131">
        <v>46248</v>
      </c>
      <c r="Z114" s="160" t="s">
        <v>12</v>
      </c>
      <c r="AA114" s="162" t="s">
        <v>12</v>
      </c>
      <c r="AB114" s="161" t="s">
        <v>12</v>
      </c>
      <c r="AC114" s="108" t="s">
        <v>12</v>
      </c>
      <c r="AD114" s="108" t="s">
        <v>1661</v>
      </c>
      <c r="AE114" s="108"/>
      <c r="AF114" s="108"/>
      <c r="AG114" s="108"/>
      <c r="AH114" s="108"/>
      <c r="AI114" s="108"/>
    </row>
    <row r="115" spans="1:35" ht="44.1" customHeight="1" x14ac:dyDescent="0.3">
      <c r="A115" s="108"/>
      <c r="B115" s="108"/>
      <c r="C115" s="108"/>
      <c r="D115" s="109"/>
      <c r="E115" s="128"/>
      <c r="F115" s="128"/>
      <c r="G115" s="108"/>
      <c r="H115" s="112"/>
      <c r="J115" s="113"/>
      <c r="K115" s="113"/>
      <c r="L115" s="118"/>
      <c r="N115" s="129"/>
      <c r="O115" s="116"/>
      <c r="Q115" s="108"/>
      <c r="R115" s="117"/>
      <c r="T115" s="113"/>
      <c r="U115" s="118"/>
      <c r="V115" s="113"/>
      <c r="W115" s="118"/>
      <c r="Y115" s="136"/>
      <c r="Z115" s="146"/>
      <c r="AA115" s="148"/>
      <c r="AB115" s="147"/>
      <c r="AC115" s="136"/>
      <c r="AD115" s="136"/>
      <c r="AE115" s="136"/>
      <c r="AF115" s="136"/>
      <c r="AG115" s="136"/>
      <c r="AH115" s="136"/>
      <c r="AI115" s="136"/>
    </row>
    <row r="116" spans="1:35" ht="44.1" customHeight="1" x14ac:dyDescent="0.3">
      <c r="A116" s="108"/>
      <c r="B116" s="108"/>
      <c r="C116" s="108"/>
      <c r="D116" s="109"/>
      <c r="E116" s="128"/>
      <c r="F116" s="128"/>
      <c r="G116" s="108"/>
      <c r="H116" s="112"/>
      <c r="J116" s="113"/>
      <c r="K116" s="113"/>
      <c r="L116" s="118"/>
      <c r="N116" s="129"/>
      <c r="O116" s="116"/>
      <c r="Q116" s="108"/>
      <c r="R116" s="117"/>
      <c r="T116" s="113"/>
      <c r="U116" s="118"/>
      <c r="V116" s="113"/>
      <c r="W116" s="118"/>
      <c r="Y116" s="136"/>
      <c r="Z116" s="146"/>
      <c r="AA116" s="148"/>
      <c r="AB116" s="147"/>
      <c r="AC116" s="136"/>
      <c r="AD116" s="136"/>
      <c r="AE116" s="136"/>
      <c r="AF116" s="136"/>
      <c r="AG116" s="136"/>
      <c r="AH116" s="136"/>
      <c r="AI116" s="136"/>
    </row>
    <row r="117" spans="1:35" ht="44.1" customHeight="1" x14ac:dyDescent="0.3">
      <c r="A117" s="108"/>
      <c r="B117" s="108"/>
      <c r="C117" s="108"/>
      <c r="D117" s="109"/>
      <c r="E117" s="128"/>
      <c r="F117" s="128"/>
      <c r="G117" s="108"/>
      <c r="H117" s="112"/>
      <c r="J117" s="113"/>
      <c r="K117" s="113"/>
      <c r="L117" s="118"/>
      <c r="N117" s="129"/>
      <c r="O117" s="116"/>
      <c r="Q117" s="108"/>
      <c r="R117" s="117"/>
      <c r="T117" s="113"/>
      <c r="U117" s="118"/>
      <c r="V117" s="113"/>
      <c r="W117" s="118"/>
      <c r="Y117" s="136"/>
      <c r="Z117" s="146"/>
      <c r="AA117" s="148"/>
      <c r="AB117" s="147"/>
      <c r="AC117" s="136"/>
      <c r="AD117" s="136"/>
      <c r="AE117" s="136"/>
      <c r="AF117" s="136"/>
      <c r="AG117" s="136"/>
      <c r="AH117" s="136"/>
      <c r="AI117" s="136"/>
    </row>
    <row r="118" spans="1:35" ht="44.1" customHeight="1" x14ac:dyDescent="0.3">
      <c r="A118" s="108"/>
      <c r="B118" s="108"/>
      <c r="C118" s="108"/>
      <c r="D118" s="109"/>
      <c r="E118" s="128"/>
      <c r="F118" s="128"/>
      <c r="G118" s="108"/>
      <c r="H118" s="112"/>
      <c r="J118" s="113"/>
      <c r="K118" s="113"/>
      <c r="L118" s="118"/>
      <c r="N118" s="129"/>
      <c r="O118" s="116"/>
      <c r="Q118" s="108"/>
      <c r="R118" s="117"/>
      <c r="T118" s="113"/>
      <c r="U118" s="118"/>
      <c r="V118" s="113"/>
      <c r="W118" s="118"/>
      <c r="Y118" s="136"/>
      <c r="Z118" s="146"/>
      <c r="AA118" s="148"/>
      <c r="AB118" s="147"/>
      <c r="AC118" s="136"/>
      <c r="AD118" s="136"/>
      <c r="AE118" s="136"/>
      <c r="AF118" s="136"/>
      <c r="AG118" s="136"/>
      <c r="AH118" s="136"/>
      <c r="AI118" s="136"/>
    </row>
    <row r="119" spans="1:35" ht="44.1" customHeight="1" x14ac:dyDescent="0.3">
      <c r="A119" s="108"/>
      <c r="B119" s="108"/>
      <c r="C119" s="108"/>
      <c r="D119" s="109"/>
      <c r="E119" s="128"/>
      <c r="F119" s="128"/>
      <c r="G119" s="108"/>
      <c r="H119" s="112"/>
      <c r="J119" s="113"/>
      <c r="K119" s="113"/>
      <c r="L119" s="118"/>
      <c r="N119" s="129"/>
      <c r="O119" s="116"/>
      <c r="Q119" s="108"/>
      <c r="R119" s="117"/>
      <c r="T119" s="113"/>
      <c r="U119" s="118"/>
      <c r="V119" s="113"/>
      <c r="W119" s="118"/>
      <c r="Y119" s="136"/>
      <c r="Z119" s="146"/>
      <c r="AA119" s="148"/>
      <c r="AB119" s="147"/>
      <c r="AC119" s="136"/>
      <c r="AD119" s="136"/>
      <c r="AE119" s="136"/>
      <c r="AF119" s="136"/>
      <c r="AG119" s="136"/>
      <c r="AH119" s="136"/>
      <c r="AI119" s="136"/>
    </row>
    <row r="120" spans="1:35" ht="44.1" customHeight="1" x14ac:dyDescent="0.3">
      <c r="A120" s="108"/>
      <c r="B120" s="108"/>
      <c r="C120" s="108"/>
      <c r="D120" s="109"/>
      <c r="E120" s="128"/>
      <c r="F120" s="128"/>
      <c r="G120" s="108"/>
      <c r="H120" s="112"/>
      <c r="J120" s="113"/>
      <c r="K120" s="113"/>
      <c r="L120" s="118"/>
      <c r="N120" s="129"/>
      <c r="O120" s="116"/>
      <c r="Q120" s="108"/>
      <c r="R120" s="117"/>
      <c r="T120" s="113"/>
      <c r="U120" s="118"/>
      <c r="V120" s="113"/>
      <c r="W120" s="118"/>
      <c r="Y120" s="136"/>
      <c r="Z120" s="146"/>
      <c r="AA120" s="148"/>
      <c r="AB120" s="147"/>
      <c r="AC120" s="136"/>
      <c r="AD120" s="136"/>
      <c r="AE120" s="136"/>
      <c r="AF120" s="136"/>
      <c r="AG120" s="136"/>
      <c r="AH120" s="136"/>
      <c r="AI120" s="136"/>
    </row>
    <row r="121" spans="1:35" ht="44.1" customHeight="1" x14ac:dyDescent="0.3">
      <c r="A121" s="108"/>
      <c r="B121" s="108"/>
      <c r="C121" s="108"/>
      <c r="D121" s="109"/>
      <c r="E121" s="128"/>
      <c r="F121" s="128"/>
      <c r="G121" s="108"/>
      <c r="H121" s="112"/>
      <c r="J121" s="113"/>
      <c r="K121" s="113"/>
      <c r="L121" s="118"/>
      <c r="N121" s="129"/>
      <c r="O121" s="116"/>
      <c r="Q121" s="108"/>
      <c r="R121" s="117"/>
      <c r="T121" s="113"/>
      <c r="U121" s="118"/>
      <c r="V121" s="113"/>
      <c r="W121" s="118"/>
      <c r="Y121" s="136"/>
      <c r="Z121" s="146"/>
      <c r="AA121" s="148"/>
      <c r="AB121" s="147"/>
      <c r="AC121" s="136"/>
      <c r="AD121" s="136"/>
      <c r="AE121" s="136"/>
      <c r="AF121" s="136"/>
      <c r="AG121" s="136"/>
      <c r="AH121" s="136"/>
      <c r="AI121" s="136"/>
    </row>
  </sheetData>
  <autoFilter ref="A5:AK114" xr:uid="{C4FFBCF1-480D-45A5-ACB8-5A5348C4C9C4}">
    <filterColumn colId="6">
      <filters>
        <filter val="JARINU"/>
      </filters>
    </filterColumn>
  </autoFilter>
  <mergeCells count="8">
    <mergeCell ref="Y2:AI3"/>
    <mergeCell ref="J21:L21"/>
    <mergeCell ref="N21:O21"/>
    <mergeCell ref="J29:L29"/>
    <mergeCell ref="T4:W4"/>
    <mergeCell ref="N4:O4"/>
    <mergeCell ref="J4:L4"/>
    <mergeCell ref="Q4:R4"/>
  </mergeCells>
  <conditionalFormatting sqref="A1:A2 A4:A1048576">
    <cfRule type="duplicateValues" dxfId="2" priority="7"/>
  </conditionalFormatting>
  <conditionalFormatting sqref="B1:B2 B4:B1048576">
    <cfRule type="duplicateValues" dxfId="1" priority="8"/>
  </conditionalFormatting>
  <dataValidations count="2">
    <dataValidation type="list" allowBlank="1" showInputMessage="1" showErrorMessage="1" sqref="Z11" xr:uid="{F4C3D89C-AE23-459C-875D-97CAC6AE3317}">
      <formula1>$AK$1:$AK$5</formula1>
    </dataValidation>
    <dataValidation type="list" allowBlank="1" showInputMessage="1" showErrorMessage="1" sqref="Z20:Z94 Z105:Z106 Z6:Z10 Z99:Z103 Z96:Z97 Z12:Z17" xr:uid="{C20DD203-E653-425F-BF8A-8877A281A87B}">
      <formula1>$AK$1:$AK$2</formula1>
    </dataValidation>
  </dataValidations>
  <pageMargins left="0.511811024" right="0.511811024" top="0.78740157499999996" bottom="0.78740157499999996" header="0.31496062000000002" footer="0.31496062000000002"/>
  <pageSetup paperSize="8" scale="2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1786</v>
      </c>
      <c r="B1" s="69" t="s">
        <v>1787</v>
      </c>
      <c r="C1" s="70" t="s">
        <v>1788</v>
      </c>
      <c r="D1" s="69" t="s">
        <v>1789</v>
      </c>
      <c r="E1" s="69" t="s">
        <v>1790</v>
      </c>
      <c r="F1" s="69" t="s">
        <v>1791</v>
      </c>
      <c r="H1" s="69" t="s">
        <v>1792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1793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1794</v>
      </c>
      <c r="B9" s="69" t="s">
        <v>1795</v>
      </c>
      <c r="C9" s="69" t="s">
        <v>1796</v>
      </c>
      <c r="D9" s="69" t="s">
        <v>1797</v>
      </c>
      <c r="E9" s="69" t="s">
        <v>1798</v>
      </c>
    </row>
    <row r="10" spans="1:8" x14ac:dyDescent="0.3">
      <c r="A10" s="47" t="s">
        <v>1556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1282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1293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1304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1058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1486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1352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1065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1482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1082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1490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1799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1118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1517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1539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1793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purl.org/dc/dcmitype/"/>
    <ds:schemaRef ds:uri="http://www.w3.org/XML/1998/namespace"/>
    <ds:schemaRef ds:uri="c06ce65c-ed18-47f4-a957-afd315448c9c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f5ab1930-d403-4c69-b2cd-8cc48f527d10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cp:lastPrinted>2026-08-31T16:17:16Z</cp:lastPrinted>
  <dcterms:created xsi:type="dcterms:W3CDTF">2026-01-28T19:47:17Z</dcterms:created>
  <dcterms:modified xsi:type="dcterms:W3CDTF">2026-09-04T12:18:59Z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