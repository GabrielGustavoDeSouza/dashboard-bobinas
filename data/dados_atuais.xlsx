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399" documentId="1_{DDE4A242-D13A-46DE-8B65-653B9F6ECEB2}" xr6:coauthVersionLast="47" xr6:coauthVersionMax="47" xr10:uidLastSave="{9544197E-1183-49E6-9423-42B068AF3343}"/>
  <bookViews>
    <workbookView xWindow="-110" yWindow="-110" windowWidth="19420" windowHeight="1030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<sst xmlns="http://schemas.openxmlformats.org/spreadsheetml/2006/main" count="10570" uniqueCount="1864">
  <si>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</si>
  <si>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</si>
  <si>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</si>
  <si>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</si>
  <si>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</si>
  <si>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</si>
  <si>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</si>
  <si>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</si>
  <si>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</si>
  <si>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</si>
  <si>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</si>
  <si>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</si>
  <si>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</si>
  <si>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</si>
  <si>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</si>
  <si>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</si>
  <si>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</si>
  <si>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</si>
  <si>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</si>
  <si>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</si>
  <si>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</si>
  <si>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</si>
  <si>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</si>
  <si>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</si>
  <si>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</si>
  <si>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</si>
  <si>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</si>
  <si>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</si>
  <si>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</si>
  <si>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</si>
  <si>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</si>
  <si>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</si>
  <si>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</si>
  <si>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</si>
  <si>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</si>
  <si>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</si>
  <si>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</si>
  <si>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</si>
  <si>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</si>
  <si>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</si>
  <si>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</si>
  <si>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</si>
  <si>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</si>
  <si>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</si>
  <si>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</si>
  <si>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</si>
  <si>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</si>
  <si>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</si>
  <si>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</si>
  <si>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</si>
  <si>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</si>
  <si>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</si>
  <si>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</si>
  <si>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</si>
  <si>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</si>
  <si>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</si>
  <si>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</si>
  <si>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</si>
  <si>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</si>
  <si>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</si>
  <si>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</si>
  <si>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</si>
  <si>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</si>
  <si>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</si>
  <si>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</si>
  <si>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</si>
  <si>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</si>
  <si>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</si>
  <si>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</si>
  <si>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</si>
  <si>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</si>
  <si>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</si>
  <si>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</si>
  <si>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</si>
  <si>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</si>
  <si>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</si>
  <si>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</si>
  <si>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</si>
  <si>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</si>
  <si>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</si>
  <si>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</si>
  <si>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</si>
  <si>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</si>
  <si>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</si>
  <si>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</si>
  <si>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</si>
  <si>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</si>
  <si>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</si>
  <si>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</si>
  <si>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</si>
  <si>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</si>
  <si>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</si>
  <si>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</si>
  <si>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</si>
  <si>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</si>
  <si>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</si>
  <si>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</si>
  <si>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</si>
  <si>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</si>
  <si>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</si>
  <si>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</si>
  <si>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</si>
  <si>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</si>
  <si>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</si>
  <si>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</si>
  <si>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</si>
  <si>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</si>
  <si>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</si>
  <si>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</si>
  <si>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</si>
  <si>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</si>
  <si>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</si>
  <si>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</si>
  <si>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</si>
  <si>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</si>
  <si>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</si>
  <si>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</si>
  <si>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</si>
  <si>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</si>
  <si>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</si>
  <si>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</si>
  <si>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</si>
  <si>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</si>
  <si>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</si>
  <si>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</si>
  <si>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</si>
  <si>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</si>
  <si>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</si>
  <si>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</si>
  <si>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</si>
  <si>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</si>
  <si>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</si>
  <si>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</si>
  <si>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</si>
  <si>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</si>
  <si>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</si>
  <si>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</si>
  <si>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</si>
  <si>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</si>
  <si>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</si>
  <si>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</si>
  <si>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</si>
  <si>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</si>
  <si>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</si>
  <si>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</si>
  <si>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</si>
  <si>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</si>
  <si>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</si>
  <si>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</si>
  <si>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</si>
  <si>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</si>
  <si>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</si>
  <si>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</si>
  <si>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</si>
  <si>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</si>
  <si>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</si>
  <si>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</si>
  <si>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</si>
  <si>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</si>
  <si>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</si>
  <si>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</si>
  <si>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</si>
  <si>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</si>
  <si>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</si>
  <si>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</si>
  <si>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</si>
  <si>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</si>
  <si>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</si>
  <si>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</si>
  <si>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</si>
  <si>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</si>
  <si>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</si>
  <si>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</si>
  <si>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</si>
  <si>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</si>
  <si>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</si>
  <si>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</si>
  <si>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</si>
  <si>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</si>
  <si>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</si>
  <si>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</si>
  <si>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</si>
  <si>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</si>
  <si>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</si>
  <si>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</si>
  <si>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</si>
  <si>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</si>
  <si>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</si>
  <si>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</si>
  <si>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</si>
  <si>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</si>
  <si>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</si>
  <si>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</si>
  <si>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</si>
  <si>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</si>
  <si>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</si>
  <si>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</si>
  <si>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</si>
  <si>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</si>
  <si>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</si>
  <si>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</si>
  <si>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</si>
  <si>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</si>
  <si>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</si>
  <si>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</si>
  <si>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</si>
  <si>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</si>
  <si>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</si>
  <si>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</si>
  <si>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</si>
  <si>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</si>
  <si>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</si>
  <si>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</si>
  <si>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</si>
  <si>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</si>
  <si>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</si>
  <si>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</si>
  <si>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</si>
  <si>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</si>
  <si>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</si>
  <si>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</si>
  <si>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</si>
  <si>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</si>
  <si>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</si>
  <si>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</si>
  <si>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</si>
  <si>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</si>
  <si>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</si>
  <si>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</si>
  <si>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</si>
  <si>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</si>
  <si>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</si>
  <si>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</si>
  <si>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</si>
  <si>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</si>
  <si>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</si>
  <si>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</si>
  <si>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</si>
  <si>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</si>
  <si>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</si>
  <si>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</si>
  <si>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</si>
  <si>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</si>
  <si>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</si>
  <si>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</si>
  <si>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</si>
  <si>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</si>
  <si>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</si>
  <si>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</si>
  <si>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</si>
  <si>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</si>
  <si>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</si>
  <si>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</si>
  <si>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</si>
  <si>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</si>
  <si>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</si>
  <si>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</si>
  <si>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</si>
  <si>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</si>
  <si>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</si>
  <si>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</si>
  <si>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</si>
  <si>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</si>
  <si>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</si>
  <si>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</si>
  <si>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</si>
  <si>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</si>
  <si>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</si>
  <si>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</si>
  <si>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</si>
  <si>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</si>
  <si>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</si>
  <si>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</si>
  <si>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</si>
  <si>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</si>
  <si>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</si>
  <si>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</si>
  <si>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</si>
  <si>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</si>
  <si>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</si>
  <si>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</si>
  <si>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</si>
  <si>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</si>
  <si>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</si>
  <si>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</si>
  <si>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</si>
  <si>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</si>
  <si>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</si>
  <si>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</si>
  <si>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</si>
  <si>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</si>
  <si>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</si>
  <si>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</si>
  <si>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</si>
  <si>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</si>
  <si>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</si>
  <si>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</si>
  <si>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</si>
  <si>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</si>
  <si>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</si>
  <si>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</si>
  <si>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</si>
  <si>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</si>
  <si>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</si>
  <si>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</si>
  <si>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</si>
  <si>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</si>
  <si>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</si>
  <si>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</si>
  <si>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</si>
  <si>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</si>
  <si>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</si>
  <si>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</si>
  <si>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</si>
  <si>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</si>
  <si>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</si>
  <si>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</si>
  <si>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</si>
  <si>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</si>
  <si>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</si>
  <si>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</si>
  <si>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</si>
  <si>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</si>
  <si>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</si>
  <si>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</si>
  <si>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</si>
  <si>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</si>
  <si>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</si>
  <si>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</si>
  <si>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</si>
  <si>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</si>
  <si>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</si>
  <si>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</si>
  <si>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</si>
  <si>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</si>
  <si>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</si>
  <si>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</si>
  <si>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</si>
  <si>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</si>
  <si>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</si>
  <si>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</si>
  <si>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</si>
  <si>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</si>
  <si>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</si>
  <si>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</si>
  <si>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</si>
  <si>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</si>
  <si>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</si>
  <si>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</si>
  <si>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</si>
  <si>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</si>
  <si>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</si>
  <si>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</si>
  <si>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</si>
  <si>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</si>
  <si>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</si>
  <si>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</si>
  <si>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</si>
  <si>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</si>
  <si>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</si>
  <si>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</si>
  <si>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</si>
  <si>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</si>
  <si>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</si>
  <si>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</si>
  <si>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</si>
  <si>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</si>
  <si>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</si>
  <si>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</si>
  <si>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</si>
  <si>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</si>
  <si>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</si>
  <si>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</si>
  <si>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</si>
  <si>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</si>
  <si>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</si>
  <si>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</si>
  <si>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</si>
  <si>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</si>
  <si>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</si>
  <si>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</si>
  <si>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</si>
  <si>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</si>
  <si>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</si>
  <si>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</si>
  <si>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</si>
  <si>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</si>
  <si>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</si>
  <si>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</si>
  <si>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</si>
  <si>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</si>
  <si>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</si>
  <si>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</si>
  <si>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</si>
  <si>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</si>
  <si>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</si>
  <si>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</si>
  <si>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</si>
  <si>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</si>
  <si>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</si>
  <si>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</si>
  <si>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</si>
  <si>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</si>
  <si>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</si>
  <si>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</si>
  <si>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</si>
  <si>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</si>
  <si>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</si>
  <si>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</si>
  <si>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</si>
  <si>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</si>
  <si>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</si>
  <si>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</si>
  <si>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</si>
  <si>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</si>
  <si>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</si>
  <si>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</si>
  <si>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</si>
  <si>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</si>
  <si>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</si>
  <si>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</si>
  <si>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</si>
  <si>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</si>
  <si>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</si>
  <si>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</si>
  <si>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</si>
  <si>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</si>
  <si>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</si>
  <si>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</si>
  <si>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</si>
  <si>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</si>
  <si>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</si>
  <si>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</si>
  <si>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</si>
  <si>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</si>
  <si>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</si>
  <si>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</si>
  <si>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</si>
  <si>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</si>
  <si>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</si>
  <si>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</si>
  <si>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</si>
  <si>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</si>
  <si>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</si>
  <si>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</si>
  <si>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</si>
  <si>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</si>
  <si>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</si>
  <si>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</si>
  <si>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</si>
  <si>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</si>
  <si>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</si>
  <si>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</si>
  <si>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</si>
  <si>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</si>
  <si>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</si>
  <si>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</si>
  <si>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</si>
  <si>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</si>
  <si>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</si>
  <si>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</si>
  <si>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</si>
  <si>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</si>
  <si>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</si>
  <si>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</si>
  <si>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</si>
  <si>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</si>
  <si>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</si>
  <si>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</si>
  <si>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</si>
  <si>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</si>
  <si>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</si>
  <si>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</si>
  <si>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</si>
  <si>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</si>
  <si>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</si>
  <si>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</si>
  <si>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</si>
  <si>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</si>
  <si>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</si>
  <si>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</si>
  <si>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</si>
  <si>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</si>
  <si>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</si>
  <si>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</si>
  <si>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</si>
  <si>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</si>
  <si>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</si>
  <si>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</si>
  <si>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</si>
  <si>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</si>
  <si>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</si>
  <si>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</si>
  <si>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</si>
  <si>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</si>
  <si>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</si>
  <si>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</si>
  <si>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</si>
  <si>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</si>
  <si>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</si>
  <si>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</si>
  <si>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</si>
  <si>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</si>
  <si>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</si>
  <si>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</si>
  <si>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</si>
  <si>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</si>
  <si>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</si>
  <si>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</si>
  <si>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</si>
  <si>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</si>
  <si>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</si>
  <si>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</si>
  <si>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</si>
  <si>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</si>
  <si>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</si>
  <si>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</si>
  <si>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</si>
  <si>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</si>
  <si>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</si>
  <si>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</si>
  <si>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</si>
  <si>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</si>
  <si>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</si>
  <si>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</si>
  <si>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</si>
  <si>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</si>
  <si>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</si>
  <si>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</si>
  <si>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</si>
  <si>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</si>
  <si>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</si>
  <si>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</si>
  <si>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</si>
  <si>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</si>
  <si>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</si>
  <si>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</si>
  <si>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</si>
  <si>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</si>
  <si>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</si>
  <si>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</si>
  <si>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</si>
  <si>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</si>
  <si>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</si>
  <si>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</si>
  <si>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</si>
  <si>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</si>
  <si>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</si>
  <si>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</si>
  <si>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</si>
  <si>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</si>
  <si>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</si>
  <si>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</si>
  <si>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</si>
  <si>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</si>
  <si>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</si>
  <si>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</si>
  <si>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</si>
  <si>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</si>
  <si>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</si>
  <si>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</si>
  <si>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</si>
  <si>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</si>
  <si>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</si>
  <si>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</si>
  <si>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</si>
  <si>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</si>
  <si>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</si>
  <si>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</si>
  <si>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</si>
  <si>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</si>
  <si>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</si>
  <si>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</si>
  <si>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</si>
  <si>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</si>
  <si>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</si>
  <si>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</si>
  <si>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</si>
  <si>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</si>
  <si>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</si>
  <si>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</si>
  <si>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</si>
  <si>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</si>
  <si>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</si>
  <si>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</si>
  <si>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</si>
  <si>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</si>
  <si>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</si>
  <si>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</si>
  <si>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</si>
  <si>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</si>
  <si>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</si>
  <si>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</si>
  <si>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</si>
  <si>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</si>
  <si>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</si>
  <si>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</si>
  <si>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</si>
  <si>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</si>
  <si>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</si>
  <si>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</si>
  <si>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</si>
  <si>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</si>
  <si>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</si>
  <si>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</si>
  <si>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</si>
  <si>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</si>
  <si>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</si>
  <si>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</si>
  <si>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</si>
  <si>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</si>
  <si>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</si>
  <si>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</si>
  <si>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</si>
  <si>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</si>
  <si>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</si>
  <si>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</si>
  <si>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</si>
  <si>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</si>
  <si>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</si>
  <si>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</si>
  <si>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</si>
  <si>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</si>
  <si>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</si>
  <si>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</si>
  <si>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</si>
  <si>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</si>
  <si>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</si>
  <si>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</si>
  <si>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</si>
  <si>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</si>
  <si>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</si>
  <si>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</si>
  <si>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</si>
  <si>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</si>
  <si>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</si>
  <si>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</si>
  <si>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</si>
  <si>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</si>
  <si>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</si>
  <si>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</si>
  <si>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</si>
  <si>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</si>
  <si>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</si>
  <si>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</si>
  <si>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</si>
  <si>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</si>
  <si>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</si>
  <si>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</si>
  <si>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</si>
  <si>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</si>
  <si>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</si>
  <si>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</si>
  <si>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</si>
  <si>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</si>
  <si>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</si>
  <si>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</si>
  <si>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</si>
  <si>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</si>
  <si>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</si>
  <si>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</si>
  <si>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</si>
  <si>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</si>
  <si>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</si>
  <si>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</si>
  <si>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</si>
  <si>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</si>
  <si>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</si>
  <si>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</si>
  <si>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</si>
  <si>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</si>
  <si>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</si>
  <si>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</si>
  <si>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</si>
  <si>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</si>
  <si>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</si>
  <si>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</si>
  <si>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</si>
  <si>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</si>
  <si>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</si>
  <si>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</si>
  <si>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</si>
  <si>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</si>
  <si>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</si>
  <si>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</si>
  <si>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</si>
  <si>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</si>
  <si>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</si>
  <si>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</si>
  <si>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</si>
  <si>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</si>
  <si>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</si>
  <si>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</si>
  <si>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</si>
  <si>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</si>
  <si>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</si>
  <si>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</si>
  <si>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</si>
  <si>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</si>
  <si>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</si>
  <si>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</si>
  <si>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</si>
  <si>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</si>
  <si>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</si>
  <si>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</si>
  <si>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</si>
  <si>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</si>
  <si>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</si>
  <si>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</si>
  <si>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</si>
  <si>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</si>
  <si>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</si>
  <si>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</si>
  <si>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</si>
  <si>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</si>
  <si>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</si>
  <si>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</si>
  <si>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</si>
  <si>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</si>
  <si>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</si>
  <si>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</si>
  <si>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</si>
  <si>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</si>
  <si>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</si>
  <si>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</si>
  <si>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</si>
  <si>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</si>
  <si>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</si>
  <si>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</si>
  <si>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</si>
  <si>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</si>
  <si>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</si>
  <si>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</si>
  <si>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</si>
  <si>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</si>
  <si>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</si>
  <si>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</si>
  <si>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</si>
  <si>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</si>
  <si>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</si>
  <si>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</si>
  <si>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</si>
  <si>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</si>
  <si>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</si>
  <si>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</si>
  <si>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</si>
  <si>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</si>
  <si>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</si>
  <si>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</si>
  <si>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</si>
  <si>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</si>
  <si>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</si>
  <si>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</si>
  <si>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</si>
  <si>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</si>
  <si>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</si>
  <si>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</si>
  <si>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</si>
  <si>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</si>
  <si>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</si>
  <si>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</si>
  <si>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</si>
  <si>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</si>
  <si>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</si>
  <si>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</si>
  <si>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</si>
  <si>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</si>
  <si>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</si>
  <si>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</si>
  <si>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</si>
  <si>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</si>
  <si>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</si>
  <si>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</si>
  <si>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</si>
  <si>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</si>
  <si>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</si>
  <si>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</si>
  <si>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</si>
  <si>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</si>
  <si>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</si>
  <si>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</si>
  <si>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</si>
  <si>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</si>
  <si>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</si>
  <si>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</si>
  <si>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</si>
  <si>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</si>
  <si>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</si>
  <si>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</si>
  <si>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</si>
  <si>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</si>
  <si>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</si>
  <si>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</si>
  <si>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</si>
  <si>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</si>
  <si>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</si>
  <si>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</si>
  <si>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</si>
  <si>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</si>
  <si>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</si>
  <si>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</si>
  <si>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</si>
  <si>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</si>
  <si>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</si>
  <si>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</si>
  <si>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</si>
  <si>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</si>
  <si>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</si>
  <si>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</si>
  <si>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</si>
  <si>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</si>
  <si>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</si>
  <si>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</si>
  <si>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</si>
  <si>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</si>
  <si>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</si>
  <si>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</si>
  <si>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</si>
  <si>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</si>
  <si>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</si>
  <si>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</si>
  <si>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</si>
  <si>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</si>
  <si>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</si>
  <si>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</si>
  <si>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</si>
  <si>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</si>
  <si>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</si>
  <si>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</si>
  <si>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</si>
  <si>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</si>
  <si>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</si>
  <si>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</si>
  <si>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</si>
  <si>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</si>
  <si>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</si>
  <si>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</si>
  <si>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</si>
  <si>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</si>
  <si>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</si>
  <si>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</si>
  <si>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</si>
  <si>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</si>
  <si>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</si>
  <si>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</si>
  <si>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</si>
  <si>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</si>
  <si>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</si>
  <si>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</si>
  <si>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</si>
  <si>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</si>
  <si>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</si>
  <si>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</si>
  <si>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</si>
  <si>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</si>
  <si>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</si>
  <si>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</si>
  <si>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</si>
  <si>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</si>
  <si>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</si>
  <si>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</si>
  <si>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</si>
  <si>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</si>
  <si>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</si>
  <si>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</si>
  <si>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</si>
  <si>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</si>
  <si>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</si>
  <si>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</si>
  <si>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</si>
  <si>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</si>
  <si>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</si>
  <si>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</si>
  <si>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</si>
  <si>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</si>
  <si>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</si>
  <si>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</si>
  <si>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</si>
  <si>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</si>
  <si>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</si>
  <si>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</si>
  <si>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</si>
  <si>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</si>
  <si>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</si>
  <si>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</si>
  <si>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</si>
  <si>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</si>
  <si>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</si>
  <si>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</si>
  <si>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</si>
  <si>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</si>
  <si>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</si>
  <si>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</si>
  <si>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</si>
  <si>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</si>
  <si>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</si>
  <si>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</si>
  <si>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</si>
  <si>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</si>
  <si>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</si>
  <si>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</si>
  <si>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</si>
  <si>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</si>
  <si>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</si>
  <si>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</si>
  <si>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</si>
  <si>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</si>
  <si>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</si>
  <si>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</si>
  <si>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</si>
  <si>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</si>
  <si>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</si>
  <si>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</si>
  <si>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</si>
  <si>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</si>
  <si>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</si>
  <si>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</si>
  <si>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</si>
  <si>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</si>
  <si>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</si>
  <si>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</si>
  <si>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</si>
  <si>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</si>
  <si>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</si>
  <si>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</si>
  <si>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</si>
  <si>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</si>
  <si>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</si>
  <si>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</si>
  <si>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</si>
  <si>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</si>
  <si>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</si>
  <si>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</si>
  <si>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</si>
  <si>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</si>
  <si>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</si>
  <si>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</si>
  <si>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</si>
  <si>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</si>
  <si>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</si>
  <si>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</si>
  <si>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</si>
  <si>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</si>
  <si>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</si>
  <si>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</si>
  <si>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</si>
  <si>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</si>
  <si>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</si>
  <si>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</si>
  <si>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</si>
  <si>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</si>
  <si>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</si>
  <si>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</si>
  <si>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</si>
  <si>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</si>
  <si>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</si>
  <si>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</si>
  <si>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</si>
  <si>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</si>
  <si>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</si>
  <si>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</si>
  <si>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</si>
  <si>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</si>
  <si>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</si>
  <si>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</si>
  <si>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</si>
  <si>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</si>
  <si>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</si>
  <si>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</si>
  <si>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</si>
  <si>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</si>
  <si>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</si>
  <si>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</si>
  <si>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</si>
  <si>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</si>
  <si>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</si>
  <si>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</si>
  <si>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</si>
  <si>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</si>
  <si>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</si>
  <si>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</si>
  <si>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</si>
  <si>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</si>
  <si>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</si>
  <si>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</si>
  <si>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</si>
  <si>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</si>
  <si>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</si>
  <si>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</si>
  <si>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</si>
  <si>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</si>
  <si>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</si>
  <si>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</si>
  <si>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</si>
  <si>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</si>
  <si>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</si>
  <si>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</si>
  <si>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</si>
  <si>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</si>
  <si>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</si>
  <si>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</si>
  <si>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</si>
  <si>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</si>
  <si>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</si>
  <si>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</si>
  <si>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</si>
  <si>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</si>
  <si>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</si>
  <si>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</si>
  <si>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</si>
  <si>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</si>
  <si>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</si>
  <si>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</si>
  <si>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</si>
  <si>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</si>
  <si>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</si>
  <si>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</si>
  <si>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</si>
  <si>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</si>
  <si>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</si>
  <si>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</si>
  <si>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</si>
  <si>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</si>
  <si>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</si>
  <si>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</si>
  <si>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</si>
  <si>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</si>
  <si>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</si>
  <si>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</si>
  <si>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</si>
  <si>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</si>
  <si>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</si>
  <si>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</si>
  <si>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</si>
  <si>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</si>
  <si>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</si>
  <si>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</si>
  <si>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</si>
  <si>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</si>
  <si>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</si>
  <si>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</si>
  <si>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</si>
  <si>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</si>
  <si>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</si>
  <si>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</si>
  <si>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</si>
  <si>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</si>
  <si>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</si>
  <si>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</si>
  <si>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</si>
  <si>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</si>
  <si>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</si>
  <si>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</si>
  <si>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</si>
  <si>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</si>
  <si>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</si>
  <si>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</si>
  <si>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</si>
  <si>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</si>
  <si>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</si>
  <si>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</si>
  <si>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</si>
  <si>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</si>
  <si>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</si>
  <si>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</si>
  <si>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</si>
  <si>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</si>
  <si>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</si>
  <si>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</si>
  <si>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</si>
  <si>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</si>
  <si>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</si>
  <si>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</si>
  <si>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</si>
  <si>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</si>
  <si>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</si>
  <si>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</si>
  <si>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</si>
  <si>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</si>
  <si>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</si>
  <si>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</si>
  <si>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</si>
  <si>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</si>
  <si>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</si>
  <si>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</si>
  <si>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</si>
  <si>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</si>
  <si>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</si>
  <si>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</si>
  <si>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</si>
  <si>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</si>
  <si>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</si>
  <si>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</si>
  <si>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</si>
  <si>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</si>
  <si>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</si>
  <si>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</si>
  <si>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</si>
  <si>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</si>
  <si>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</si>
  <si>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</si>
  <si>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</si>
  <si>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</si>
  <si>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</si>
  <si>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</si>
  <si>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</si>
  <si>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</si>
  <si>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</si>
  <si>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</si>
  <si>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</si>
  <si>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</si>
  <si>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</si>
  <si>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</si>
  <si>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</si>
  <si>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</si>
  <si>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</si>
  <si>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</si>
  <si>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</si>
  <si>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</si>
  <si>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</si>
  <si>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</si>
  <si>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</si>
  <si>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</si>
  <si>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</si>
  <si>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</si>
  <si>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</si>
  <si>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</si>
  <si>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</si>
  <si>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</si>
  <si>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</si>
  <si>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</si>
  <si>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</si>
  <si>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</si>
  <si>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</si>
  <si>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</si>
  <si>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</si>
  <si>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</si>
  <si>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</si>
  <si>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</si>
  <si>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</si>
  <si>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</si>
  <si>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</si>
  <si>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</si>
  <si>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</si>
  <si>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</si>
  <si>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</si>
  <si>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</si>
  <si>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</si>
  <si>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</si>
  <si>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</si>
  <si>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</si>
  <si>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</si>
  <si>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</si>
  <si>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</si>
  <si>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</si>
  <si>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</si>
  <si>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</si>
  <si>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</si>
  <si>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</si>
  <si>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</si>
  <si>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</si>
  <si>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</si>
  <si>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</si>
  <si>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</si>
  <si>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</si>
  <si>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</si>
  <si>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</si>
  <si>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</si>
  <si>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</si>
  <si>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</si>
  <si>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</si>
  <si>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</si>
  <si>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</si>
  <si>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</si>
  <si>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</si>
  <si>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</si>
  <si>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</si>
  <si>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</si>
  <si>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</si>
  <si>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</si>
  <si>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</si>
  <si>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</si>
  <si>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</si>
  <si>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</si>
  <si>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</si>
  <si>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</si>
  <si>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</si>
  <si>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</si>
  <si>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</si>
  <si>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</si>
  <si>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</si>
  <si>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</si>
  <si>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</si>
  <si>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</si>
  <si>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</si>
  <si>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</si>
  <si>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</si>
  <si>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</si>
  <si>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</si>
  <si>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</si>
  <si>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</si>
  <si>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</si>
  <si>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</si>
  <si>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</si>
  <si>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</si>
  <si>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</si>
  <si>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</si>
  <si>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</si>
  <si>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</si>
  <si>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</si>
  <si>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</si>
  <si>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</si>
  <si>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</si>
  <si>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</si>
  <si>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</si>
  <si>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</si>
  <si>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</si>
  <si>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</si>
  <si>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</si>
  <si>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</si>
  <si>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</si>
  <si>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</si>
  <si>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</si>
  <si>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</si>
  <si>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</si>
  <si>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</si>
  <si>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</si>
  <si>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</si>
  <si>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</si>
  <si>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</si>
  <si>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</si>
  <si>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</si>
  <si>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</si>
  <si>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</si>
  <si>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</si>
  <si>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</si>
  <si>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</si>
  <si>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</si>
  <si>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</si>
  <si>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</si>
  <si>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</si>
  <si>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</si>
  <si>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</si>
  <si>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</si>
  <si>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</si>
  <si>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</si>
  <si>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</si>
  <si>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</si>
  <si>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</si>
  <si>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</si>
  <si>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</si>
  <si>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</si>
  <si>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</si>
  <si>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</si>
  <si>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</si>
  <si>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</si>
  <si>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</si>
  <si>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</si>
  <si>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</si>
  <si>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</si>
  <si>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</si>
  <si>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</si>
  <si>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</si>
  <si>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</si>
  <si>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</si>
  <si>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</si>
  <si>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</si>
  <si>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</si>
  <si>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</si>
  <si>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</si>
  <si>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</si>
  <si>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</si>
  <si>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</si>
  <si>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</si>
  <si>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</si>
  <si>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</si>
  <si>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</si>
  <si>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</si>
  <si>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</si>
  <si>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</si>
  <si>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</si>
  <si>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</si>
  <si>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</si>
  <si>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</si>
  <si>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</si>
  <si>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</si>
  <si>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</si>
  <si>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</si>
  <si>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</si>
  <si>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</si>
  <si>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</si>
  <si>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</si>
  <si>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</si>
  <si>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</si>
  <si>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</si>
  <si>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</si>
  <si>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</si>
  <si>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</si>
  <si>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</si>
  <si>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</si>
  <si>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</si>
  <si>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</si>
  <si>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</si>
  <si>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</si>
  <si>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</si>
  <si>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</si>
  <si>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</si>
  <si>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</si>
  <si>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</si>
  <si>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</si>
  <si>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</si>
  <si>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</si>
  <si>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</si>
  <si>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</si>
  <si>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</si>
  <si>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</si>
  <si>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</si>
  <si>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</si>
  <si>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</si>
  <si>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</si>
  <si>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</si>
  <si>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</si>
  <si>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</si>
  <si>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</si>
  <si>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</si>
  <si>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</si>
  <si>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</si>
  <si>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</si>
  <si>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</si>
  <si>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</si>
  <si>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</si>
  <si>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</si>
  <si>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</si>
  <si>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</si>
  <si>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</si>
  <si>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</si>
  <si>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</si>
  <si>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</si>
  <si>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</si>
  <si>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</si>
  <si>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</si>
  <si>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</si>
  <si>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</si>
  <si>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</si>
  <si>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</si>
  <si>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</si>
  <si>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</si>
  <si>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</si>
  <si>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</si>
  <si>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</si>
  <si>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</si>
  <si>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</si>
  <si>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</si>
  <si>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</si>
  <si>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</si>
  <si>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</si>
  <si>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</si>
  <si>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</si>
  <si>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</si>
  <si>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</si>
  <si>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</si>
  <si>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</si>
  <si>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</si>
  <si>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</si>
  <si>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</si>
  <si>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</si>
  <si>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</si>
  <si>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</si>
  <si>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</si>
  <si>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</si>
  <si>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</si>
  <si>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</si>
  <si>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</si>
  <si>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</si>
  <si>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</si>
  <si>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</si>
  <si>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</si>
  <si>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</si>
  <si>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</si>
  <si>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</si>
  <si>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</si>
  <si>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</si>
  <si>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</si>
  <si>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</si>
  <si>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</si>
  <si>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</si>
  <si>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</si>
  <si>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</si>
  <si>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</si>
  <si>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</si>
  <si>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</si>
  <si>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</si>
  <si>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</si>
  <si>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</si>
  <si>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</si>
  <si>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</si>
  <si>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</si>
  <si>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</si>
  <si>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</si>
  <si>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</si>
  <si>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</si>
  <si>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</si>
  <si>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</si>
  <si>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</si>
  <si>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</si>
  <si>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</si>
  <si>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</si>
  <si>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</si>
  <si>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</si>
  <si>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</si>
  <si>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</si>
  <si>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</si>
  <si>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</si>
  <si>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</si>
  <si>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</si>
  <si>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</si>
  <si>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</si>
  <si>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</si>
  <si>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</si>
  <si>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</si>
  <si>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</si>
  <si>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</si>
  <si>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</si>
  <si>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</si>
  <si>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</si>
  <si>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</si>
  <si>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</si>
  <si>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</si>
  <si>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</si>
  <si>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</si>
  <si>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</si>
  <si>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</si>
  <si>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</si>
  <si>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</si>
  <si>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</si>
  <si>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</si>
  <si>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</si>
  <si>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</si>
  <si>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</si>
  <si>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</si>
  <si>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</si>
  <si>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</si>
  <si>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</si>
  <si>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</si>
  <si>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</si>
  <si>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</si>
  <si>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</si>
  <si>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</si>
  <si>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</si>
  <si>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</si>
  <si>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</si>
  <si>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</si>
  <si>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</si>
  <si>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</si>
  <si>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</si>
  <si>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</si>
  <si>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</si>
  <si>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</si>
  <si>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</si>
  <si>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</si>
  <si>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</si>
  <si>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</si>
  <si>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</si>
  <si>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</si>
  <si>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</si>
  <si>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</si>
  <si>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</si>
  <si>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</si>
  <si>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</si>
  <si>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</si>
  <si>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</si>
  <si>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</si>
  <si>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</si>
  <si>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</si>
  <si>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</si>
  <si>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</si>
  <si>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</si>
  <si>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</si>
  <si>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</si>
  <si>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</si>
  <si>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</si>
  <si>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</si>
  <si>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</si>
  <si>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</si>
  <si>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</si>
  <si>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</si>
  <si>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</si>
  <si>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</si>
  <si>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</si>
  <si>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</si>
  <si>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</si>
  <si>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</si>
  <si>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</si>
  <si>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</si>
  <si>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</si>
  <si>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</si>
  <si>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</si>
  <si>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</si>
  <si>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</si>
  <si>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</si>
  <si>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</si>
  <si>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</si>
  <si>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</si>
  <si>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</si>
  <si>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</si>
  <si>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</si>
  <si>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</si>
  <si>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</si>
  <si>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</si>
  <si>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</si>
  <si>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</si>
  <si>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</si>
  <si>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</si>
  <si>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</si>
  <si>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</si>
  <si>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</si>
  <si>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</si>
  <si>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</si>
  <si>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</si>
  <si>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</si>
  <si>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</si>
  <si>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</si>
  <si>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</si>
  <si>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</si>
  <si>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</si>
  <si>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</si>
  <si>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</si>
  <si>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</si>
  <si>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</si>
  <si>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</si>
  <si>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</si>
  <si>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</si>
  <si>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</si>
  <si>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</si>
  <si>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</si>
  <si>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</si>
  <si>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</si>
  <si>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</si>
  <si>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</si>
  <si>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</si>
  <si>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</si>
  <si>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</si>
  <si>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</si>
  <si>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</si>
  <si>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</si>
  <si>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</si>
  <si>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</si>
  <si>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</si>
  <si>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</si>
  <si>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</si>
  <si>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</si>
  <si>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</si>
  <si>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</si>
  <si>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</si>
  <si>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</si>
  <si>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</si>
  <si>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</si>
  <si>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</si>
  <si>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</si>
  <si>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</si>
  <si>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</si>
  <si>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</si>
  <si>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</si>
  <si>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</si>
  <si>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</si>
  <si>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</si>
  <si>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</si>
  <si>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</si>
  <si>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</si>
  <si>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</si>
  <si>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</si>
  <si>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</si>
  <si>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</si>
  <si>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</si>
  <si>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</si>
  <si>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</si>
  <si>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</si>
  <si>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</si>
  <si>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</si>
  <si>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</si>
  <si>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</si>
  <si>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</si>
  <si>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</si>
  <si>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</si>
  <si>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</si>
  <si>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</si>
  <si>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</si>
  <si>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</si>
  <si>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</si>
  <si>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</si>
  <si>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</si>
  <si>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</si>
  <si>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</si>
  <si>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</si>
  <si>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</si>
  <si>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</si>
  <si>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</si>
  <si>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</si>
  <si>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</si>
  <si>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</si>
  <si>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</si>
  <si>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</si>
  <si>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</si>
  <si>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</si>
  <si>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</si>
  <si>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</si>
  <si>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</si>
  <si>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</si>
  <si>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</si>
  <si>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</si>
  <si>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</si>
  <si>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</si>
  <si>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</si>
  <si>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</si>
  <si>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</si>
  <si>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</si>
  <si>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</si>
  <si>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</si>
  <si>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</si>
  <si>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</si>
  <si>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</si>
  <si>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</si>
  <si>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</si>
  <si>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</si>
  <si>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</si>
  <si>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</si>
  <si>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</si>
  <si>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</si>
  <si>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</si>
  <si>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</si>
  <si>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</si>
  <si>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</si>
  <si>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</si>
  <si>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</si>
  <si>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</si>
  <si>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</si>
  <si>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</si>
  <si>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</si>
  <si>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</si>
  <si>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</si>
  <si>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</si>
  <si>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</si>
  <si>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</si>
  <si>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</si>
  <si>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</si>
  <si>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</si>
  <si>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</si>
  <si>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</si>
  <si>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</si>
  <si>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</si>
  <si>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</si>
  <si>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</si>
  <si>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</si>
  <si>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</si>
  <si>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</si>
  <si>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</si>
  <si>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</si>
  <si>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</si>
  <si>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</si>
  <si>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</si>
  <si>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</si>
  <si>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</si>
  <si>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</si>
  <si>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</si>
  <si>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</si>
  <si>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</si>
  <si>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</si>
  <si>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</si>
  <si>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ÁREA PENDENTE DE ATUAÇÃO PARA EVOLUÇÃO DO PROJETO 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</si>
  <si>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</si>
  <si>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</si>
  <si>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</si>
  <si>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</si>
  <si>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</si>
  <si>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</si>
  <si>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</si>
  <si>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>RECONSULTA</t>
  </si>
  <si>
    <t>USINA - CONSULTA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</si>
  <si>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</si>
  <si>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</si>
  <si>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</si>
  <si>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VIÁVEL COM RESTRIÇÕES</t>
  </si>
  <si>
    <t>LOGÍSTICA - PROGRAMAÇÃO</t>
  </si>
  <si>
    <t>MTL INVIÁVEL, GANHAMOS NA ALTERAÇÃO DE BORDAS</t>
  </si>
  <si>
    <t>BOQ USISAR55 11,75+0,54X1050 MTH</t>
  </si>
  <si>
    <t>-0,00 / +32,00</t>
  </si>
  <si>
    <t>VIÁVEL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</si>
  <si>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</si>
  <si>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</si>
  <si>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</si>
  <si>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</si>
  <si>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</si>
  <si>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USINA - EM PRODUÇÃO</t>
  </si>
  <si>
    <t>VW50065 CR300LA GI40/40U 1,40X312,5X950</t>
  </si>
  <si>
    <t>-0,0375 / +0,00</t>
  </si>
  <si>
    <t>INVIÁVEL</t>
  </si>
  <si>
    <t>FORNECEDOR IRÁ COMUNICAR A VW AS ALTERAÇÕES</t>
  </si>
  <si>
    <t>1450
1250</t>
  </si>
  <si>
    <t>1750 / 3000</t>
  </si>
  <si>
    <t>2620 / 2700 / 2960
2450 / 2700 / 2950</t>
  </si>
  <si>
    <t>MATERIAL COM 1450MM JÁ CHEGOU. MATERIAL COM 1200MM PENDENTE</t>
  </si>
  <si>
    <t>CONSULTA DEVOVLIDA 24/07/2026 - VIÁVEL APENAS RESTRIÇÃO NA LARGURA</t>
  </si>
  <si>
    <t>BOQ B105-13 12,75X1250 MTH</t>
  </si>
  <si>
    <t>RECONSULTA ABERTA PARA RESTRIÇÃO APENAS DE LARGURA</t>
  </si>
  <si>
    <t>SLZ VW50065 CR300LA GI40/40U 1,80X325</t>
  </si>
  <si>
    <t>BDZ VW50065 CR300LA GI40/40 1,40X575X517</t>
  </si>
  <si>
    <t>-0,0325 / +0</t>
  </si>
  <si>
    <t>INVIABILIDADE - FORNECEDOR DIRECT BUY IRÁ COMUNICAR A VW</t>
  </si>
  <si>
    <t>SLZ VW50065 CR300LA-GI40/40U 1,80X466</t>
  </si>
  <si>
    <t>-0,04 / +0,00 PROPOSTA DELGA
+0,02 / -0,08 PROPOSTA USINA</t>
  </si>
  <si>
    <t>USINA - RECEBIMENTO
ENGENHARIA - REGULARIZAR PLANO DE CORTE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</si>
  <si>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</si>
  <si>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-0,00 / +0,25</t>
  </si>
  <si>
    <t>MATERIAL PROGRAMADO</t>
  </si>
  <si>
    <t>2630
1930</t>
  </si>
  <si>
    <t>6510
2960</t>
  </si>
  <si>
    <t>CONFIRMAR RECEBIMENTO NAS NOVAS ESPECIFICAÇÕES</t>
  </si>
  <si>
    <t>CHQ0680TV15002680</t>
  </si>
  <si>
    <t>CHQ0680TV15002640
CHQ0680TV15002650</t>
  </si>
  <si>
    <t>7,00 -0,25 / +0,05</t>
  </si>
  <si>
    <t>ENGENHARIA - REANALISE DE PROPOSTA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</si>
  <si>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</si>
  <si>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</si>
  <si>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</si>
  <si>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</si>
  <si>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nok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</si>
  <si>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</si>
  <si>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</si>
  <si>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</si>
  <si>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</si>
  <si>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</si>
  <si>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</si>
  <si>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</si>
  <si>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</si>
  <si>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</si>
  <si>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</si>
  <si>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</si>
  <si>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</si>
  <si>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</si>
  <si>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</si>
  <si>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</si>
  <si>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</si>
  <si>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</si>
  <si>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</si>
  <si>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Bordas aparadas</t>
  </si>
  <si>
    <t>-0,00 / + 12,00</t>
  </si>
  <si>
    <t>COMPRAS - ENVIO PARA USINA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</si>
  <si>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</si>
  <si>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</si>
  <si>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</si>
  <si>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</si>
  <si>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</si>
  <si>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</si>
  <si>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INVIÁVEL - FORNECEDOR IRÁ COMUNICAR VW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</si>
  <si>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</si>
  <si>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</si>
  <si>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</si>
  <si>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</si>
  <si>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</si>
  <si>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</si>
  <si>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</si>
  <si>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</si>
  <si>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</si>
  <si>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</si>
  <si>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</si>
  <si>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</si>
  <si>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</si>
  <si>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</si>
  <si>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</si>
  <si>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</si>
  <si>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</si>
  <si>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</si>
  <si>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</si>
  <si>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</si>
  <si>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</si>
  <si>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</si>
  <si>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</si>
  <si>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</si>
  <si>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</si>
  <si>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</si>
  <si>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</si>
  <si>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</si>
  <si>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</si>
  <si>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</si>
  <si>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</si>
  <si>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</si>
  <si>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</si>
  <si>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</si>
  <si>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GANHO FOI REALIZADO AJUSTANDO O LAYOUT DAS PEÇAS. GANHO DO PESO BRUTO COM  A MESMA LARGURA PRATICADA.</t>
  </si>
  <si>
    <t>VW50065CR270LAGI4040-U-O</t>
  </si>
  <si>
    <t>CSN - INVIÁVEL FORNECIMENTO SEM INFORMAR O CLIENTE FINAL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</si>
  <si>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</si>
  <si>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</si>
  <si>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</si>
  <si>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</si>
  <si>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</si>
  <si>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</si>
  <si>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</si>
  <si>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</si>
  <si>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 xml:space="preserve">GMW2MSTSCR2 HD60G60G-U TO GMW8 </t>
  </si>
  <si>
    <t>VW50065-CR1GI40/40-U</t>
  </si>
  <si>
    <t>SLF0150SF0100</t>
  </si>
  <si>
    <t>FERROLENE IRÁ COMUNICAR A VW AS ALTERAÇÕES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</si>
  <si>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</si>
  <si>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</si>
  <si>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</si>
  <si>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</si>
  <si>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</si>
  <si>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</si>
  <si>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</si>
  <si>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</si>
  <si>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</si>
  <si>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</si>
  <si>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ENGENHARIA - PLANO DE CORTE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</si>
  <si>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</si>
  <si>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</si>
  <si>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</si>
  <si>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</si>
  <si>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</si>
  <si>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</si>
  <si>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 xml:space="preserve">MATERIAL VOLTARÁ A SER FORNECIDO EM BOBINA 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</si>
  <si>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</si>
  <si>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</si>
  <si>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</si>
  <si>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</si>
  <si>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</si>
  <si>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</si>
  <si>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</si>
  <si>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</si>
  <si>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</si>
  <si>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</si>
  <si>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</si>
  <si>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</si>
  <si>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</si>
  <si>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</si>
  <si>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</si>
  <si>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</si>
  <si>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</si>
  <si>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</si>
  <si>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</si>
  <si>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</si>
  <si>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</si>
  <si>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</si>
  <si>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</si>
  <si>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</si>
  <si>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</si>
  <si>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</si>
  <si>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</si>
  <si>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COMPRAS - CONSULTA</t>
  </si>
  <si>
    <t xml:space="preserve">CONFIRMAÇÃO COM FERROLENE SE HÁ O DESCARTE DOS CANTOS DO BLANK 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</si>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</sst>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5"/>
  <cols>
    <col min="1" max="5" width="22.85546875" style="151" customWidth="1"/>
    <col min="6" max="6" width="38.140625" style="151" customWidth="1"/>
    <col min="7" max="7" width="5" style="151" customWidth="1"/>
    <col min="8" max="8" width="22.85546875" style="151" customWidth="1"/>
    <col min="9" max="9" width="17.140625" style="151" customWidth="1"/>
    <col min="10" max="10" width="22.85546875" style="151" customWidth="1"/>
    <col min="11" max="11" width="17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5.42578125" bestFit="1" customWidth="1"/>
    <col min="16" max="16" width="12.85546875" bestFit="1" customWidth="1"/>
    <col min="18" max="18" width="15.85546875" bestFit="1" customWidth="1"/>
    <col min="19" max="19" width="15.42578125" bestFit="1" customWidth="1"/>
  </cols>
  <sheetData>
    <row r="1" spans="1:19" ht="23.45">
      <c r="A1" s="238" t="s">
        <v>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9">
      <c r="A2" s="239" t="s">
        <v>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>
      <c r="A3" s="240" t="s">
        <v>7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>
      <c r="A5" s="235"/>
      <c r="B5" s="235"/>
      <c r="C5" s="235"/>
      <c r="D5" s="235"/>
      <c r="E5" s="235"/>
      <c r="F5" s="235"/>
      <c r="G5" s="235"/>
      <c r="H5" s="235"/>
      <c r="I5" s="235"/>
      <c r="J5" s="235"/>
      <c r="K5" s="235"/>
      <c r="L5" s="235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>
      <c r="N6" t="s">
        <v>13</v>
      </c>
      <c r="O6">
        <v>3</v>
      </c>
      <c r="P6">
        <v>0</v>
      </c>
      <c r="R6" t="s">
        <v>10</v>
      </c>
      <c r="S6">
        <f>COUNTIF(A.Propostas!Z6:Z118,"NÃO")</f>
        <v>29</v>
      </c>
    </row>
    <row r="7" spans="1:19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1" t="s">
        <v>20</v>
      </c>
      <c r="I7" s="235"/>
      <c r="J7" s="235"/>
      <c r="K7" s="235"/>
      <c r="L7" s="235"/>
      <c r="R7" t="s">
        <v>21</v>
      </c>
      <c r="S7">
        <f>COUNTIF(A.Propostas!Z6:Z118,"KAIZEN PLANO DE CORTE")</f>
        <v>0</v>
      </c>
    </row>
    <row r="8" spans="1:19" ht="19.5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2286855.5259197969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9</v>
      </c>
      <c r="F8" s="186" cm="1">
        <f t="array" ref="F8">SUMPRODUCT(--ISNUMBER(SEARCH("INVIÁVEL",A.Propostas!L6:L118&amp;A.Propostas!AC6:AC118&amp;A.Propostas!AK6:AK118)))</f>
        <v>43</v>
      </c>
      <c r="H8" s="242" t="s">
        <v>22</v>
      </c>
      <c r="I8" s="235"/>
      <c r="J8" s="235"/>
      <c r="K8" s="235"/>
      <c r="L8" s="235"/>
    </row>
    <row r="9" spans="1:19">
      <c r="H9" s="235"/>
      <c r="I9" s="235"/>
      <c r="J9" s="235"/>
      <c r="K9" s="235"/>
      <c r="L9" s="235"/>
      <c r="N9" t="s">
        <v>23</v>
      </c>
      <c r="O9" t="s">
        <v>4</v>
      </c>
    </row>
    <row r="10" spans="1:19">
      <c r="N10" t="s">
        <v>24</v>
      </c>
      <c r="O10" s="177">
        <v>1894286.455803545</v>
      </c>
    </row>
    <row r="11" spans="1:19">
      <c r="A11" s="236" t="s">
        <v>25</v>
      </c>
      <c r="B11" s="235"/>
      <c r="C11" s="235"/>
      <c r="D11" s="235"/>
      <c r="E11" s="235"/>
      <c r="F11" s="235"/>
      <c r="H11" s="236" t="s">
        <v>26</v>
      </c>
      <c r="I11" s="235"/>
      <c r="J11" s="235"/>
      <c r="K11" s="235"/>
      <c r="L11" s="235"/>
      <c r="N11" t="s">
        <v>27</v>
      </c>
      <c r="O11" s="177">
        <v>987200.72000000009</v>
      </c>
    </row>
    <row r="12" spans="1:19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>
      <c r="N23" t="s">
        <v>53</v>
      </c>
      <c r="O23" s="177">
        <v>105555.86660184528</v>
      </c>
    </row>
    <row r="24" spans="1:16">
      <c r="N24" t="s">
        <v>54</v>
      </c>
      <c r="O24" s="177">
        <v>70963.59</v>
      </c>
    </row>
    <row r="25" spans="1:16">
      <c r="A25" s="234" t="s">
        <v>55</v>
      </c>
      <c r="B25" s="235"/>
      <c r="C25" s="235"/>
      <c r="D25" s="235"/>
      <c r="E25" s="235"/>
      <c r="F25" s="235"/>
      <c r="H25" s="236" t="s">
        <v>56</v>
      </c>
      <c r="I25" s="235"/>
      <c r="J25" s="235"/>
      <c r="K25" s="235"/>
      <c r="L25" s="235"/>
    </row>
    <row r="26" spans="1:16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95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.599999999999994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95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.599999999999994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>
      <c r="N35">
        <v>8</v>
      </c>
      <c r="O35" s="177">
        <v>115000</v>
      </c>
      <c r="P35" s="150">
        <v>0.39177853331214779</v>
      </c>
    </row>
    <row r="36" spans="1:16">
      <c r="N36">
        <v>9</v>
      </c>
      <c r="O36" s="177">
        <v>113701.832244</v>
      </c>
      <c r="P36" s="150">
        <v>0.42540923307377942</v>
      </c>
    </row>
    <row r="37" spans="1:16">
      <c r="N37">
        <v>10</v>
      </c>
      <c r="O37" s="177">
        <v>113597.5197055</v>
      </c>
      <c r="P37" s="150">
        <v>0.459009079298626</v>
      </c>
    </row>
    <row r="39" spans="1:16">
      <c r="A39" s="237" t="s">
        <v>68</v>
      </c>
      <c r="B39" s="235"/>
      <c r="C39" s="235"/>
      <c r="D39" s="235"/>
      <c r="E39" s="235"/>
      <c r="F39" s="235"/>
    </row>
    <row r="40" spans="1:16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9.1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9.1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9.1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5"/>
  <cols>
    <col min="1" max="1" width="22.85546875" style="151" customWidth="1"/>
    <col min="2" max="2" width="21" style="151" customWidth="1"/>
    <col min="3" max="3" width="22.85546875" style="151" customWidth="1"/>
    <col min="4" max="4" width="36.140625" style="151" customWidth="1"/>
    <col min="5" max="5" width="22.85546875" style="151" customWidth="1"/>
    <col min="6" max="6" width="38.140625" style="151" customWidth="1"/>
    <col min="7" max="7" width="5.140625" style="151" customWidth="1"/>
    <col min="8" max="8" width="22.85546875" style="151" customWidth="1"/>
    <col min="9" max="9" width="15.140625" style="151" customWidth="1"/>
    <col min="10" max="10" width="22.85546875" style="151" customWidth="1"/>
    <col min="11" max="11" width="15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6.5703125" bestFit="1" customWidth="1"/>
    <col min="17" max="17" width="13.85546875" bestFit="1" customWidth="1"/>
    <col min="18" max="18" width="16.5703125" bestFit="1" customWidth="1"/>
  </cols>
  <sheetData>
    <row r="1" spans="1:18" ht="23.45">
      <c r="A1" s="245" t="s">
        <v>77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8">
      <c r="A2" s="239" t="s">
        <v>78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Q2" t="s">
        <v>79</v>
      </c>
    </row>
    <row r="3" spans="1:18">
      <c r="A3" s="240" t="s">
        <v>80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1" t="s">
        <v>87</v>
      </c>
      <c r="I6" s="235"/>
      <c r="J6" s="235"/>
      <c r="K6" s="235"/>
      <c r="L6" s="235"/>
      <c r="N6" t="s">
        <v>13</v>
      </c>
      <c r="O6">
        <v>3</v>
      </c>
      <c r="Q6" t="s">
        <v>10</v>
      </c>
      <c r="R6">
        <f>COUNTIF(A.Propostas!Z6:Z118,"NÃO")</f>
        <v>29</v>
      </c>
    </row>
    <row r="7" spans="1:18" ht="21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9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2" t="s">
        <v>88</v>
      </c>
      <c r="I7" s="235"/>
      <c r="J7" s="235"/>
      <c r="K7" s="235"/>
      <c r="L7" s="235"/>
      <c r="Q7" t="s">
        <v>21</v>
      </c>
      <c r="R7">
        <f>COUNTIF(A.Propostas!Z6:Z118,"KAIZEN PLANO DE CORTE")</f>
        <v>0</v>
      </c>
    </row>
    <row r="8" spans="1:18">
      <c r="H8" s="235"/>
      <c r="I8" s="235"/>
      <c r="J8" s="235"/>
      <c r="K8" s="235"/>
      <c r="L8" s="235"/>
    </row>
    <row r="9" spans="1:18">
      <c r="N9" t="s">
        <v>23</v>
      </c>
      <c r="O9" t="s">
        <v>4</v>
      </c>
    </row>
    <row r="10" spans="1:18">
      <c r="A10" s="236" t="s">
        <v>89</v>
      </c>
      <c r="B10" s="235"/>
      <c r="C10" s="235"/>
      <c r="D10" s="235"/>
      <c r="E10" s="235"/>
      <c r="F10" s="235"/>
      <c r="H10" s="236" t="s">
        <v>26</v>
      </c>
      <c r="I10" s="235"/>
      <c r="J10" s="235"/>
      <c r="K10" s="235"/>
      <c r="L10" s="235"/>
      <c r="N10" t="s">
        <v>24</v>
      </c>
      <c r="O10" s="149">
        <v>1894286.455803545</v>
      </c>
    </row>
    <row r="11" spans="1:18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9.1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5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9.1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9.1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>
      <c r="N22" t="s">
        <v>49</v>
      </c>
      <c r="O22" s="177">
        <v>115000</v>
      </c>
    </row>
    <row r="23" spans="1:15">
      <c r="J23" s="175"/>
      <c r="K23" s="158"/>
      <c r="L23" s="175"/>
      <c r="N23" t="s">
        <v>53</v>
      </c>
      <c r="O23" s="177">
        <v>105555.86660184528</v>
      </c>
    </row>
    <row r="24" spans="1:15">
      <c r="J24" s="175"/>
      <c r="K24" s="158"/>
      <c r="L24" s="175"/>
      <c r="N24" t="s">
        <v>54</v>
      </c>
      <c r="O24" s="177">
        <v>70963.59</v>
      </c>
    </row>
    <row r="25" spans="1:15">
      <c r="A25" s="236" t="s">
        <v>99</v>
      </c>
      <c r="B25" s="235"/>
      <c r="C25" s="235"/>
      <c r="D25" s="235"/>
      <c r="E25" s="235"/>
      <c r="F25" s="235"/>
      <c r="H25" s="236" t="s">
        <v>100</v>
      </c>
      <c r="I25" s="235"/>
      <c r="J25" s="243"/>
      <c r="K25" s="244"/>
      <c r="L25" s="243"/>
      <c r="O25" s="177"/>
    </row>
    <row r="26" spans="1:15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5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29.1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9.1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5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>
      <c r="A33" s="236" t="s">
        <v>111</v>
      </c>
      <c r="B33" s="235"/>
      <c r="C33" s="235"/>
      <c r="D33" s="235"/>
      <c r="E33" s="235"/>
      <c r="F33" s="235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>
      <c r="O43" s="177"/>
    </row>
    <row r="44" spans="1:15">
      <c r="O44" s="177"/>
    </row>
    <row r="45" spans="1:15">
      <c r="O45" s="177"/>
    </row>
    <row r="46" spans="1:15">
      <c r="O46" s="177"/>
    </row>
    <row r="47" spans="1:15">
      <c r="O47" s="177"/>
    </row>
    <row r="48" spans="1:15">
      <c r="O48" s="177"/>
    </row>
    <row r="49" spans="15:15">
      <c r="O49" s="177"/>
    </row>
    <row r="50" spans="15:15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bottomRight" activeCell="Z86" sqref="Z86:AF86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6.140625" style="142" customWidth="1"/>
    <col min="37" max="37" width="16.42578125" bestFit="1" customWidth="1"/>
    <col min="38" max="38" width="14.85546875" hidden="1" customWidth="1"/>
    <col min="39" max="39" width="43.85546875" customWidth="1"/>
    <col min="40" max="40" width="24" style="50" customWidth="1"/>
    <col min="41" max="41" width="24.140625" style="50" customWidth="1"/>
    <col min="42" max="42" width="13.85546875" bestFit="1" customWidth="1"/>
  </cols>
  <sheetData>
    <row r="1" spans="1:41" ht="151.35" customHeight="1"/>
    <row r="2" spans="1:41" ht="31.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45" hidden="1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45" hidden="1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1" hidden="1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45" hidden="1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t="20.100000000000001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100000000000001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45" hidden="1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5" hidden="1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100000000000001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39.95000000000000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100000000000001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100000000000001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00000000000003" hidden="1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100000000000001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100000000000001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100000000000001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.1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100000000000001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100000000000001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45" hidden="1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45" hidden="1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.1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100000000000001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39.95000000000000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100000000000001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45" hidden="1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45" hidden="1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5" hidden="1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45" hidden="1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00000000000003" hidden="1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00000000000003" hidden="1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00000000000003" hidden="1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45" hidden="1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35" hidden="1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00000000000003" hidden="1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45" hidden="1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45" hidden="1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45" hidden="1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45" hidden="1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45" hidden="1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45" hidden="1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45" hidden="1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45" hidden="1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45" hidden="1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P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22"/>
  <sheetViews>
    <sheetView showGridLines="0" tabSelected="1" zoomScale="55" zoomScaleNormal="55" workbookViewId="0">
      <pane xSplit="2" ySplit="5" topLeftCell="AE30" activePane="bottomRight" state="frozen"/>
      <selection pane="bottomRight" activeCell="AJ102" sqref="AJ102"/>
      <selection pane="bottomLeft" activeCell="A6" sqref="A6"/>
      <selection pane="topRight" activeCell="B1" sqref="B1"/>
    </sheetView>
  </sheetViews>
  <sheetFormatPr defaultColWidth="9.140625" defaultRowHeight="15" customHeight="1" outlineLevelCol="1"/>
  <cols>
    <col min="1" max="1" width="27.85546875" customWidth="1"/>
    <col min="2" max="3" width="22.5703125" customWidth="1"/>
    <col min="4" max="4" width="44.42578125" customWidth="1"/>
    <col min="5" max="5" width="14.140625" customWidth="1"/>
    <col min="6" max="6" width="21.42578125" customWidth="1"/>
    <col min="7" max="7" width="17.42578125" customWidth="1"/>
    <col min="8" max="8" width="16.5703125" customWidth="1"/>
    <col min="9" max="9" width="2.42578125" customWidth="1"/>
    <col min="10" max="10" width="15.85546875" customWidth="1" outlineLevel="1"/>
    <col min="11" max="11" width="18.85546875" customWidth="1" outlineLevel="1"/>
    <col min="12" max="12" width="48.140625" customWidth="1" outlineLevel="1"/>
    <col min="13" max="13" width="3" customWidth="1"/>
    <col min="14" max="14" width="23.85546875" customWidth="1" outlineLevel="1"/>
    <col min="15" max="15" width="30.5703125" customWidth="1" outlineLevel="1"/>
    <col min="16" max="16" width="3" customWidth="1"/>
    <col min="17" max="17" width="22.42578125" customWidth="1" outlineLevel="1"/>
    <col min="18" max="18" width="27" customWidth="1" outlineLevel="1"/>
    <col min="19" max="19" width="3" customWidth="1"/>
    <col min="20" max="20" width="20.85546875" customWidth="1" outlineLevel="1"/>
    <col min="21" max="21" width="22.5703125" customWidth="1" outlineLevel="1"/>
    <col min="22" max="22" width="25.5703125" customWidth="1" outlineLevel="1"/>
    <col min="23" max="23" width="34.42578125" customWidth="1" outlineLevel="1"/>
    <col min="24" max="24" width="3.5703125" customWidth="1"/>
    <col min="25" max="26" width="30.85546875" style="96" customWidth="1" outlineLevel="1"/>
    <col min="27" max="27" width="37.140625" customWidth="1" outlineLevel="1"/>
    <col min="28" max="32" width="26.5703125" style="96" customWidth="1" outlineLevel="1"/>
    <col min="33" max="34" width="31.140625" style="96" customWidth="1" outlineLevel="1"/>
    <col min="35" max="35" width="32.5703125" style="96" customWidth="1" outlineLevel="1"/>
    <col min="36" max="36" width="43.42578125" style="96" customWidth="1" outlineLevel="1"/>
    <col min="37" max="37" width="133.85546875" style="96" customWidth="1" outlineLevel="1"/>
    <col min="39" max="39" width="21.42578125" hidden="1" customWidth="1"/>
  </cols>
  <sheetData>
    <row r="1" spans="1:39" ht="24" thickBot="1">
      <c r="M1" s="97"/>
      <c r="X1" s="97"/>
      <c r="AM1" t="s">
        <v>8</v>
      </c>
    </row>
    <row r="2" spans="1:39" ht="14.85" customHeight="1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23" t="s">
        <v>1626</v>
      </c>
      <c r="Z2" s="224"/>
      <c r="AA2" s="224"/>
      <c r="AB2" s="224"/>
      <c r="AC2" s="224"/>
      <c r="AD2" s="224"/>
      <c r="AE2" s="224"/>
      <c r="AF2" s="224"/>
      <c r="AG2" s="224"/>
      <c r="AH2" s="224"/>
      <c r="AI2" s="224"/>
      <c r="AJ2" s="224"/>
      <c r="AK2" s="224"/>
      <c r="AM2" t="s">
        <v>10</v>
      </c>
    </row>
    <row r="3" spans="1:39" ht="15" customHeight="1" thickBot="1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25"/>
      <c r="Z3" s="226"/>
      <c r="AA3" s="226"/>
      <c r="AB3" s="226"/>
      <c r="AC3" s="226"/>
      <c r="AD3" s="226"/>
      <c r="AE3" s="226"/>
      <c r="AF3" s="227"/>
      <c r="AG3" s="227"/>
      <c r="AH3" s="227"/>
      <c r="AI3" s="226"/>
      <c r="AJ3" s="227"/>
      <c r="AK3" s="226"/>
      <c r="AM3" t="s">
        <v>1627</v>
      </c>
    </row>
    <row r="4" spans="1:39" s="98" customFormat="1" ht="24" thickBot="1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31" t="s">
        <v>1629</v>
      </c>
      <c r="K4" s="232"/>
      <c r="L4" s="233"/>
      <c r="M4" s="97"/>
      <c r="N4" s="231" t="s">
        <v>1630</v>
      </c>
      <c r="O4" s="233"/>
      <c r="P4" s="97"/>
      <c r="Q4" s="231" t="s">
        <v>1631</v>
      </c>
      <c r="R4" s="233"/>
      <c r="S4" s="97"/>
      <c r="T4" s="231" t="s">
        <v>1632</v>
      </c>
      <c r="U4" s="232"/>
      <c r="V4" s="232"/>
      <c r="W4" s="233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599999999999994" customHeight="1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1668</v>
      </c>
      <c r="AK5" s="107" t="s">
        <v>1669</v>
      </c>
    </row>
    <row r="6" spans="1:39" ht="44.25" hidden="1" customHeight="1">
      <c r="A6" s="108"/>
      <c r="B6" s="108" t="s">
        <v>38</v>
      </c>
      <c r="C6" s="108"/>
      <c r="D6" s="207" t="s">
        <v>1670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1671</v>
      </c>
      <c r="N6" s="112" t="s">
        <v>1672</v>
      </c>
      <c r="O6" s="114" t="s">
        <v>1673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1674</v>
      </c>
      <c r="Z6" s="108" t="s">
        <v>8</v>
      </c>
      <c r="AA6" s="122">
        <v>46280</v>
      </c>
      <c r="AB6" s="122">
        <v>46302</v>
      </c>
      <c r="AC6" s="122" t="s">
        <v>1675</v>
      </c>
      <c r="AD6" s="122" t="s">
        <v>1676</v>
      </c>
      <c r="AE6" s="108" t="s">
        <v>12</v>
      </c>
      <c r="AF6" s="108" t="s">
        <v>12</v>
      </c>
      <c r="AG6" s="122"/>
      <c r="AH6" s="122"/>
      <c r="AI6" s="108"/>
      <c r="AJ6" s="108" t="s">
        <v>1677</v>
      </c>
      <c r="AK6" s="110" t="s">
        <v>1678</v>
      </c>
    </row>
    <row r="7" spans="1:39" ht="44.1" hidden="1" customHeight="1">
      <c r="A7" s="108"/>
      <c r="B7" s="108" t="s">
        <v>949</v>
      </c>
      <c r="C7" s="108"/>
      <c r="D7" s="207" t="s">
        <v>1679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1672</v>
      </c>
      <c r="O7" s="114" t="s">
        <v>1680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1674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1681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1682</v>
      </c>
      <c r="AK7" s="110" t="s">
        <v>1683</v>
      </c>
    </row>
    <row r="8" spans="1:39" ht="44.1" hidden="1" customHeight="1">
      <c r="A8" s="108"/>
      <c r="B8" s="108" t="s">
        <v>40</v>
      </c>
      <c r="C8" s="108"/>
      <c r="D8" s="207" t="s">
        <v>1684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1685</v>
      </c>
      <c r="O8" s="114" t="s">
        <v>1680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1674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1686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1687</v>
      </c>
      <c r="AJ8" s="108" t="s">
        <v>1682</v>
      </c>
      <c r="AK8" s="108" t="s">
        <v>95</v>
      </c>
    </row>
    <row r="9" spans="1:39" ht="44.1" hidden="1" customHeight="1">
      <c r="A9" s="110" t="s">
        <v>1688</v>
      </c>
      <c r="B9" s="108" t="s">
        <v>41</v>
      </c>
      <c r="C9" s="108" t="s">
        <v>1689</v>
      </c>
      <c r="D9" s="110" t="s">
        <v>1690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1691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1674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1686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1692</v>
      </c>
      <c r="AK9" s="147" t="s">
        <v>96</v>
      </c>
    </row>
    <row r="10" spans="1:39" ht="44.1" hidden="1" customHeight="1">
      <c r="A10" s="110" t="s">
        <v>1688</v>
      </c>
      <c r="B10" s="108" t="s">
        <v>44</v>
      </c>
      <c r="C10" s="108" t="s">
        <v>1689</v>
      </c>
      <c r="D10" s="110" t="s">
        <v>1693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1694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1674</v>
      </c>
      <c r="Z10" s="108" t="s">
        <v>8</v>
      </c>
      <c r="AA10" s="122">
        <v>46269</v>
      </c>
      <c r="AB10" s="108" t="s">
        <v>1695</v>
      </c>
      <c r="AC10" s="108" t="s">
        <v>1695</v>
      </c>
      <c r="AD10" s="108" t="s">
        <v>1695</v>
      </c>
      <c r="AE10" s="108" t="s">
        <v>1695</v>
      </c>
      <c r="AF10" s="108" t="s">
        <v>1695</v>
      </c>
      <c r="AG10" s="108" t="s">
        <v>1695</v>
      </c>
      <c r="AH10" s="108" t="s">
        <v>1695</v>
      </c>
      <c r="AI10" s="108" t="s">
        <v>1695</v>
      </c>
      <c r="AJ10" s="108" t="s">
        <v>1695</v>
      </c>
      <c r="AK10" s="108" t="s">
        <v>1696</v>
      </c>
    </row>
    <row r="11" spans="1:39" ht="44.1" hidden="1" customHeight="1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1697</v>
      </c>
      <c r="V11" s="108" t="s">
        <v>1698</v>
      </c>
      <c r="W11" s="121" t="s">
        <v>1699</v>
      </c>
      <c r="Y11" s="108" t="s">
        <v>1674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1686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1682</v>
      </c>
      <c r="AK11" s="108" t="s">
        <v>1700</v>
      </c>
    </row>
    <row r="12" spans="1:39" ht="44.1" hidden="1" customHeight="1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1685</v>
      </c>
      <c r="O12" s="114" t="s">
        <v>1680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1681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1682</v>
      </c>
      <c r="AK12" s="108" t="s">
        <v>1701</v>
      </c>
    </row>
    <row r="13" spans="1:39" ht="44.1" hidden="1" customHeight="1">
      <c r="A13" s="108"/>
      <c r="B13" s="108" t="s">
        <v>979</v>
      </c>
      <c r="C13" s="108"/>
      <c r="D13" s="207" t="s">
        <v>1702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1672</v>
      </c>
      <c r="O13" s="114" t="s">
        <v>1680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/>
      <c r="AD13" s="108" t="s">
        <v>1676</v>
      </c>
      <c r="AE13" s="108" t="s">
        <v>12</v>
      </c>
      <c r="AF13" s="108" t="s">
        <v>12</v>
      </c>
      <c r="AG13" s="108"/>
      <c r="AH13" s="108"/>
      <c r="AI13" s="108"/>
      <c r="AJ13" s="108" t="s">
        <v>1677</v>
      </c>
      <c r="AK13" s="108" t="s">
        <v>1703</v>
      </c>
    </row>
    <row r="14" spans="1:39" ht="44.1" hidden="1" customHeight="1">
      <c r="A14" s="108" t="s">
        <v>1688</v>
      </c>
      <c r="B14" s="108" t="s">
        <v>50</v>
      </c>
      <c r="C14" s="108" t="s">
        <v>1689</v>
      </c>
      <c r="D14" s="207" t="s">
        <v>1704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1691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1674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1686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1692</v>
      </c>
      <c r="AK14" s="147" t="s">
        <v>96</v>
      </c>
    </row>
    <row r="15" spans="1:39" ht="44.1" hidden="1" customHeight="1">
      <c r="A15" s="108" t="s">
        <v>1688</v>
      </c>
      <c r="B15" s="108" t="s">
        <v>52</v>
      </c>
      <c r="C15" s="108" t="s">
        <v>1689</v>
      </c>
      <c r="D15" s="207" t="s">
        <v>1705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1706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1674</v>
      </c>
      <c r="Z15" s="108" t="s">
        <v>10</v>
      </c>
      <c r="AA15" s="122" t="s">
        <v>1695</v>
      </c>
      <c r="AB15" s="122" t="s">
        <v>1695</v>
      </c>
      <c r="AC15" s="122" t="s">
        <v>1695</v>
      </c>
      <c r="AD15" s="122" t="s">
        <v>1695</v>
      </c>
      <c r="AE15" s="122" t="s">
        <v>1695</v>
      </c>
      <c r="AF15" s="122" t="s">
        <v>1695</v>
      </c>
      <c r="AG15" s="122" t="s">
        <v>1695</v>
      </c>
      <c r="AH15" s="122" t="s">
        <v>1695</v>
      </c>
      <c r="AI15" s="122" t="s">
        <v>1695</v>
      </c>
      <c r="AJ15" s="122" t="s">
        <v>1695</v>
      </c>
      <c r="AK15" s="108" t="s">
        <v>1707</v>
      </c>
    </row>
    <row r="16" spans="1:39" ht="44.1" hidden="1" customHeight="1">
      <c r="A16" s="110" t="s">
        <v>1688</v>
      </c>
      <c r="B16" s="108" t="s">
        <v>71</v>
      </c>
      <c r="C16" s="108" t="s">
        <v>1689</v>
      </c>
      <c r="D16" s="110" t="s">
        <v>1708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1709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1674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1686</v>
      </c>
      <c r="AE16" s="108" t="s">
        <v>1675</v>
      </c>
      <c r="AF16" s="108" t="s">
        <v>1675</v>
      </c>
      <c r="AG16" s="108"/>
      <c r="AH16" s="108"/>
      <c r="AI16" s="122"/>
      <c r="AJ16" s="147" t="s">
        <v>1710</v>
      </c>
      <c r="AK16" s="147" t="s">
        <v>1711</v>
      </c>
    </row>
    <row r="17" spans="1:38" ht="44.1" hidden="1" customHeight="1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1673</v>
      </c>
      <c r="O17" s="114" t="s">
        <v>1712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1674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1686</v>
      </c>
      <c r="AE17" s="108" t="s">
        <v>1675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1692</v>
      </c>
      <c r="AK17" s="108" t="s">
        <v>1713</v>
      </c>
    </row>
    <row r="18" spans="1:38" ht="44.1" hidden="1" customHeight="1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1714</v>
      </c>
      <c r="W18" s="121" t="s">
        <v>1715</v>
      </c>
      <c r="Y18" s="108" t="s">
        <v>1674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1686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1682</v>
      </c>
      <c r="AK18" s="108" t="s">
        <v>1716</v>
      </c>
    </row>
    <row r="19" spans="1:38" ht="44.1" hidden="1" customHeight="1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1672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1717</v>
      </c>
      <c r="W19" s="121" t="s">
        <v>1718</v>
      </c>
      <c r="Y19" s="108" t="s">
        <v>1674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1686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1682</v>
      </c>
      <c r="AK19" s="108" t="s">
        <v>1716</v>
      </c>
    </row>
    <row r="20" spans="1:38" ht="44.1" hidden="1" customHeight="1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1719</v>
      </c>
      <c r="N20" s="120" t="s">
        <v>1672</v>
      </c>
      <c r="O20" s="114" t="s">
        <v>1680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1674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1681</v>
      </c>
      <c r="AE20" s="108"/>
      <c r="AF20" s="108"/>
      <c r="AG20" s="108"/>
      <c r="AH20" s="108"/>
      <c r="AI20" s="108"/>
      <c r="AJ20" s="108" t="s">
        <v>1720</v>
      </c>
      <c r="AK20" s="110" t="s">
        <v>1721</v>
      </c>
    </row>
    <row r="21" spans="1:38" ht="44.1" hidden="1" customHeight="1">
      <c r="A21" s="108"/>
      <c r="B21" s="108" t="s">
        <v>73</v>
      </c>
      <c r="C21" s="108" t="s">
        <v>1722</v>
      </c>
      <c r="D21" s="209" t="s">
        <v>1723</v>
      </c>
      <c r="E21" s="108">
        <v>171.51</v>
      </c>
      <c r="F21" s="203">
        <v>96985.81</v>
      </c>
      <c r="G21" s="108" t="s">
        <v>24</v>
      </c>
      <c r="H21" s="110" t="s">
        <v>42</v>
      </c>
      <c r="J21" s="228" t="s">
        <v>12</v>
      </c>
      <c r="K21" s="229"/>
      <c r="L21" s="230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1674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1681</v>
      </c>
      <c r="AE21" s="108" t="s">
        <v>1675</v>
      </c>
      <c r="AF21" s="108" t="s">
        <v>1675</v>
      </c>
      <c r="AG21" s="108"/>
      <c r="AH21" s="108"/>
      <c r="AI21" s="122">
        <v>46285</v>
      </c>
      <c r="AJ21" s="147" t="s">
        <v>1710</v>
      </c>
      <c r="AK21" s="110" t="s">
        <v>1724</v>
      </c>
      <c r="AL21" t="s">
        <v>1725</v>
      </c>
    </row>
    <row r="22" spans="1:38" ht="43.5" hidden="1">
      <c r="A22" s="108"/>
      <c r="B22" s="108" t="s">
        <v>1328</v>
      </c>
      <c r="C22" s="108" t="s">
        <v>1726</v>
      </c>
      <c r="D22" s="108" t="s">
        <v>1727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1728</v>
      </c>
      <c r="N22" s="118" t="s">
        <v>1729</v>
      </c>
      <c r="O22" s="114" t="s">
        <v>1730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1674</v>
      </c>
      <c r="Z22" s="108" t="s">
        <v>12</v>
      </c>
      <c r="AA22" s="122" t="s">
        <v>1695</v>
      </c>
      <c r="AB22" s="122" t="s">
        <v>1695</v>
      </c>
      <c r="AC22" s="122" t="s">
        <v>1695</v>
      </c>
      <c r="AD22" s="122" t="s">
        <v>1695</v>
      </c>
      <c r="AE22" s="122" t="s">
        <v>1695</v>
      </c>
      <c r="AF22" s="122" t="s">
        <v>1695</v>
      </c>
      <c r="AG22" s="122" t="s">
        <v>1695</v>
      </c>
      <c r="AH22" s="122" t="s">
        <v>1695</v>
      </c>
      <c r="AI22" s="122" t="s">
        <v>1695</v>
      </c>
      <c r="AJ22" s="122" t="s">
        <v>1695</v>
      </c>
      <c r="AK22" s="110" t="s">
        <v>1731</v>
      </c>
    </row>
    <row r="23" spans="1:38" ht="43.5" hidden="1">
      <c r="A23" s="110" t="s">
        <v>1688</v>
      </c>
      <c r="B23" s="108" t="s">
        <v>1335</v>
      </c>
      <c r="C23" s="108" t="s">
        <v>1689</v>
      </c>
      <c r="D23" s="108" t="s">
        <v>1732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1733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1674</v>
      </c>
      <c r="Z23" s="108" t="s">
        <v>12</v>
      </c>
      <c r="AA23" s="122" t="s">
        <v>1695</v>
      </c>
      <c r="AB23" s="122" t="s">
        <v>1695</v>
      </c>
      <c r="AC23" s="122" t="s">
        <v>1695</v>
      </c>
      <c r="AD23" s="122" t="s">
        <v>1695</v>
      </c>
      <c r="AE23" s="122" t="s">
        <v>1695</v>
      </c>
      <c r="AF23" s="122" t="s">
        <v>1695</v>
      </c>
      <c r="AG23" s="122" t="s">
        <v>1695</v>
      </c>
      <c r="AH23" s="122" t="s">
        <v>1695</v>
      </c>
      <c r="AI23" s="122" t="s">
        <v>1695</v>
      </c>
      <c r="AJ23" s="122" t="s">
        <v>1695</v>
      </c>
      <c r="AK23" s="110" t="s">
        <v>1731</v>
      </c>
    </row>
    <row r="24" spans="1:38" ht="44.1" hidden="1" customHeight="1">
      <c r="A24" s="110" t="s">
        <v>1688</v>
      </c>
      <c r="B24" s="108" t="s">
        <v>74</v>
      </c>
      <c r="C24" s="108" t="s">
        <v>1689</v>
      </c>
      <c r="D24" s="207" t="s">
        <v>1734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1735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1674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1686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1692</v>
      </c>
      <c r="AK24" s="147" t="s">
        <v>96</v>
      </c>
    </row>
    <row r="25" spans="1:38" ht="43.5" hidden="1">
      <c r="A25" s="110" t="s">
        <v>1688</v>
      </c>
      <c r="B25" s="108" t="s">
        <v>75</v>
      </c>
      <c r="C25" s="108" t="s">
        <v>1689</v>
      </c>
      <c r="D25" s="207" t="s">
        <v>1736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1737</v>
      </c>
      <c r="N25" s="118" t="s">
        <v>1729</v>
      </c>
      <c r="O25" s="114" t="s">
        <v>1730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1674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1681</v>
      </c>
      <c r="AE25" s="108" t="s">
        <v>1675</v>
      </c>
      <c r="AF25" s="108" t="s">
        <v>1675</v>
      </c>
      <c r="AG25" s="108"/>
      <c r="AH25" s="108"/>
      <c r="AI25" s="108"/>
      <c r="AJ25" s="147" t="s">
        <v>1710</v>
      </c>
      <c r="AK25" s="110" t="s">
        <v>1738</v>
      </c>
      <c r="AL25" t="s">
        <v>1725</v>
      </c>
    </row>
    <row r="26" spans="1:38" ht="65.099999999999994" hidden="1" customHeight="1">
      <c r="A26" s="110" t="s">
        <v>1688</v>
      </c>
      <c r="B26" s="108" t="s">
        <v>1342</v>
      </c>
      <c r="C26" s="108" t="s">
        <v>1689</v>
      </c>
      <c r="D26" s="108" t="s">
        <v>1739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1733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1674</v>
      </c>
      <c r="Z26" s="108" t="s">
        <v>12</v>
      </c>
      <c r="AA26" s="122" t="s">
        <v>1695</v>
      </c>
      <c r="AB26" s="122" t="s">
        <v>1695</v>
      </c>
      <c r="AC26" s="122" t="s">
        <v>1695</v>
      </c>
      <c r="AD26" s="122" t="s">
        <v>1695</v>
      </c>
      <c r="AE26" s="122" t="s">
        <v>1695</v>
      </c>
      <c r="AF26" s="122" t="s">
        <v>1695</v>
      </c>
      <c r="AG26" s="122" t="s">
        <v>1695</v>
      </c>
      <c r="AH26" s="122" t="s">
        <v>1695</v>
      </c>
      <c r="AI26" s="122" t="s">
        <v>1695</v>
      </c>
      <c r="AJ26" s="122" t="s">
        <v>1695</v>
      </c>
      <c r="AK26" s="110" t="s">
        <v>1731</v>
      </c>
    </row>
    <row r="27" spans="1:38" ht="44.1" hidden="1" customHeight="1">
      <c r="A27" s="110" t="s">
        <v>1688</v>
      </c>
      <c r="B27" s="108" t="s">
        <v>76</v>
      </c>
      <c r="C27" s="108" t="s">
        <v>1689</v>
      </c>
      <c r="D27" s="207" t="s">
        <v>1740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1737</v>
      </c>
      <c r="N27" s="118" t="s">
        <v>1729</v>
      </c>
      <c r="O27" s="114" t="s">
        <v>1730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1674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1686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1692</v>
      </c>
      <c r="AK27" s="147" t="s">
        <v>96</v>
      </c>
    </row>
    <row r="28" spans="1:38" ht="47.1" hidden="1" customHeight="1">
      <c r="A28" s="110" t="s">
        <v>1741</v>
      </c>
      <c r="B28" s="108" t="s">
        <v>1347</v>
      </c>
      <c r="C28" s="108" t="s">
        <v>1742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1743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1674</v>
      </c>
      <c r="Z28" s="108" t="s">
        <v>8</v>
      </c>
      <c r="AA28" s="122" t="s">
        <v>1695</v>
      </c>
      <c r="AB28" s="122" t="s">
        <v>1695</v>
      </c>
      <c r="AC28" s="122" t="s">
        <v>1695</v>
      </c>
      <c r="AD28" s="122" t="s">
        <v>1695</v>
      </c>
      <c r="AE28" s="122" t="s">
        <v>1695</v>
      </c>
      <c r="AF28" s="122" t="s">
        <v>1695</v>
      </c>
      <c r="AG28" s="122" t="s">
        <v>1695</v>
      </c>
      <c r="AH28" s="122" t="s">
        <v>1695</v>
      </c>
      <c r="AI28" s="122" t="s">
        <v>1695</v>
      </c>
      <c r="AJ28" s="122" t="s">
        <v>1695</v>
      </c>
      <c r="AK28" s="110" t="s">
        <v>1695</v>
      </c>
    </row>
    <row r="29" spans="1:38" ht="44.1" hidden="1" customHeight="1">
      <c r="A29" s="108"/>
      <c r="B29" s="108" t="s">
        <v>1331</v>
      </c>
      <c r="C29" s="108" t="s">
        <v>1744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1745</v>
      </c>
      <c r="O29" s="114" t="s">
        <v>1730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1674</v>
      </c>
      <c r="Z29" s="108" t="s">
        <v>10</v>
      </c>
      <c r="AA29" s="122"/>
      <c r="AB29" s="122"/>
      <c r="AC29" s="108"/>
      <c r="AD29" s="108"/>
      <c r="AE29" s="108"/>
      <c r="AF29" s="108"/>
      <c r="AG29" s="108"/>
      <c r="AH29" s="108"/>
      <c r="AI29" s="108"/>
      <c r="AJ29" s="108" t="s">
        <v>1746</v>
      </c>
      <c r="AK29" s="108"/>
    </row>
    <row r="30" spans="1:38" ht="44.1" customHeight="1">
      <c r="A30" s="188" t="s">
        <v>1747</v>
      </c>
      <c r="B30" s="108" t="s">
        <v>315</v>
      </c>
      <c r="C30" s="108"/>
      <c r="D30" s="207" t="s">
        <v>1748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1674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1686</v>
      </c>
      <c r="AE30" s="108" t="s">
        <v>12</v>
      </c>
      <c r="AF30" s="108" t="s">
        <v>12</v>
      </c>
      <c r="AG30" s="108" t="s">
        <v>1749</v>
      </c>
      <c r="AH30" s="122">
        <v>46247</v>
      </c>
      <c r="AI30" s="108" t="s">
        <v>1749</v>
      </c>
      <c r="AJ30" s="108" t="s">
        <v>1682</v>
      </c>
      <c r="AK30" s="108" t="s">
        <v>98</v>
      </c>
    </row>
    <row r="31" spans="1:38" ht="53.45" hidden="1" customHeight="1">
      <c r="A31" s="188" t="s">
        <v>1688</v>
      </c>
      <c r="B31" s="108" t="s">
        <v>1324</v>
      </c>
      <c r="C31" s="108" t="s">
        <v>1689</v>
      </c>
      <c r="D31" s="207" t="s">
        <v>1750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1751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1674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1686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1692</v>
      </c>
      <c r="AK31" s="110" t="s">
        <v>1752</v>
      </c>
    </row>
    <row r="32" spans="1:38" ht="44.1" hidden="1" customHeight="1">
      <c r="A32" s="189" t="s">
        <v>1741</v>
      </c>
      <c r="B32" s="108" t="s">
        <v>1353</v>
      </c>
      <c r="C32" s="108" t="s">
        <v>1742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1694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1674</v>
      </c>
      <c r="Z32" s="108" t="s">
        <v>10</v>
      </c>
      <c r="AA32" s="108" t="s">
        <v>1695</v>
      </c>
      <c r="AB32" s="108" t="s">
        <v>1695</v>
      </c>
      <c r="AC32" s="108" t="s">
        <v>1695</v>
      </c>
      <c r="AD32" s="108" t="s">
        <v>1695</v>
      </c>
      <c r="AE32" s="108" t="s">
        <v>1695</v>
      </c>
      <c r="AF32" s="108" t="s">
        <v>1695</v>
      </c>
      <c r="AG32" s="108" t="s">
        <v>1695</v>
      </c>
      <c r="AH32" s="108" t="s">
        <v>1695</v>
      </c>
      <c r="AI32" s="108" t="s">
        <v>1695</v>
      </c>
      <c r="AJ32" s="108" t="s">
        <v>1695</v>
      </c>
      <c r="AK32" s="108" t="s">
        <v>1753</v>
      </c>
    </row>
    <row r="33" spans="1:40" ht="44.1" customHeight="1">
      <c r="A33" s="189" t="s">
        <v>1754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1755</v>
      </c>
      <c r="J33" s="108">
        <v>5.75</v>
      </c>
      <c r="K33" s="111" t="s">
        <v>1756</v>
      </c>
      <c r="L33" s="116" t="s">
        <v>1757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1686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1749</v>
      </c>
      <c r="AJ33" s="108" t="s">
        <v>1682</v>
      </c>
      <c r="AK33" s="108" t="s">
        <v>98</v>
      </c>
    </row>
    <row r="34" spans="1:40" ht="44.1" hidden="1" customHeight="1">
      <c r="A34" s="110" t="s">
        <v>1741</v>
      </c>
      <c r="B34" s="108" t="s">
        <v>1345</v>
      </c>
      <c r="C34" s="108" t="s">
        <v>1742</v>
      </c>
      <c r="D34" s="207" t="s">
        <v>1758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1759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1674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1686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1692</v>
      </c>
      <c r="AK34" s="147" t="s">
        <v>96</v>
      </c>
    </row>
    <row r="35" spans="1:40" ht="44.1" hidden="1" customHeight="1">
      <c r="A35" s="110" t="s">
        <v>1741</v>
      </c>
      <c r="B35" s="108" t="s">
        <v>1375</v>
      </c>
      <c r="C35" s="108" t="s">
        <v>1742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1760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1674</v>
      </c>
      <c r="Z35" s="108" t="s">
        <v>8</v>
      </c>
      <c r="AA35" s="122">
        <v>46199</v>
      </c>
      <c r="AB35" s="108" t="s">
        <v>1695</v>
      </c>
      <c r="AC35" s="108" t="s">
        <v>1695</v>
      </c>
      <c r="AD35" s="108" t="s">
        <v>1695</v>
      </c>
      <c r="AE35" s="108" t="s">
        <v>1695</v>
      </c>
      <c r="AF35" s="108" t="s">
        <v>1695</v>
      </c>
      <c r="AG35" s="108" t="s">
        <v>1695</v>
      </c>
      <c r="AH35" s="108" t="s">
        <v>1695</v>
      </c>
      <c r="AI35" s="108" t="s">
        <v>1695</v>
      </c>
      <c r="AJ35" s="108" t="s">
        <v>1695</v>
      </c>
      <c r="AK35" s="108" t="s">
        <v>1695</v>
      </c>
    </row>
    <row r="36" spans="1:40" ht="44.1" hidden="1" customHeight="1">
      <c r="A36" s="110" t="s">
        <v>1741</v>
      </c>
      <c r="B36" s="108" t="s">
        <v>1358</v>
      </c>
      <c r="C36" s="108" t="s">
        <v>1742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1761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1674</v>
      </c>
      <c r="Z36" s="108" t="s">
        <v>8</v>
      </c>
      <c r="AA36" s="122">
        <v>46199</v>
      </c>
      <c r="AB36" s="108" t="s">
        <v>1695</v>
      </c>
      <c r="AC36" s="108" t="s">
        <v>1695</v>
      </c>
      <c r="AD36" s="108" t="s">
        <v>1695</v>
      </c>
      <c r="AE36" s="108" t="s">
        <v>1695</v>
      </c>
      <c r="AF36" s="108" t="s">
        <v>1695</v>
      </c>
      <c r="AG36" s="108" t="s">
        <v>1695</v>
      </c>
      <c r="AH36" s="108" t="s">
        <v>1695</v>
      </c>
      <c r="AI36" s="108" t="s">
        <v>1695</v>
      </c>
      <c r="AJ36" s="108" t="s">
        <v>1695</v>
      </c>
      <c r="AK36" s="108" t="s">
        <v>1695</v>
      </c>
    </row>
    <row r="37" spans="1:40" ht="44.1" hidden="1" customHeight="1">
      <c r="A37" s="110" t="s">
        <v>1741</v>
      </c>
      <c r="B37" s="108" t="s">
        <v>1372</v>
      </c>
      <c r="C37" s="108" t="s">
        <v>1742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1762</v>
      </c>
      <c r="L37" s="116" t="s">
        <v>1763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1674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1686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1692</v>
      </c>
      <c r="AK37" s="108" t="s">
        <v>1764</v>
      </c>
    </row>
    <row r="38" spans="1:40" ht="44.1" hidden="1" customHeight="1">
      <c r="A38" s="110" t="s">
        <v>1741</v>
      </c>
      <c r="B38" s="108" t="s">
        <v>1399</v>
      </c>
      <c r="C38" s="108" t="s">
        <v>1742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1761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1674</v>
      </c>
      <c r="Z38" s="108" t="s">
        <v>10</v>
      </c>
      <c r="AA38" s="122">
        <v>46199</v>
      </c>
      <c r="AB38" s="108" t="s">
        <v>1695</v>
      </c>
      <c r="AC38" s="108" t="s">
        <v>1695</v>
      </c>
      <c r="AD38" s="108" t="s">
        <v>1695</v>
      </c>
      <c r="AE38" s="108" t="s">
        <v>1695</v>
      </c>
      <c r="AF38" s="108" t="s">
        <v>1695</v>
      </c>
      <c r="AG38" s="108" t="s">
        <v>1695</v>
      </c>
      <c r="AH38" s="108" t="s">
        <v>1695</v>
      </c>
      <c r="AI38" s="108" t="s">
        <v>1695</v>
      </c>
      <c r="AJ38" s="108" t="s">
        <v>1695</v>
      </c>
      <c r="AK38" s="108" t="s">
        <v>1695</v>
      </c>
    </row>
    <row r="39" spans="1:40" ht="44.1" hidden="1" customHeight="1">
      <c r="A39" s="110" t="s">
        <v>1765</v>
      </c>
      <c r="B39" s="108" t="s">
        <v>1766</v>
      </c>
      <c r="C39" s="108" t="s">
        <v>1767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1768</v>
      </c>
      <c r="L39" s="116" t="s">
        <v>1761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1674</v>
      </c>
      <c r="Z39" s="108" t="s">
        <v>10</v>
      </c>
      <c r="AA39" s="122">
        <v>46199</v>
      </c>
      <c r="AB39" s="108" t="s">
        <v>1695</v>
      </c>
      <c r="AC39" s="108" t="s">
        <v>1695</v>
      </c>
      <c r="AD39" s="108" t="s">
        <v>1695</v>
      </c>
      <c r="AE39" s="108" t="s">
        <v>1695</v>
      </c>
      <c r="AF39" s="108" t="s">
        <v>1695</v>
      </c>
      <c r="AG39" s="108" t="s">
        <v>1695</v>
      </c>
      <c r="AH39" s="108" t="s">
        <v>1695</v>
      </c>
      <c r="AI39" s="108" t="s">
        <v>1695</v>
      </c>
      <c r="AJ39" s="108" t="s">
        <v>1695</v>
      </c>
      <c r="AK39" s="108" t="s">
        <v>1695</v>
      </c>
    </row>
    <row r="40" spans="1:40" ht="44.1" customHeight="1">
      <c r="A40" s="189" t="s">
        <v>1769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1674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1686</v>
      </c>
      <c r="AE40" s="108" t="s">
        <v>12</v>
      </c>
      <c r="AF40" s="108" t="s">
        <v>12</v>
      </c>
      <c r="AG40" s="108" t="s">
        <v>1749</v>
      </c>
      <c r="AH40" s="122">
        <v>46247</v>
      </c>
      <c r="AI40" s="108" t="s">
        <v>1749</v>
      </c>
      <c r="AJ40" s="108" t="s">
        <v>1682</v>
      </c>
      <c r="AK40" s="108"/>
    </row>
    <row r="41" spans="1:40" ht="44.1" hidden="1" customHeight="1">
      <c r="A41" s="110" t="s">
        <v>1765</v>
      </c>
      <c r="B41" s="108" t="s">
        <v>1409</v>
      </c>
      <c r="C41" s="108" t="s">
        <v>1767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1770</v>
      </c>
      <c r="L41" s="116" t="s">
        <v>1761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/>
      <c r="AE41" s="108"/>
      <c r="AF41" s="108"/>
      <c r="AG41" s="108"/>
      <c r="AH41" s="108"/>
      <c r="AI41" s="108"/>
      <c r="AJ41" s="108" t="s">
        <v>1746</v>
      </c>
      <c r="AK41" s="108"/>
    </row>
    <row r="42" spans="1:40" ht="44.1" hidden="1" customHeight="1">
      <c r="A42" s="110" t="s">
        <v>1765</v>
      </c>
      <c r="B42" s="108" t="s">
        <v>1418</v>
      </c>
      <c r="C42" s="108" t="s">
        <v>1767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1706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/>
      <c r="AE42" s="108"/>
      <c r="AF42" s="108"/>
      <c r="AG42" s="108"/>
      <c r="AH42" s="108"/>
      <c r="AI42" s="108"/>
      <c r="AJ42" s="108" t="s">
        <v>1746</v>
      </c>
      <c r="AK42" s="108"/>
    </row>
    <row r="43" spans="1:40" ht="44.1" hidden="1" customHeight="1">
      <c r="A43" s="110" t="s">
        <v>1741</v>
      </c>
      <c r="B43" s="108" t="s">
        <v>1771</v>
      </c>
      <c r="C43" s="108" t="s">
        <v>1742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1760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1674</v>
      </c>
      <c r="Z43" s="108" t="s">
        <v>8</v>
      </c>
      <c r="AA43" s="108" t="s">
        <v>1695</v>
      </c>
      <c r="AB43" s="108" t="s">
        <v>1695</v>
      </c>
      <c r="AC43" s="108" t="s">
        <v>1695</v>
      </c>
      <c r="AD43" s="108" t="s">
        <v>1695</v>
      </c>
      <c r="AE43" s="108" t="s">
        <v>1695</v>
      </c>
      <c r="AF43" s="108" t="s">
        <v>1695</v>
      </c>
      <c r="AG43" s="108" t="s">
        <v>1695</v>
      </c>
      <c r="AH43" s="108" t="s">
        <v>1695</v>
      </c>
      <c r="AI43" s="108" t="s">
        <v>1695</v>
      </c>
      <c r="AJ43" s="108" t="s">
        <v>1695</v>
      </c>
      <c r="AK43" s="108"/>
    </row>
    <row r="44" spans="1:40" ht="44.1" hidden="1" customHeight="1">
      <c r="A44" s="110" t="s">
        <v>1765</v>
      </c>
      <c r="B44" s="108" t="s">
        <v>1423</v>
      </c>
      <c r="C44" s="108" t="s">
        <v>1767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1760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/>
      <c r="AE44" s="108"/>
      <c r="AF44" s="108"/>
      <c r="AG44" s="108"/>
      <c r="AH44" s="108"/>
      <c r="AI44" s="108"/>
      <c r="AJ44" s="108" t="s">
        <v>1746</v>
      </c>
      <c r="AK44" s="108"/>
    </row>
    <row r="45" spans="1:40" ht="44.1" hidden="1" customHeight="1">
      <c r="A45" s="110" t="s">
        <v>1741</v>
      </c>
      <c r="B45" s="108" t="s">
        <v>574</v>
      </c>
      <c r="C45" s="108" t="s">
        <v>1742</v>
      </c>
      <c r="D45" s="209" t="s">
        <v>1772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1763</v>
      </c>
      <c r="N45" s="118" t="s">
        <v>1745</v>
      </c>
      <c r="O45" s="114" t="s">
        <v>1730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1674</v>
      </c>
      <c r="Z45" s="108" t="s">
        <v>10</v>
      </c>
      <c r="AA45" s="108" t="s">
        <v>1695</v>
      </c>
      <c r="AB45" s="108" t="s">
        <v>1695</v>
      </c>
      <c r="AC45" s="108" t="s">
        <v>1695</v>
      </c>
      <c r="AD45" s="108" t="s">
        <v>1695</v>
      </c>
      <c r="AE45" s="108" t="s">
        <v>1695</v>
      </c>
      <c r="AF45" s="108" t="s">
        <v>1695</v>
      </c>
      <c r="AG45" s="108" t="s">
        <v>1695</v>
      </c>
      <c r="AH45" s="108" t="s">
        <v>1695</v>
      </c>
      <c r="AI45" s="108" t="s">
        <v>1695</v>
      </c>
      <c r="AJ45" s="212" t="s">
        <v>1695</v>
      </c>
      <c r="AK45" s="108" t="s">
        <v>1696</v>
      </c>
    </row>
    <row r="46" spans="1:40" s="190" customFormat="1" ht="44.1" hidden="1" customHeight="1">
      <c r="A46" s="108"/>
      <c r="B46" s="108" t="s">
        <v>1360</v>
      </c>
      <c r="C46" s="108" t="s">
        <v>1744</v>
      </c>
      <c r="D46" s="108" t="s">
        <v>1773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1674</v>
      </c>
      <c r="Z46" s="122" t="s">
        <v>8</v>
      </c>
      <c r="AA46" s="122">
        <v>46199</v>
      </c>
      <c r="AB46" s="108" t="s">
        <v>1695</v>
      </c>
      <c r="AC46" s="108" t="s">
        <v>1695</v>
      </c>
      <c r="AD46" s="108" t="s">
        <v>1695</v>
      </c>
      <c r="AE46" s="108" t="s">
        <v>1695</v>
      </c>
      <c r="AF46" s="108" t="s">
        <v>1695</v>
      </c>
      <c r="AG46" s="108" t="s">
        <v>1695</v>
      </c>
      <c r="AH46" s="108" t="s">
        <v>1695</v>
      </c>
      <c r="AI46" s="108" t="s">
        <v>1695</v>
      </c>
      <c r="AJ46" s="108" t="s">
        <v>1695</v>
      </c>
      <c r="AK46" s="148"/>
      <c r="AL46"/>
      <c r="AM46"/>
      <c r="AN46"/>
    </row>
    <row r="47" spans="1:40" ht="44.1" hidden="1" customHeight="1">
      <c r="A47" s="110" t="s">
        <v>1741</v>
      </c>
      <c r="B47" s="108" t="s">
        <v>926</v>
      </c>
      <c r="C47" s="108" t="s">
        <v>1742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1774</v>
      </c>
      <c r="L47" s="116" t="s">
        <v>1761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1674</v>
      </c>
      <c r="Z47" s="108" t="s">
        <v>8</v>
      </c>
      <c r="AA47" s="122">
        <v>46199</v>
      </c>
      <c r="AB47" s="122">
        <v>46245</v>
      </c>
      <c r="AC47" s="108" t="s">
        <v>1695</v>
      </c>
      <c r="AD47" s="108" t="s">
        <v>1695</v>
      </c>
      <c r="AE47" s="108" t="s">
        <v>1695</v>
      </c>
      <c r="AF47" s="108" t="s">
        <v>1695</v>
      </c>
      <c r="AG47" s="108" t="s">
        <v>1695</v>
      </c>
      <c r="AH47" s="108" t="s">
        <v>1695</v>
      </c>
      <c r="AI47" s="108" t="s">
        <v>1695</v>
      </c>
      <c r="AJ47" s="213" t="s">
        <v>1695</v>
      </c>
      <c r="AK47" s="108"/>
    </row>
    <row r="48" spans="1:40" ht="44.1" hidden="1" customHeight="1">
      <c r="A48" s="110" t="s">
        <v>1765</v>
      </c>
      <c r="B48" s="108" t="s">
        <v>1404</v>
      </c>
      <c r="C48" s="108" t="s">
        <v>1767</v>
      </c>
      <c r="D48" s="209" t="s">
        <v>1775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1760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/>
      <c r="AE48" s="108"/>
      <c r="AF48" s="108"/>
      <c r="AG48" s="108"/>
      <c r="AH48" s="108"/>
      <c r="AI48" s="108"/>
      <c r="AJ48" s="108" t="s">
        <v>1746</v>
      </c>
      <c r="AK48" s="108"/>
    </row>
    <row r="49" spans="1:37" ht="44.1" hidden="1" customHeight="1">
      <c r="A49" s="110" t="s">
        <v>1765</v>
      </c>
      <c r="B49" s="108" t="s">
        <v>1380</v>
      </c>
      <c r="C49" s="108" t="s">
        <v>1767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1768</v>
      </c>
      <c r="L49" s="116" t="s">
        <v>1761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1674</v>
      </c>
      <c r="Z49" s="108" t="s">
        <v>8</v>
      </c>
      <c r="AA49" s="122">
        <v>46217</v>
      </c>
      <c r="AB49" s="122">
        <v>46245</v>
      </c>
      <c r="AC49" s="108" t="s">
        <v>1695</v>
      </c>
      <c r="AD49" s="108" t="s">
        <v>1695</v>
      </c>
      <c r="AE49" s="108" t="s">
        <v>1695</v>
      </c>
      <c r="AF49" s="108" t="s">
        <v>1695</v>
      </c>
      <c r="AG49" s="108" t="s">
        <v>1695</v>
      </c>
      <c r="AH49" s="108" t="s">
        <v>1695</v>
      </c>
      <c r="AI49" s="108" t="s">
        <v>1695</v>
      </c>
      <c r="AJ49" s="108" t="s">
        <v>1695</v>
      </c>
      <c r="AK49" s="108"/>
    </row>
    <row r="50" spans="1:37" ht="44.1" hidden="1" customHeight="1">
      <c r="A50" s="110" t="s">
        <v>1765</v>
      </c>
      <c r="B50" s="108" t="s">
        <v>1425</v>
      </c>
      <c r="C50" s="108" t="s">
        <v>1767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1761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/>
      <c r="AE50" s="108"/>
      <c r="AF50" s="108"/>
      <c r="AG50" s="108"/>
      <c r="AH50" s="108"/>
      <c r="AI50" s="108"/>
      <c r="AJ50" s="108" t="s">
        <v>1746</v>
      </c>
      <c r="AK50" s="108"/>
    </row>
    <row r="51" spans="1:37" ht="44.1" hidden="1" customHeight="1">
      <c r="A51" s="110" t="s">
        <v>1765</v>
      </c>
      <c r="B51" s="108" t="s">
        <v>1435</v>
      </c>
      <c r="C51" s="108" t="s">
        <v>1767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1760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/>
      <c r="AE51" s="108"/>
      <c r="AF51" s="108"/>
      <c r="AG51" s="108"/>
      <c r="AH51" s="108"/>
      <c r="AI51" s="108"/>
      <c r="AJ51" s="108" t="s">
        <v>1746</v>
      </c>
      <c r="AK51" s="108"/>
    </row>
    <row r="52" spans="1:37" ht="44.1" hidden="1" customHeight="1">
      <c r="A52" s="110" t="s">
        <v>1765</v>
      </c>
      <c r="B52" s="108" t="s">
        <v>1422</v>
      </c>
      <c r="C52" s="108" t="s">
        <v>1767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1760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/>
      <c r="AE52" s="108"/>
      <c r="AF52" s="108"/>
      <c r="AG52" s="108"/>
      <c r="AH52" s="108"/>
      <c r="AI52" s="108"/>
      <c r="AJ52" s="108" t="s">
        <v>1746</v>
      </c>
      <c r="AK52" s="108"/>
    </row>
    <row r="53" spans="1:37" ht="44.1" hidden="1" customHeight="1">
      <c r="A53" s="110" t="s">
        <v>1741</v>
      </c>
      <c r="B53" s="108" t="s">
        <v>1390</v>
      </c>
      <c r="C53" s="108" t="s">
        <v>1742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1776</v>
      </c>
      <c r="L53" s="116" t="s">
        <v>1777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1674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1686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1692</v>
      </c>
      <c r="AK53" s="108" t="s">
        <v>1764</v>
      </c>
    </row>
    <row r="54" spans="1:37" ht="44.1" hidden="1" customHeight="1">
      <c r="A54" s="110" t="s">
        <v>1741</v>
      </c>
      <c r="B54" s="108" t="s">
        <v>1778</v>
      </c>
      <c r="C54" s="108" t="s">
        <v>1742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1779</v>
      </c>
      <c r="J54" s="111">
        <v>4</v>
      </c>
      <c r="K54" s="111" t="s">
        <v>1780</v>
      </c>
      <c r="L54" s="116" t="s">
        <v>1781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1674</v>
      </c>
      <c r="Z54" s="108" t="s">
        <v>8</v>
      </c>
      <c r="AA54" s="122">
        <v>46199</v>
      </c>
      <c r="AB54" s="122" t="s">
        <v>1695</v>
      </c>
      <c r="AC54" s="122" t="s">
        <v>1695</v>
      </c>
      <c r="AD54" s="122" t="s">
        <v>1695</v>
      </c>
      <c r="AE54" s="122" t="s">
        <v>1695</v>
      </c>
      <c r="AF54" s="122" t="s">
        <v>1695</v>
      </c>
      <c r="AG54" s="122" t="s">
        <v>1695</v>
      </c>
      <c r="AH54" s="122" t="s">
        <v>1695</v>
      </c>
      <c r="AI54" s="122" t="s">
        <v>1695</v>
      </c>
      <c r="AJ54" s="122" t="s">
        <v>1695</v>
      </c>
      <c r="AK54" s="108" t="s">
        <v>1782</v>
      </c>
    </row>
    <row r="55" spans="1:37" ht="44.1" hidden="1" customHeight="1">
      <c r="A55" s="110" t="s">
        <v>1765</v>
      </c>
      <c r="B55" s="108" t="s">
        <v>1467</v>
      </c>
      <c r="C55" s="108" t="s">
        <v>1767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1760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/>
      <c r="AE55" s="108"/>
      <c r="AF55" s="108"/>
      <c r="AG55" s="108"/>
      <c r="AH55" s="108"/>
      <c r="AI55" s="108"/>
      <c r="AJ55" s="108" t="s">
        <v>1746</v>
      </c>
      <c r="AK55" s="108"/>
    </row>
    <row r="56" spans="1:37" ht="44.1" hidden="1" customHeight="1">
      <c r="A56" s="110" t="s">
        <v>1765</v>
      </c>
      <c r="B56" s="108" t="s">
        <v>1430</v>
      </c>
      <c r="C56" s="108" t="s">
        <v>1767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1761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/>
      <c r="AE56" s="108"/>
      <c r="AF56" s="108"/>
      <c r="AG56" s="108"/>
      <c r="AH56" s="108"/>
      <c r="AI56" s="108"/>
      <c r="AJ56" s="108" t="s">
        <v>1746</v>
      </c>
      <c r="AK56" s="108"/>
    </row>
    <row r="57" spans="1:37" ht="44.1" hidden="1" customHeight="1">
      <c r="A57" s="110" t="s">
        <v>1741</v>
      </c>
      <c r="B57" s="108" t="s">
        <v>1401</v>
      </c>
      <c r="C57" s="108" t="s">
        <v>1742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1783</v>
      </c>
      <c r="L57" s="116" t="s">
        <v>1761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1674</v>
      </c>
      <c r="Z57" s="108" t="s">
        <v>8</v>
      </c>
      <c r="AA57" s="122">
        <v>46199</v>
      </c>
      <c r="AB57" s="122">
        <v>46245</v>
      </c>
      <c r="AC57" s="108" t="s">
        <v>1695</v>
      </c>
      <c r="AD57" s="108" t="s">
        <v>1695</v>
      </c>
      <c r="AE57" s="108" t="s">
        <v>1695</v>
      </c>
      <c r="AF57" s="108" t="s">
        <v>1695</v>
      </c>
      <c r="AG57" s="108" t="s">
        <v>1695</v>
      </c>
      <c r="AH57" s="108" t="s">
        <v>1695</v>
      </c>
      <c r="AI57" s="108" t="s">
        <v>1695</v>
      </c>
      <c r="AJ57" s="108" t="s">
        <v>1695</v>
      </c>
      <c r="AK57" s="108"/>
    </row>
    <row r="58" spans="1:37" ht="44.1" hidden="1" customHeight="1">
      <c r="A58" s="110" t="s">
        <v>1765</v>
      </c>
      <c r="B58" s="108" t="s">
        <v>1386</v>
      </c>
      <c r="C58" s="108" t="s">
        <v>1767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1763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/>
      <c r="AE58" s="108"/>
      <c r="AF58" s="108"/>
      <c r="AG58" s="108"/>
      <c r="AH58" s="108"/>
      <c r="AI58" s="108"/>
      <c r="AJ58" s="108" t="s">
        <v>1746</v>
      </c>
      <c r="AK58" s="108"/>
    </row>
    <row r="59" spans="1:37" ht="44.1" hidden="1" customHeight="1">
      <c r="A59" s="110" t="s">
        <v>1741</v>
      </c>
      <c r="B59" s="108" t="s">
        <v>1365</v>
      </c>
      <c r="C59" s="108" t="s">
        <v>1742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1784</v>
      </c>
      <c r="L59" s="116" t="s">
        <v>1763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1674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1686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1692</v>
      </c>
      <c r="AK59" s="108" t="s">
        <v>1764</v>
      </c>
    </row>
    <row r="60" spans="1:37" ht="44.1" hidden="1" customHeight="1">
      <c r="A60" s="110" t="s">
        <v>1741</v>
      </c>
      <c r="B60" s="108" t="s">
        <v>1458</v>
      </c>
      <c r="C60" s="108" t="s">
        <v>1742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1763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1674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1686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1692</v>
      </c>
      <c r="AK60" s="108" t="s">
        <v>1764</v>
      </c>
    </row>
    <row r="61" spans="1:37" ht="44.1" customHeight="1">
      <c r="A61" s="189" t="s">
        <v>1785</v>
      </c>
      <c r="B61" s="108" t="s">
        <v>430</v>
      </c>
      <c r="C61" s="108"/>
      <c r="D61" s="207" t="s">
        <v>1786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1787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08" t="s">
        <v>1695</v>
      </c>
      <c r="AE61" s="108" t="s">
        <v>1695</v>
      </c>
      <c r="AF61" s="108" t="s">
        <v>1695</v>
      </c>
      <c r="AG61" s="108" t="s">
        <v>1695</v>
      </c>
      <c r="AH61" s="108" t="s">
        <v>1695</v>
      </c>
      <c r="AI61" s="108" t="s">
        <v>1695</v>
      </c>
      <c r="AJ61" s="108" t="s">
        <v>1695</v>
      </c>
      <c r="AK61" s="108" t="s">
        <v>1788</v>
      </c>
    </row>
    <row r="62" spans="1:37" ht="44.1" hidden="1" customHeight="1">
      <c r="A62" s="110" t="s">
        <v>1741</v>
      </c>
      <c r="B62" s="108" t="s">
        <v>1439</v>
      </c>
      <c r="C62" s="108" t="s">
        <v>1742</v>
      </c>
      <c r="D62" s="207" t="s">
        <v>1789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1706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1674</v>
      </c>
      <c r="Z62" s="108" t="s">
        <v>10</v>
      </c>
      <c r="AA62" s="122">
        <v>46199</v>
      </c>
      <c r="AB62" s="108" t="s">
        <v>1695</v>
      </c>
      <c r="AC62" s="108" t="s">
        <v>1695</v>
      </c>
      <c r="AD62" s="108" t="s">
        <v>1695</v>
      </c>
      <c r="AE62" s="108" t="s">
        <v>1695</v>
      </c>
      <c r="AF62" s="108" t="s">
        <v>1695</v>
      </c>
      <c r="AG62" s="108" t="s">
        <v>1695</v>
      </c>
      <c r="AH62" s="108" t="s">
        <v>1695</v>
      </c>
      <c r="AI62" s="108" t="s">
        <v>1695</v>
      </c>
      <c r="AJ62" s="108" t="s">
        <v>1695</v>
      </c>
      <c r="AK62" s="108" t="s">
        <v>1790</v>
      </c>
    </row>
    <row r="63" spans="1:37" ht="44.1" hidden="1" customHeight="1">
      <c r="A63" s="110" t="s">
        <v>1765</v>
      </c>
      <c r="B63" s="108" t="s">
        <v>1388</v>
      </c>
      <c r="C63" s="108" t="s">
        <v>1767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1761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/>
      <c r="AE63" s="108"/>
      <c r="AF63" s="108"/>
      <c r="AG63" s="108"/>
      <c r="AH63" s="108"/>
      <c r="AI63" s="108"/>
      <c r="AJ63" s="108" t="s">
        <v>1746</v>
      </c>
      <c r="AK63" s="108"/>
    </row>
    <row r="64" spans="1:37" ht="44.1" hidden="1" customHeight="1">
      <c r="A64" s="110" t="s">
        <v>1741</v>
      </c>
      <c r="B64" s="108" t="s">
        <v>1444</v>
      </c>
      <c r="C64" s="108" t="s">
        <v>1742</v>
      </c>
      <c r="D64" s="207" t="s">
        <v>1791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1784</v>
      </c>
      <c r="L64" s="116" t="s">
        <v>1761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1674</v>
      </c>
      <c r="Z64" s="108" t="s">
        <v>8</v>
      </c>
      <c r="AA64" s="122">
        <v>46199</v>
      </c>
      <c r="AB64" s="108" t="s">
        <v>1695</v>
      </c>
      <c r="AC64" s="108" t="s">
        <v>1695</v>
      </c>
      <c r="AD64" s="108" t="s">
        <v>1695</v>
      </c>
      <c r="AE64" s="108" t="s">
        <v>1695</v>
      </c>
      <c r="AF64" s="108" t="s">
        <v>1695</v>
      </c>
      <c r="AG64" s="108" t="s">
        <v>1695</v>
      </c>
      <c r="AH64" s="108" t="s">
        <v>1695</v>
      </c>
      <c r="AI64" s="108" t="s">
        <v>1695</v>
      </c>
      <c r="AJ64" s="108" t="s">
        <v>1695</v>
      </c>
      <c r="AK64" s="108"/>
    </row>
    <row r="65" spans="1:37" ht="44.1" hidden="1" customHeight="1">
      <c r="A65" s="110" t="s">
        <v>1741</v>
      </c>
      <c r="B65" s="108" t="s">
        <v>1419</v>
      </c>
      <c r="C65" s="108" t="s">
        <v>1742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1792</v>
      </c>
      <c r="L65" s="116" t="s">
        <v>1763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1674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1686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1692</v>
      </c>
      <c r="AK65" s="108" t="s">
        <v>1764</v>
      </c>
    </row>
    <row r="66" spans="1:37" ht="44.1" hidden="1" customHeight="1">
      <c r="A66" s="110" t="s">
        <v>1741</v>
      </c>
      <c r="B66" s="108" t="s">
        <v>1411</v>
      </c>
      <c r="C66" s="108" t="s">
        <v>1742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1763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1674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1686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1692</v>
      </c>
      <c r="AK66" s="108" t="s">
        <v>1764</v>
      </c>
    </row>
    <row r="67" spans="1:37" ht="44.1" hidden="1" customHeight="1">
      <c r="A67" s="110" t="s">
        <v>1741</v>
      </c>
      <c r="B67" s="108" t="s">
        <v>1383</v>
      </c>
      <c r="C67" s="108" t="s">
        <v>1742</v>
      </c>
      <c r="D67" s="207" t="s">
        <v>1793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1760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1674</v>
      </c>
      <c r="Z67" s="108" t="s">
        <v>10</v>
      </c>
      <c r="AA67" s="122">
        <v>46199</v>
      </c>
      <c r="AB67" s="108" t="s">
        <v>1695</v>
      </c>
      <c r="AC67" s="108" t="s">
        <v>1695</v>
      </c>
      <c r="AD67" s="108" t="s">
        <v>1695</v>
      </c>
      <c r="AE67" s="108" t="s">
        <v>1695</v>
      </c>
      <c r="AF67" s="108" t="s">
        <v>1695</v>
      </c>
      <c r="AG67" s="108" t="s">
        <v>1695</v>
      </c>
      <c r="AH67" s="108" t="s">
        <v>1695</v>
      </c>
      <c r="AI67" s="108" t="s">
        <v>1695</v>
      </c>
      <c r="AJ67" s="108" t="s">
        <v>1695</v>
      </c>
      <c r="AK67" s="108" t="s">
        <v>1790</v>
      </c>
    </row>
    <row r="68" spans="1:37" ht="44.1" hidden="1" customHeight="1">
      <c r="A68" s="110" t="s">
        <v>1741</v>
      </c>
      <c r="B68" s="108" t="s">
        <v>1395</v>
      </c>
      <c r="C68" s="108" t="s">
        <v>1742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1794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1674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1686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1692</v>
      </c>
      <c r="AK68" s="108" t="s">
        <v>1764</v>
      </c>
    </row>
    <row r="69" spans="1:37" ht="44.1" hidden="1" customHeight="1">
      <c r="A69" s="110" t="s">
        <v>1741</v>
      </c>
      <c r="B69" s="108" t="s">
        <v>1416</v>
      </c>
      <c r="C69" s="108" t="s">
        <v>1742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1763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1674</v>
      </c>
      <c r="Z69" s="108" t="s">
        <v>8</v>
      </c>
      <c r="AA69" s="122">
        <v>46199</v>
      </c>
      <c r="AB69" s="108" t="s">
        <v>1695</v>
      </c>
      <c r="AC69" s="108" t="s">
        <v>1695</v>
      </c>
      <c r="AD69" s="108" t="s">
        <v>1695</v>
      </c>
      <c r="AE69" s="108" t="s">
        <v>1695</v>
      </c>
      <c r="AF69" s="108" t="s">
        <v>1695</v>
      </c>
      <c r="AG69" s="108" t="s">
        <v>1695</v>
      </c>
      <c r="AH69" s="108" t="s">
        <v>1695</v>
      </c>
      <c r="AI69" s="108" t="s">
        <v>1695</v>
      </c>
      <c r="AJ69" s="108" t="s">
        <v>1695</v>
      </c>
      <c r="AK69" s="108"/>
    </row>
    <row r="70" spans="1:37" ht="44.1" hidden="1" customHeight="1">
      <c r="A70" s="110" t="s">
        <v>1741</v>
      </c>
      <c r="B70" s="108" t="s">
        <v>1447</v>
      </c>
      <c r="C70" s="108" t="s">
        <v>1742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1761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1674</v>
      </c>
      <c r="Z70" s="108" t="s">
        <v>8</v>
      </c>
      <c r="AA70" s="122">
        <v>46199</v>
      </c>
      <c r="AB70" s="108" t="s">
        <v>1695</v>
      </c>
      <c r="AC70" s="108" t="s">
        <v>1695</v>
      </c>
      <c r="AD70" s="108" t="s">
        <v>1695</v>
      </c>
      <c r="AE70" s="108" t="s">
        <v>1695</v>
      </c>
      <c r="AF70" s="108" t="s">
        <v>1695</v>
      </c>
      <c r="AG70" s="108" t="s">
        <v>1695</v>
      </c>
      <c r="AH70" s="108" t="s">
        <v>1695</v>
      </c>
      <c r="AI70" s="108" t="s">
        <v>1695</v>
      </c>
      <c r="AJ70" s="108" t="s">
        <v>1695</v>
      </c>
      <c r="AK70" s="108"/>
    </row>
    <row r="71" spans="1:37" ht="44.1" hidden="1" customHeight="1">
      <c r="A71" s="110" t="s">
        <v>1765</v>
      </c>
      <c r="B71" s="108" t="s">
        <v>1480</v>
      </c>
      <c r="C71" s="108" t="s">
        <v>1767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1768</v>
      </c>
      <c r="L71" s="116" t="s">
        <v>1761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1746</v>
      </c>
      <c r="AK71" s="108"/>
    </row>
    <row r="72" spans="1:37" ht="44.1" hidden="1" customHeight="1">
      <c r="A72" s="110" t="s">
        <v>1765</v>
      </c>
      <c r="B72" s="108" t="s">
        <v>1378</v>
      </c>
      <c r="C72" s="108" t="s">
        <v>1767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1761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1674</v>
      </c>
      <c r="Z72" s="108" t="s">
        <v>8</v>
      </c>
      <c r="AA72" s="122">
        <v>46199</v>
      </c>
      <c r="AB72" s="108" t="s">
        <v>1695</v>
      </c>
      <c r="AC72" s="108" t="s">
        <v>1695</v>
      </c>
      <c r="AD72" s="108" t="s">
        <v>1695</v>
      </c>
      <c r="AE72" s="108" t="s">
        <v>1695</v>
      </c>
      <c r="AF72" s="108" t="s">
        <v>1695</v>
      </c>
      <c r="AG72" s="108" t="s">
        <v>1695</v>
      </c>
      <c r="AH72" s="108" t="s">
        <v>1695</v>
      </c>
      <c r="AI72" s="108" t="s">
        <v>1695</v>
      </c>
      <c r="AJ72" s="108" t="s">
        <v>1695</v>
      </c>
      <c r="AK72" s="108"/>
    </row>
    <row r="73" spans="1:37" ht="44.1" hidden="1" customHeight="1">
      <c r="A73" s="110" t="s">
        <v>1741</v>
      </c>
      <c r="B73" s="108" t="s">
        <v>1394</v>
      </c>
      <c r="C73" s="108" t="s">
        <v>1742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1760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1674</v>
      </c>
      <c r="Z73" s="108" t="s">
        <v>10</v>
      </c>
      <c r="AA73" s="122">
        <v>46199</v>
      </c>
      <c r="AB73" s="108" t="s">
        <v>1695</v>
      </c>
      <c r="AC73" s="108" t="s">
        <v>1695</v>
      </c>
      <c r="AD73" s="108" t="s">
        <v>1695</v>
      </c>
      <c r="AE73" s="108" t="s">
        <v>1695</v>
      </c>
      <c r="AF73" s="108" t="s">
        <v>1695</v>
      </c>
      <c r="AG73" s="108" t="s">
        <v>1695</v>
      </c>
      <c r="AH73" s="108" t="s">
        <v>1695</v>
      </c>
      <c r="AI73" s="108" t="s">
        <v>1695</v>
      </c>
      <c r="AJ73" s="108" t="s">
        <v>1695</v>
      </c>
      <c r="AK73" s="108" t="s">
        <v>1790</v>
      </c>
    </row>
    <row r="74" spans="1:37" ht="44.1" hidden="1" customHeight="1">
      <c r="A74" s="110" t="s">
        <v>1765</v>
      </c>
      <c r="B74" s="108" t="s">
        <v>1474</v>
      </c>
      <c r="C74" s="108" t="s">
        <v>1767</v>
      </c>
      <c r="D74" s="207" t="s">
        <v>1795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1761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1674</v>
      </c>
      <c r="Z74" s="108" t="s">
        <v>8</v>
      </c>
      <c r="AA74" s="122">
        <v>46199</v>
      </c>
      <c r="AB74" s="108" t="s">
        <v>1695</v>
      </c>
      <c r="AC74" s="108" t="s">
        <v>1695</v>
      </c>
      <c r="AD74" s="108" t="s">
        <v>1695</v>
      </c>
      <c r="AE74" s="108" t="s">
        <v>1695</v>
      </c>
      <c r="AF74" s="108" t="s">
        <v>1695</v>
      </c>
      <c r="AG74" s="108" t="s">
        <v>1695</v>
      </c>
      <c r="AH74" s="108" t="s">
        <v>1695</v>
      </c>
      <c r="AI74" s="108" t="s">
        <v>1695</v>
      </c>
      <c r="AJ74" s="108" t="s">
        <v>1695</v>
      </c>
      <c r="AK74" s="108"/>
    </row>
    <row r="75" spans="1:37" ht="44.1" hidden="1" customHeight="1">
      <c r="A75" s="110" t="s">
        <v>1765</v>
      </c>
      <c r="B75" s="108" t="s">
        <v>784</v>
      </c>
      <c r="C75" s="108" t="s">
        <v>1767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1761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1746</v>
      </c>
      <c r="AK75" s="108"/>
    </row>
    <row r="76" spans="1:37" ht="44.1" hidden="1" customHeight="1">
      <c r="A76" s="110" t="s">
        <v>1765</v>
      </c>
      <c r="B76" s="108" t="s">
        <v>1470</v>
      </c>
      <c r="C76" s="108" t="s">
        <v>1767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1768</v>
      </c>
      <c r="L76" s="116" t="s">
        <v>1761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1746</v>
      </c>
      <c r="AK76" s="108"/>
    </row>
    <row r="77" spans="1:37" ht="44.1" hidden="1" customHeight="1">
      <c r="A77" s="110" t="s">
        <v>1765</v>
      </c>
      <c r="B77" s="108" t="s">
        <v>1407</v>
      </c>
      <c r="C77" s="108" t="s">
        <v>1767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1796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1674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1686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1692</v>
      </c>
      <c r="AK77" s="108" t="s">
        <v>1764</v>
      </c>
    </row>
    <row r="78" spans="1:37" ht="44.1" hidden="1" customHeight="1">
      <c r="A78" s="110" t="s">
        <v>1765</v>
      </c>
      <c r="B78" s="108" t="s">
        <v>1456</v>
      </c>
      <c r="C78" s="108" t="s">
        <v>1767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1761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1674</v>
      </c>
      <c r="Z78" s="108" t="s">
        <v>8</v>
      </c>
      <c r="AA78" s="122">
        <v>46199</v>
      </c>
      <c r="AB78" s="108" t="s">
        <v>1695</v>
      </c>
      <c r="AC78" s="108" t="s">
        <v>1695</v>
      </c>
      <c r="AD78" s="108" t="s">
        <v>1695</v>
      </c>
      <c r="AE78" s="108" t="s">
        <v>1695</v>
      </c>
      <c r="AF78" s="108" t="s">
        <v>1695</v>
      </c>
      <c r="AG78" s="108" t="s">
        <v>1695</v>
      </c>
      <c r="AH78" s="108" t="s">
        <v>1695</v>
      </c>
      <c r="AI78" s="108" t="s">
        <v>1695</v>
      </c>
      <c r="AJ78" s="108" t="s">
        <v>1695</v>
      </c>
      <c r="AK78" s="108"/>
    </row>
    <row r="79" spans="1:37" ht="44.1" hidden="1" customHeight="1">
      <c r="A79" s="110" t="s">
        <v>1765</v>
      </c>
      <c r="B79" s="108" t="s">
        <v>1432</v>
      </c>
      <c r="C79" s="108" t="s">
        <v>1767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1761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1674</v>
      </c>
      <c r="Z79" s="108" t="s">
        <v>8</v>
      </c>
      <c r="AA79" s="122">
        <v>46199</v>
      </c>
      <c r="AB79" s="108" t="s">
        <v>1695</v>
      </c>
      <c r="AC79" s="108" t="s">
        <v>1695</v>
      </c>
      <c r="AD79" s="108" t="s">
        <v>1695</v>
      </c>
      <c r="AE79" s="108" t="s">
        <v>1695</v>
      </c>
      <c r="AF79" s="108" t="s">
        <v>1695</v>
      </c>
      <c r="AG79" s="108" t="s">
        <v>1695</v>
      </c>
      <c r="AH79" s="108" t="s">
        <v>1695</v>
      </c>
      <c r="AI79" s="108" t="s">
        <v>1695</v>
      </c>
      <c r="AJ79" s="108" t="s">
        <v>1695</v>
      </c>
      <c r="AK79" s="108"/>
    </row>
    <row r="80" spans="1:37" ht="44.1" hidden="1" customHeight="1">
      <c r="A80" s="110" t="s">
        <v>1765</v>
      </c>
      <c r="B80" s="108" t="s">
        <v>1414</v>
      </c>
      <c r="C80" s="108" t="s">
        <v>1767</v>
      </c>
      <c r="D80" s="207" t="s">
        <v>1758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1761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1674</v>
      </c>
      <c r="Z80" s="108" t="s">
        <v>8</v>
      </c>
      <c r="AA80" s="122">
        <v>46199</v>
      </c>
      <c r="AB80" s="108" t="s">
        <v>1695</v>
      </c>
      <c r="AC80" s="108" t="s">
        <v>1695</v>
      </c>
      <c r="AD80" s="108" t="s">
        <v>1695</v>
      </c>
      <c r="AE80" s="108" t="s">
        <v>1695</v>
      </c>
      <c r="AF80" s="108" t="s">
        <v>1695</v>
      </c>
      <c r="AG80" s="108" t="s">
        <v>1695</v>
      </c>
      <c r="AH80" s="108" t="s">
        <v>1695</v>
      </c>
      <c r="AI80" s="108" t="s">
        <v>1695</v>
      </c>
      <c r="AJ80" s="108" t="s">
        <v>1695</v>
      </c>
      <c r="AK80" s="108"/>
    </row>
    <row r="81" spans="1:37" ht="44.1" hidden="1" customHeight="1">
      <c r="A81" s="110" t="s">
        <v>1765</v>
      </c>
      <c r="B81" s="108" t="s">
        <v>1463</v>
      </c>
      <c r="C81" s="108" t="s">
        <v>1767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1706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1674</v>
      </c>
      <c r="Z81" s="108" t="s">
        <v>8</v>
      </c>
      <c r="AA81" s="122">
        <v>46199</v>
      </c>
      <c r="AB81" s="108" t="s">
        <v>1695</v>
      </c>
      <c r="AC81" s="108" t="s">
        <v>1695</v>
      </c>
      <c r="AD81" s="108" t="s">
        <v>1695</v>
      </c>
      <c r="AE81" s="108" t="s">
        <v>1695</v>
      </c>
      <c r="AF81" s="108" t="s">
        <v>1695</v>
      </c>
      <c r="AG81" s="108" t="s">
        <v>1695</v>
      </c>
      <c r="AH81" s="108" t="s">
        <v>1695</v>
      </c>
      <c r="AI81" s="108" t="s">
        <v>1695</v>
      </c>
      <c r="AJ81" s="108" t="s">
        <v>1695</v>
      </c>
      <c r="AK81" s="108" t="s">
        <v>1782</v>
      </c>
    </row>
    <row r="82" spans="1:37" ht="44.1" hidden="1" customHeight="1">
      <c r="A82" s="110" t="s">
        <v>1765</v>
      </c>
      <c r="B82" s="108" t="s">
        <v>1450</v>
      </c>
      <c r="C82" s="108" t="s">
        <v>1767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1761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1674</v>
      </c>
      <c r="Z82" s="108" t="s">
        <v>10</v>
      </c>
      <c r="AA82" s="122">
        <v>46199</v>
      </c>
      <c r="AB82" s="108" t="s">
        <v>1695</v>
      </c>
      <c r="AC82" s="108" t="s">
        <v>1695</v>
      </c>
      <c r="AD82" s="108" t="s">
        <v>1695</v>
      </c>
      <c r="AE82" s="108" t="s">
        <v>1695</v>
      </c>
      <c r="AF82" s="108" t="s">
        <v>1695</v>
      </c>
      <c r="AG82" s="108" t="s">
        <v>1695</v>
      </c>
      <c r="AH82" s="108" t="s">
        <v>1695</v>
      </c>
      <c r="AI82" s="108" t="s">
        <v>1695</v>
      </c>
      <c r="AJ82" s="108" t="s">
        <v>1695</v>
      </c>
      <c r="AK82" s="108" t="s">
        <v>1790</v>
      </c>
    </row>
    <row r="83" spans="1:37" ht="44.1" hidden="1" customHeight="1">
      <c r="A83" s="110" t="s">
        <v>1765</v>
      </c>
      <c r="B83" s="108" t="s">
        <v>1436</v>
      </c>
      <c r="C83" s="108" t="s">
        <v>1767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1761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1674</v>
      </c>
      <c r="Z83" s="108" t="s">
        <v>8</v>
      </c>
      <c r="AA83" s="122">
        <v>46199</v>
      </c>
      <c r="AB83" s="108" t="s">
        <v>1695</v>
      </c>
      <c r="AC83" s="108" t="s">
        <v>1695</v>
      </c>
      <c r="AD83" s="108" t="s">
        <v>1695</v>
      </c>
      <c r="AE83" s="108" t="s">
        <v>1695</v>
      </c>
      <c r="AF83" s="108" t="s">
        <v>1695</v>
      </c>
      <c r="AG83" s="108" t="s">
        <v>1695</v>
      </c>
      <c r="AH83" s="108" t="s">
        <v>1695</v>
      </c>
      <c r="AI83" s="108" t="s">
        <v>1695</v>
      </c>
      <c r="AJ83" s="108" t="s">
        <v>1695</v>
      </c>
      <c r="AK83" s="108"/>
    </row>
    <row r="84" spans="1:37" ht="44.1" hidden="1" customHeight="1">
      <c r="A84" s="110" t="s">
        <v>1765</v>
      </c>
      <c r="B84" s="108" t="s">
        <v>1442</v>
      </c>
      <c r="C84" s="108" t="s">
        <v>1767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1761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1674</v>
      </c>
      <c r="Z84" s="108" t="s">
        <v>8</v>
      </c>
      <c r="AA84" s="122">
        <v>46199</v>
      </c>
      <c r="AB84" s="108" t="s">
        <v>1695</v>
      </c>
      <c r="AC84" s="108" t="s">
        <v>1695</v>
      </c>
      <c r="AD84" s="108" t="s">
        <v>1695</v>
      </c>
      <c r="AE84" s="108" t="s">
        <v>1695</v>
      </c>
      <c r="AF84" s="108" t="s">
        <v>1695</v>
      </c>
      <c r="AG84" s="108" t="s">
        <v>1695</v>
      </c>
      <c r="AH84" s="108" t="s">
        <v>1695</v>
      </c>
      <c r="AI84" s="108" t="s">
        <v>1695</v>
      </c>
      <c r="AJ84" s="108" t="s">
        <v>1695</v>
      </c>
      <c r="AK84" s="108"/>
    </row>
    <row r="85" spans="1:37" ht="44.1" hidden="1" customHeight="1">
      <c r="A85" s="110" t="s">
        <v>1765</v>
      </c>
      <c r="B85" s="108" t="s">
        <v>1426</v>
      </c>
      <c r="C85" s="108" t="s">
        <v>1767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1706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1674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1686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1692</v>
      </c>
      <c r="AK85" s="108" t="s">
        <v>1764</v>
      </c>
    </row>
    <row r="86" spans="1:37" ht="44.1" hidden="1" customHeight="1">
      <c r="A86" s="110" t="s">
        <v>1765</v>
      </c>
      <c r="B86" s="108" t="s">
        <v>1438</v>
      </c>
      <c r="C86" s="108" t="s">
        <v>1767</v>
      </c>
      <c r="D86" s="207" t="s">
        <v>1797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1763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1674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1686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1692</v>
      </c>
      <c r="AK86" s="108" t="s">
        <v>1764</v>
      </c>
    </row>
    <row r="87" spans="1:37" ht="44.1" hidden="1" customHeight="1">
      <c r="A87" s="110" t="s">
        <v>1765</v>
      </c>
      <c r="B87" s="108" t="s">
        <v>1454</v>
      </c>
      <c r="C87" s="108" t="s">
        <v>1767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1761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1746</v>
      </c>
      <c r="AK87" s="108"/>
    </row>
    <row r="88" spans="1:37" ht="44.1" hidden="1" customHeight="1">
      <c r="A88" s="110" t="s">
        <v>1765</v>
      </c>
      <c r="B88" s="108" t="s">
        <v>1461</v>
      </c>
      <c r="C88" s="108" t="s">
        <v>1767</v>
      </c>
      <c r="D88" s="207" t="s">
        <v>1798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1706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1674</v>
      </c>
      <c r="Z88" s="108" t="s">
        <v>10</v>
      </c>
      <c r="AA88" s="122">
        <v>46199</v>
      </c>
      <c r="AB88" s="108" t="s">
        <v>1695</v>
      </c>
      <c r="AC88" s="108" t="s">
        <v>1695</v>
      </c>
      <c r="AD88" s="108" t="s">
        <v>1695</v>
      </c>
      <c r="AE88" s="108" t="s">
        <v>1695</v>
      </c>
      <c r="AF88" s="108" t="s">
        <v>1695</v>
      </c>
      <c r="AG88" s="108" t="s">
        <v>1695</v>
      </c>
      <c r="AH88" s="108" t="s">
        <v>1695</v>
      </c>
      <c r="AI88" s="108" t="s">
        <v>1695</v>
      </c>
      <c r="AJ88" s="108" t="s">
        <v>1695</v>
      </c>
      <c r="AK88" s="108" t="s">
        <v>1790</v>
      </c>
    </row>
    <row r="89" spans="1:37" ht="44.1" hidden="1" customHeight="1">
      <c r="A89" s="110" t="s">
        <v>1765</v>
      </c>
      <c r="B89" s="108" t="s">
        <v>1482</v>
      </c>
      <c r="C89" s="108" t="s">
        <v>1767</v>
      </c>
      <c r="D89" s="207" t="s">
        <v>1799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1761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1746</v>
      </c>
      <c r="AK89" s="108"/>
    </row>
    <row r="90" spans="1:37" ht="44.1" hidden="1" customHeight="1">
      <c r="A90" s="110" t="s">
        <v>1765</v>
      </c>
      <c r="B90" s="108" t="s">
        <v>1465</v>
      </c>
      <c r="C90" s="108" t="s">
        <v>1767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1763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1674</v>
      </c>
      <c r="Z90" s="108" t="s">
        <v>8</v>
      </c>
      <c r="AA90" s="122">
        <v>46199</v>
      </c>
      <c r="AB90" s="108" t="s">
        <v>1695</v>
      </c>
      <c r="AC90" s="108" t="s">
        <v>1695</v>
      </c>
      <c r="AD90" s="108" t="s">
        <v>1695</v>
      </c>
      <c r="AE90" s="108" t="s">
        <v>1695</v>
      </c>
      <c r="AF90" s="108" t="s">
        <v>1695</v>
      </c>
      <c r="AG90" s="108" t="s">
        <v>1695</v>
      </c>
      <c r="AH90" s="108" t="s">
        <v>1695</v>
      </c>
      <c r="AI90" s="108" t="s">
        <v>1695</v>
      </c>
      <c r="AJ90" s="108" t="s">
        <v>1695</v>
      </c>
      <c r="AK90" s="108"/>
    </row>
    <row r="91" spans="1:37" ht="44.1" hidden="1" customHeight="1">
      <c r="A91" s="110" t="s">
        <v>1765</v>
      </c>
      <c r="B91" s="108" t="s">
        <v>1472</v>
      </c>
      <c r="C91" s="108" t="s">
        <v>1767</v>
      </c>
      <c r="D91" s="207" t="s">
        <v>1800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1761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1674</v>
      </c>
      <c r="Z91" s="108" t="s">
        <v>8</v>
      </c>
      <c r="AA91" s="122">
        <v>46199</v>
      </c>
      <c r="AB91" s="108" t="s">
        <v>1695</v>
      </c>
      <c r="AC91" s="108" t="s">
        <v>1695</v>
      </c>
      <c r="AD91" s="108" t="s">
        <v>1695</v>
      </c>
      <c r="AE91" s="108" t="s">
        <v>1695</v>
      </c>
      <c r="AF91" s="108" t="s">
        <v>1695</v>
      </c>
      <c r="AG91" s="108" t="s">
        <v>1695</v>
      </c>
      <c r="AH91" s="108" t="s">
        <v>1695</v>
      </c>
      <c r="AI91" s="108" t="s">
        <v>1695</v>
      </c>
      <c r="AJ91" s="108" t="s">
        <v>1695</v>
      </c>
      <c r="AK91" s="108"/>
    </row>
    <row r="92" spans="1:37" ht="44.1" hidden="1" customHeight="1">
      <c r="A92" s="110" t="s">
        <v>1741</v>
      </c>
      <c r="B92" s="108" t="s">
        <v>1801</v>
      </c>
      <c r="C92" s="108" t="s">
        <v>1742</v>
      </c>
      <c r="D92" s="207" t="s">
        <v>1772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1761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1674</v>
      </c>
      <c r="Z92" s="108" t="s">
        <v>10</v>
      </c>
      <c r="AA92" s="122">
        <v>46199</v>
      </c>
      <c r="AB92" s="108" t="s">
        <v>1695</v>
      </c>
      <c r="AC92" s="108" t="s">
        <v>1695</v>
      </c>
      <c r="AD92" s="108" t="s">
        <v>1695</v>
      </c>
      <c r="AE92" s="108" t="s">
        <v>1695</v>
      </c>
      <c r="AF92" s="108" t="s">
        <v>1695</v>
      </c>
      <c r="AG92" s="108" t="s">
        <v>1695</v>
      </c>
      <c r="AH92" s="108" t="s">
        <v>1695</v>
      </c>
      <c r="AI92" s="108" t="s">
        <v>1695</v>
      </c>
      <c r="AJ92" s="108" t="s">
        <v>1695</v>
      </c>
      <c r="AK92" s="108" t="s">
        <v>1802</v>
      </c>
    </row>
    <row r="93" spans="1:37" ht="44.1" hidden="1" customHeight="1">
      <c r="A93" s="110" t="s">
        <v>1765</v>
      </c>
      <c r="B93" s="108" t="s">
        <v>1477</v>
      </c>
      <c r="C93" s="108" t="s">
        <v>1767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1761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1674</v>
      </c>
      <c r="Z93" s="108" t="s">
        <v>8</v>
      </c>
      <c r="AA93" s="122">
        <v>46199</v>
      </c>
      <c r="AB93" s="108" t="s">
        <v>1695</v>
      </c>
      <c r="AC93" s="108" t="s">
        <v>1695</v>
      </c>
      <c r="AD93" s="108" t="s">
        <v>1695</v>
      </c>
      <c r="AE93" s="108" t="s">
        <v>1695</v>
      </c>
      <c r="AF93" s="108" t="s">
        <v>1695</v>
      </c>
      <c r="AG93" s="108" t="s">
        <v>1695</v>
      </c>
      <c r="AH93" s="108" t="s">
        <v>1695</v>
      </c>
      <c r="AI93" s="108" t="s">
        <v>1695</v>
      </c>
      <c r="AJ93" s="108" t="s">
        <v>1695</v>
      </c>
      <c r="AK93" s="108"/>
    </row>
    <row r="94" spans="1:37" ht="46.35" hidden="1" customHeight="1">
      <c r="A94" s="110" t="s">
        <v>1765</v>
      </c>
      <c r="B94" s="108" t="s">
        <v>1479</v>
      </c>
      <c r="C94" s="108" t="s">
        <v>1767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1761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1674</v>
      </c>
      <c r="Z94" s="108" t="s">
        <v>8</v>
      </c>
      <c r="AA94" s="122">
        <v>46199</v>
      </c>
      <c r="AB94" s="108" t="s">
        <v>1695</v>
      </c>
      <c r="AC94" s="108" t="s">
        <v>1695</v>
      </c>
      <c r="AD94" s="108" t="s">
        <v>1695</v>
      </c>
      <c r="AE94" s="108" t="s">
        <v>1695</v>
      </c>
      <c r="AF94" s="108" t="s">
        <v>1695</v>
      </c>
      <c r="AG94" s="108" t="s">
        <v>1695</v>
      </c>
      <c r="AH94" s="108" t="s">
        <v>1695</v>
      </c>
      <c r="AI94" s="108" t="s">
        <v>1695</v>
      </c>
      <c r="AJ94" s="108" t="s">
        <v>1695</v>
      </c>
      <c r="AK94" s="108"/>
    </row>
    <row r="95" spans="1:37" ht="44.1" customHeight="1">
      <c r="A95" s="189" t="s">
        <v>1803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1804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1805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1686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1749</v>
      </c>
      <c r="AJ95" s="108" t="s">
        <v>1692</v>
      </c>
      <c r="AK95" s="108"/>
    </row>
    <row r="96" spans="1:37" ht="44.1" hidden="1" customHeight="1">
      <c r="A96" s="110" t="s">
        <v>1688</v>
      </c>
      <c r="B96" s="108" t="s">
        <v>1308</v>
      </c>
      <c r="C96" s="108"/>
      <c r="D96" s="110" t="s">
        <v>1806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1674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1695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1695</v>
      </c>
      <c r="AK96" s="108" t="s">
        <v>1807</v>
      </c>
    </row>
    <row r="97" spans="1:37" ht="44.1" hidden="1" customHeight="1">
      <c r="A97" s="110" t="s">
        <v>1688</v>
      </c>
      <c r="B97" s="110" t="s">
        <v>1808</v>
      </c>
      <c r="C97" s="110"/>
      <c r="D97" s="207" t="s">
        <v>1809</v>
      </c>
      <c r="E97" s="108">
        <v>43.23</v>
      </c>
      <c r="F97" s="203">
        <v>0</v>
      </c>
      <c r="G97" s="108" t="s">
        <v>24</v>
      </c>
      <c r="H97" s="110" t="s">
        <v>1810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1674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1695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1695</v>
      </c>
      <c r="AK97" s="108" t="s">
        <v>1811</v>
      </c>
    </row>
    <row r="98" spans="1:37" ht="44.1" hidden="1" customHeight="1">
      <c r="A98" s="108"/>
      <c r="B98" s="108" t="s">
        <v>311</v>
      </c>
      <c r="C98" s="108"/>
      <c r="D98" s="207" t="s">
        <v>1812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1674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1681</v>
      </c>
      <c r="AE98" s="108" t="s">
        <v>1675</v>
      </c>
      <c r="AF98" s="108"/>
      <c r="AG98" s="108"/>
      <c r="AH98" s="108"/>
      <c r="AI98" s="108"/>
      <c r="AJ98" s="108" t="s">
        <v>1813</v>
      </c>
      <c r="AK98" s="108"/>
    </row>
    <row r="99" spans="1:37" ht="44.1" hidden="1" customHeight="1">
      <c r="A99" s="108"/>
      <c r="B99" s="108" t="s">
        <v>386</v>
      </c>
      <c r="C99" s="108"/>
      <c r="D99" s="207" t="s">
        <v>1814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1674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1681</v>
      </c>
      <c r="AE99" s="108" t="s">
        <v>1675</v>
      </c>
      <c r="AF99" s="108"/>
      <c r="AG99" s="108"/>
      <c r="AH99" s="108"/>
      <c r="AI99" s="108"/>
      <c r="AJ99" s="108" t="s">
        <v>1813</v>
      </c>
      <c r="AK99" s="108"/>
    </row>
    <row r="100" spans="1:37" ht="44.1" hidden="1" customHeight="1">
      <c r="A100" s="108"/>
      <c r="B100" s="108" t="s">
        <v>404</v>
      </c>
      <c r="C100" s="108"/>
      <c r="D100" s="207" t="s">
        <v>1815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1674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1681</v>
      </c>
      <c r="AE100" s="108" t="s">
        <v>1675</v>
      </c>
      <c r="AF100" s="108"/>
      <c r="AG100" s="108"/>
      <c r="AH100" s="108"/>
      <c r="AI100" s="108"/>
      <c r="AJ100" s="108" t="s">
        <v>1813</v>
      </c>
      <c r="AK100" s="108"/>
    </row>
    <row r="101" spans="1:37" ht="44.1" customHeight="1">
      <c r="A101" s="189" t="s">
        <v>1816</v>
      </c>
      <c r="B101" s="108" t="s">
        <v>1817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1686</v>
      </c>
      <c r="AE101" s="108" t="s">
        <v>1675</v>
      </c>
      <c r="AF101" s="108" t="s">
        <v>12</v>
      </c>
      <c r="AG101" s="108" t="s">
        <v>12</v>
      </c>
      <c r="AH101" s="108" t="s">
        <v>12</v>
      </c>
      <c r="AI101" s="108" t="s">
        <v>1749</v>
      </c>
      <c r="AJ101" s="108" t="s">
        <v>1682</v>
      </c>
      <c r="AK101" s="108" t="s">
        <v>1818</v>
      </c>
    </row>
    <row r="102" spans="1:37" ht="44.1" customHeight="1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1819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1674</v>
      </c>
      <c r="Z102" s="108" t="s">
        <v>8</v>
      </c>
      <c r="AA102" s="122">
        <v>46199</v>
      </c>
      <c r="AB102" s="108" t="s">
        <v>1695</v>
      </c>
      <c r="AC102" s="108" t="s">
        <v>1695</v>
      </c>
      <c r="AD102" s="108" t="s">
        <v>1695</v>
      </c>
      <c r="AE102" s="108" t="s">
        <v>1695</v>
      </c>
      <c r="AF102" s="108" t="s">
        <v>1695</v>
      </c>
      <c r="AG102" s="108" t="s">
        <v>1695</v>
      </c>
      <c r="AH102" s="108" t="s">
        <v>1695</v>
      </c>
      <c r="AI102" s="108" t="s">
        <v>1695</v>
      </c>
      <c r="AJ102" s="108" t="s">
        <v>1695</v>
      </c>
      <c r="AK102" s="108" t="s">
        <v>1820</v>
      </c>
    </row>
    <row r="103" spans="1:37" ht="44.85" customHeight="1">
      <c r="A103" s="189" t="s">
        <v>1821</v>
      </c>
      <c r="B103" s="108" t="s">
        <v>328</v>
      </c>
      <c r="C103" s="108"/>
      <c r="D103" s="207" t="s">
        <v>1822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8" t="s">
        <v>12</v>
      </c>
      <c r="R103" s="114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46304</v>
      </c>
      <c r="AC103" s="108"/>
      <c r="AD103" s="108"/>
      <c r="AE103" s="108"/>
      <c r="AF103" s="108"/>
      <c r="AG103" s="108"/>
      <c r="AH103" s="108"/>
      <c r="AI103" s="108"/>
      <c r="AJ103" s="108" t="s">
        <v>1677</v>
      </c>
      <c r="AK103" s="108"/>
    </row>
    <row r="104" spans="1:37" ht="44.1" hidden="1" customHeight="1">
      <c r="A104" s="108"/>
      <c r="B104" s="108" t="s">
        <v>1007</v>
      </c>
      <c r="C104" s="108"/>
      <c r="D104" s="207" t="s">
        <v>1823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1824</v>
      </c>
      <c r="L104" s="116" t="s">
        <v>1825</v>
      </c>
      <c r="N104" s="120" t="s">
        <v>1673</v>
      </c>
      <c r="O104" s="114" t="s">
        <v>1673</v>
      </c>
      <c r="Q104" s="108" t="s">
        <v>12</v>
      </c>
      <c r="R104" s="115" t="s">
        <v>12</v>
      </c>
      <c r="T104" s="108">
        <v>1400</v>
      </c>
      <c r="U104" s="121" t="s">
        <v>1826</v>
      </c>
      <c r="V104" s="108">
        <v>7665</v>
      </c>
      <c r="W104" s="121" t="s">
        <v>1827</v>
      </c>
      <c r="Y104" s="122">
        <v>46172</v>
      </c>
      <c r="Z104" s="215" t="s">
        <v>8</v>
      </c>
      <c r="AA104" s="198" t="s">
        <v>1695</v>
      </c>
      <c r="AB104" s="198" t="s">
        <v>1695</v>
      </c>
      <c r="AC104" s="198" t="s">
        <v>1695</v>
      </c>
      <c r="AD104" s="198" t="s">
        <v>1695</v>
      </c>
      <c r="AE104" s="198" t="s">
        <v>1695</v>
      </c>
      <c r="AF104" s="198" t="s">
        <v>1695</v>
      </c>
      <c r="AG104" s="198" t="s">
        <v>1695</v>
      </c>
      <c r="AH104" s="198" t="s">
        <v>1695</v>
      </c>
      <c r="AI104" s="198" t="s">
        <v>1695</v>
      </c>
      <c r="AJ104" s="198" t="s">
        <v>1695</v>
      </c>
      <c r="AK104" s="110" t="s">
        <v>1828</v>
      </c>
    </row>
    <row r="105" spans="1:37" ht="61.35" hidden="1" customHeight="1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1829</v>
      </c>
      <c r="L105" s="116" t="s">
        <v>12</v>
      </c>
      <c r="N105" s="120" t="s">
        <v>1673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1830</v>
      </c>
      <c r="W105" s="121" t="s">
        <v>1831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1686</v>
      </c>
      <c r="AE105" s="108" t="s">
        <v>1675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1682</v>
      </c>
      <c r="AK105" s="108"/>
    </row>
    <row r="106" spans="1:37" ht="44.1" hidden="1" customHeight="1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1832</v>
      </c>
      <c r="L106" s="116" t="s">
        <v>1833</v>
      </c>
      <c r="N106" s="120" t="s">
        <v>1673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1677</v>
      </c>
      <c r="AK106" s="108"/>
    </row>
    <row r="107" spans="1:37" ht="44.1" hidden="1" customHeight="1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1834</v>
      </c>
      <c r="L107" s="116" t="s">
        <v>1835</v>
      </c>
      <c r="N107" s="120" t="s">
        <v>1673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1686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1682</v>
      </c>
      <c r="AK107" s="108" t="s">
        <v>1836</v>
      </c>
    </row>
    <row r="108" spans="1:37" ht="44.1" hidden="1" customHeight="1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1837</v>
      </c>
      <c r="L108" s="116" t="s">
        <v>1838</v>
      </c>
      <c r="N108" s="120" t="s">
        <v>1839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1686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1682</v>
      </c>
      <c r="AK108" s="108" t="s">
        <v>1836</v>
      </c>
    </row>
    <row r="109" spans="1:37" ht="44.1" hidden="1" customHeight="1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1840</v>
      </c>
      <c r="L109" s="116" t="s">
        <v>12</v>
      </c>
      <c r="N109" s="120" t="s">
        <v>1672</v>
      </c>
      <c r="O109" s="114" t="s">
        <v>1680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1677</v>
      </c>
      <c r="AK109" s="108"/>
    </row>
    <row r="110" spans="1:37" ht="44.1" hidden="1" customHeight="1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1841</v>
      </c>
      <c r="L110" s="116" t="s">
        <v>1842</v>
      </c>
      <c r="N110" s="120" t="s">
        <v>1685</v>
      </c>
      <c r="O110" s="114" t="s">
        <v>1680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1746</v>
      </c>
      <c r="AK110" s="108" t="s">
        <v>1843</v>
      </c>
    </row>
    <row r="111" spans="1:37" ht="57.95">
      <c r="A111" s="108"/>
      <c r="B111" s="110" t="s">
        <v>1844</v>
      </c>
      <c r="C111" s="108"/>
      <c r="D111" s="207" t="s">
        <v>1845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1846</v>
      </c>
      <c r="W111" s="121" t="s">
        <v>1847</v>
      </c>
      <c r="Y111" s="122">
        <v>46248</v>
      </c>
      <c r="Z111" s="215" t="s">
        <v>8</v>
      </c>
      <c r="AA111" s="198">
        <v>46276</v>
      </c>
      <c r="AB111" s="217">
        <v>46297</v>
      </c>
      <c r="AC111" s="108"/>
      <c r="AD111" s="108"/>
      <c r="AE111" s="108"/>
      <c r="AF111" s="108"/>
      <c r="AG111" s="108"/>
      <c r="AH111" s="108"/>
      <c r="AI111" s="108"/>
      <c r="AJ111" s="108" t="s">
        <v>1848</v>
      </c>
      <c r="AK111" s="108" t="s">
        <v>1849</v>
      </c>
    </row>
    <row r="112" spans="1:37" ht="44.1" customHeight="1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" customHeight="1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" customHeight="1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" customHeight="1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" customHeight="1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" customHeight="1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" customHeight="1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  <row r="119" spans="1:37" ht="15" customHeight="1">
      <c r="L119" s="222">
        <v>197192</v>
      </c>
    </row>
    <row r="120" spans="1:37" ht="15" customHeight="1">
      <c r="L120" s="222">
        <v>35917</v>
      </c>
      <c r="AK120" s="96">
        <v>618</v>
      </c>
    </row>
    <row r="121" spans="1:37" ht="15" customHeight="1">
      <c r="L121" s="222">
        <v>218632</v>
      </c>
    </row>
    <row r="122" spans="1:37" ht="15" customHeight="1">
      <c r="L122" s="222"/>
    </row>
  </sheetData>
  <autoFilter ref="A5:AM111" xr:uid="{C4FFBCF1-480D-45A5-ACB8-5A5348C4C9C4}">
    <filterColumn colId="6">
      <filters>
        <filter val="DIADEMA"/>
      </filters>
    </filterColumn>
  </autoFilter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disablePrompts="1"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1850</v>
      </c>
      <c r="B1" s="69" t="s">
        <v>1851</v>
      </c>
      <c r="C1" s="70" t="s">
        <v>1852</v>
      </c>
      <c r="D1" s="69" t="s">
        <v>1853</v>
      </c>
      <c r="E1" s="69" t="s">
        <v>1854</v>
      </c>
      <c r="F1" s="69" t="s">
        <v>1855</v>
      </c>
      <c r="H1" s="69" t="s">
        <v>1856</v>
      </c>
    </row>
    <row r="2" spans="1:8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1857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>
      <c r="A9" s="69" t="s">
        <v>1858</v>
      </c>
      <c r="B9" s="69" t="s">
        <v>1859</v>
      </c>
      <c r="C9" s="69" t="s">
        <v>1860</v>
      </c>
      <c r="D9" s="69" t="s">
        <v>1861</v>
      </c>
      <c r="E9" s="69" t="s">
        <v>1862</v>
      </c>
    </row>
    <row r="10" spans="1:8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1863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1857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2026-10-01T12:22:49Z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