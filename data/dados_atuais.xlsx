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759" documentId="1_{DDE4A242-D13A-46DE-8B65-653B9F6ECEB2}" xr6:coauthVersionLast="47" xr6:coauthVersionMax="47" xr10:uidLastSave="{EB4AA03A-7D2A-4BCD-A206-113FD1AB77B5}"/>
  <bookViews>
    <workbookView xWindow="28680" yWindow="-120" windowWidth="29040" windowHeight="15720" tabRatio="598" activeTab="1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A.Propostas!$A$5:$AH$105</definedName>
    <definedName name="_xlnm._FilterDatabase" localSheetId="0" hidden="1">Controle!$A$2:$AO$710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53" i="1"/>
  <c r="AK48" i="1"/>
  <c r="AK31" i="1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<sst xmlns="http://schemas.openxmlformats.org/spreadsheetml/2006/main" count="8923" uniqueCount="1607">
  <si>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</si>
  <si>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</si>
  <si>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</si>
  <si>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</si>
  <si>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</si>
  <si>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</si>
  <si>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</si>
  <si>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</si>
  <si>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</si>
  <si>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</si>
  <si>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</si>
  <si>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</si>
  <si>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</si>
  <si>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</si>
  <si>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</si>
  <si>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</si>
  <si>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</si>
  <si>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</si>
  <si>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</si>
  <si>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</si>
  <si>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</si>
  <si>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</si>
  <si>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</si>
  <si>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</si>
  <si>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</si>
  <si>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</si>
  <si>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</si>
  <si>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</si>
  <si>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</si>
  <si>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</si>
  <si>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</si>
  <si>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</si>
  <si>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</si>
  <si>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</si>
  <si>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</si>
  <si>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</si>
  <si>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</si>
  <si>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</si>
  <si>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</si>
  <si>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</si>
  <si>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</si>
  <si>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</si>
  <si>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</si>
  <si>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</si>
  <si>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</si>
  <si>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</si>
  <si>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</si>
  <si>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</si>
  <si>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</si>
  <si>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</si>
  <si>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</si>
  <si>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</si>
  <si>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</si>
  <si>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</si>
  <si>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</si>
  <si>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</si>
  <si>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</si>
  <si>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</si>
  <si>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</si>
  <si>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</si>
  <si>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</si>
  <si>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</si>
  <si>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</si>
  <si>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</si>
  <si>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</si>
  <si>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</si>
  <si>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</si>
  <si>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</si>
  <si>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</si>
  <si>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</si>
  <si>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</si>
  <si>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</si>
  <si>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</si>
  <si>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</si>
  <si>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</si>
  <si>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</si>
  <si>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</si>
  <si>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</si>
  <si>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</si>
  <si>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</si>
  <si>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</si>
  <si>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</si>
  <si>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</si>
  <si>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</si>
  <si>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</si>
  <si>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</si>
  <si>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</si>
  <si>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</si>
  <si>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</si>
  <si>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</si>
  <si>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</si>
  <si>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</si>
  <si>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</si>
  <si>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</si>
  <si>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</si>
  <si>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</si>
  <si>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</si>
  <si>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</si>
  <si>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</si>
  <si>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</si>
  <si>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</si>
  <si>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</si>
  <si>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</si>
  <si>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</si>
  <si>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</si>
  <si>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</si>
  <si>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</si>
  <si>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</si>
  <si>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</si>
  <si>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</si>
  <si>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</si>
  <si>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</si>
  <si>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</si>
  <si>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</si>
  <si>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</si>
  <si>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</si>
  <si>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</si>
  <si>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</si>
  <si>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</si>
  <si>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</si>
  <si>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</si>
  <si>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</si>
  <si>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</si>
  <si>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</si>
  <si>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</si>
  <si>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</si>
  <si>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</si>
  <si>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</si>
  <si>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</si>
  <si>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</si>
  <si>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</si>
  <si>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</si>
  <si>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</si>
  <si>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</si>
  <si>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</si>
  <si>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</si>
  <si>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</si>
  <si>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</si>
  <si>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</si>
  <si>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</si>
  <si>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</si>
  <si>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</si>
  <si>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</si>
  <si>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</si>
  <si>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</si>
  <si>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</si>
  <si>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</si>
  <si>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</si>
  <si>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</si>
  <si>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</si>
  <si>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</si>
  <si>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</si>
  <si>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</si>
  <si>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</si>
  <si>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</si>
  <si>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</si>
  <si>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</si>
  <si>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</si>
  <si>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</si>
  <si>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</si>
  <si>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</si>
  <si>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</si>
  <si>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</si>
  <si>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</si>
  <si>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</si>
  <si>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</si>
  <si>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</si>
  <si>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</si>
  <si>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</si>
  <si>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</si>
  <si>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</si>
  <si>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</si>
  <si>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</si>
  <si>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</si>
  <si>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</si>
  <si>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</si>
  <si>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</si>
  <si>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</si>
  <si>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</si>
  <si>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</si>
  <si>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</si>
  <si>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</si>
  <si>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</si>
  <si>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</si>
  <si>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</si>
  <si>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</si>
  <si>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</si>
  <si>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</si>
  <si>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</si>
  <si>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</si>
  <si>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</si>
  <si>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</si>
  <si>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</si>
  <si>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</si>
  <si>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</si>
  <si>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</si>
  <si>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</si>
  <si>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</si>
  <si>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</si>
  <si>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</si>
  <si>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</si>
  <si>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</si>
  <si>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</si>
  <si>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</si>
  <si>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</si>
  <si>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</si>
  <si>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</si>
  <si>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</si>
  <si>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</si>
  <si>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</si>
  <si>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</si>
  <si>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</si>
  <si>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</si>
  <si>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</si>
  <si>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</si>
  <si>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</si>
  <si>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</si>
  <si>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</si>
  <si>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</si>
  <si>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</si>
  <si>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</si>
  <si>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</si>
  <si>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</si>
  <si>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</si>
  <si>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</si>
  <si>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</si>
  <si>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</si>
  <si>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</si>
  <si>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</si>
  <si>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</si>
  <si>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</si>
  <si>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</si>
  <si>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</si>
  <si>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</si>
  <si>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</si>
  <si>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</si>
  <si>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</si>
  <si>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</si>
  <si>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</si>
  <si>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</si>
  <si>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</si>
  <si>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</si>
  <si>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</si>
  <si>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</si>
  <si>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</si>
  <si>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</si>
  <si>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</si>
  <si>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</si>
  <si>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</si>
  <si>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</si>
  <si>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</si>
  <si>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</si>
  <si>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</si>
  <si>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</si>
  <si>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</si>
  <si>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</si>
  <si>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</si>
  <si>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</si>
  <si>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</si>
  <si>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</si>
  <si>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</si>
  <si>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</si>
  <si>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</si>
  <si>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</si>
  <si>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</si>
  <si>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</si>
  <si>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</si>
  <si>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</si>
  <si>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</si>
  <si>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</si>
  <si>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</si>
  <si>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</si>
  <si>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</si>
  <si>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</si>
  <si>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</si>
  <si>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</si>
  <si>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</si>
  <si>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</si>
  <si>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</si>
  <si>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</si>
  <si>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</si>
  <si>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</si>
  <si>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</si>
  <si>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</si>
  <si>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</si>
  <si>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</si>
  <si>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</si>
  <si>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</si>
  <si>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</si>
  <si>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</si>
  <si>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</si>
  <si>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</si>
  <si>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</si>
  <si>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</si>
  <si>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</si>
  <si>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</si>
  <si>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</si>
  <si>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</si>
  <si>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</si>
  <si>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</si>
  <si>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</si>
  <si>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</si>
  <si>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</si>
  <si>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</si>
  <si>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</si>
  <si>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</si>
  <si>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</si>
  <si>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</si>
  <si>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</si>
  <si>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</si>
  <si>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</si>
  <si>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</si>
  <si>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</si>
  <si>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</si>
  <si>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</si>
  <si>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</si>
  <si>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</si>
  <si>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</si>
  <si>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</si>
  <si>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</si>
  <si>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</si>
  <si>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</si>
  <si>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</si>
  <si>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</si>
  <si>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</si>
  <si>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</si>
  <si>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</si>
  <si>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</si>
  <si>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</si>
  <si>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</si>
  <si>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</si>
  <si>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</si>
  <si>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</si>
  <si>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</si>
  <si>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</si>
  <si>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</si>
  <si>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</si>
  <si>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</si>
  <si>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</si>
  <si>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</si>
  <si>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</si>
  <si>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</si>
  <si>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</si>
  <si>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</si>
  <si>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</si>
  <si>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</si>
  <si>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</si>
  <si>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</si>
  <si>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</si>
  <si>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</si>
  <si>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</si>
  <si>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</si>
  <si>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</si>
  <si>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</si>
  <si>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</si>
  <si>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</si>
  <si>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</si>
  <si>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</si>
  <si>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</si>
  <si>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</si>
  <si>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</si>
  <si>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</si>
  <si>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</si>
  <si>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</si>
  <si>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</si>
  <si>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</si>
  <si>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</si>
  <si>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</si>
  <si>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</si>
  <si>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</si>
  <si>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</si>
  <si>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</si>
  <si>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</si>
  <si>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</si>
  <si>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</si>
  <si>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</si>
  <si>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</si>
  <si>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</si>
  <si>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</si>
  <si>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</si>
  <si>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</si>
  <si>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</si>
  <si>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</si>
  <si>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</si>
  <si>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</si>
  <si>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</si>
  <si>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</si>
  <si>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</si>
  <si>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</si>
  <si>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</si>
  <si>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</si>
  <si>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</si>
  <si>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</si>
  <si>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</si>
  <si>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</si>
  <si>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</si>
  <si>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</si>
  <si>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</si>
  <si>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</si>
  <si>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</si>
  <si>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</si>
  <si>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</si>
  <si>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</si>
  <si>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</si>
  <si>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</si>
  <si>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</si>
  <si>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</si>
  <si>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</si>
  <si>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</si>
  <si>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</si>
  <si>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</si>
  <si>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</si>
  <si>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</si>
  <si>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</si>
  <si>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</si>
  <si>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</si>
  <si>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</si>
  <si>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</si>
  <si>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</si>
  <si>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</si>
  <si>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</si>
  <si>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</si>
  <si>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</si>
  <si>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</si>
  <si>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</si>
  <si>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</si>
  <si>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</si>
  <si>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</si>
  <si>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</si>
  <si>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</si>
  <si>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</si>
  <si>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</si>
  <si>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</si>
  <si>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</si>
  <si>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</si>
  <si>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</si>
  <si>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</si>
  <si>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</si>
  <si>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</si>
  <si>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</si>
  <si>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</si>
  <si>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</si>
  <si>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</si>
  <si>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</si>
  <si>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</si>
  <si>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</si>
  <si>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</si>
  <si>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</si>
  <si>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</si>
  <si>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</si>
  <si>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</si>
  <si>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</si>
  <si>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</si>
  <si>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</si>
  <si>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</si>
  <si>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</si>
  <si>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</si>
  <si>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</si>
  <si>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</si>
  <si>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</si>
  <si>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</si>
  <si>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</si>
  <si>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</si>
  <si>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</si>
  <si>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</si>
  <si>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</si>
  <si>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</si>
  <si>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</si>
  <si>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</si>
  <si>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</si>
  <si>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</si>
  <si>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</si>
  <si>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</si>
  <si>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</si>
  <si>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</si>
  <si>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</si>
  <si>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</si>
  <si>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</si>
  <si>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</si>
  <si>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</si>
  <si>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</si>
  <si>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</si>
  <si>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</si>
  <si>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</si>
  <si>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</si>
  <si>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</si>
  <si>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</si>
  <si>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</si>
  <si>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</si>
  <si>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</si>
  <si>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</si>
  <si>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</si>
  <si>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</si>
  <si>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</si>
  <si>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</si>
  <si>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</si>
  <si>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</si>
  <si>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</si>
  <si>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</si>
  <si>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</si>
  <si>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</si>
  <si>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</si>
  <si>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</si>
  <si>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</si>
  <si>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</si>
  <si>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</si>
  <si>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</si>
  <si>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</si>
  <si>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</si>
  <si>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</si>
  <si>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</si>
  <si>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</si>
  <si>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</si>
  <si>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</si>
  <si>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</si>
  <si>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</si>
  <si>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</si>
  <si>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</si>
  <si>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</si>
  <si>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</si>
  <si>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</si>
  <si>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</si>
  <si>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</si>
  <si>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</si>
  <si>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</si>
  <si>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</si>
  <si>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</si>
  <si>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</si>
  <si>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</si>
  <si>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</si>
  <si>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</si>
  <si>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</si>
  <si>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</si>
  <si>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</si>
  <si>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</si>
  <si>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</si>
  <si>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</si>
  <si>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</si>
  <si>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</si>
  <si>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</si>
  <si>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</si>
  <si>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</si>
  <si>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</si>
  <si>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</si>
  <si>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</si>
  <si>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</si>
  <si>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</si>
  <si>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</si>
  <si>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</si>
  <si>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</si>
  <si>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</si>
  <si>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</si>
  <si>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</si>
  <si>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</si>
  <si>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</si>
  <si>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</si>
  <si>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</si>
  <si>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</si>
  <si>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</si>
  <si>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</si>
  <si>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</si>
  <si>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</si>
  <si>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</si>
  <si>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</si>
  <si>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</si>
  <si>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</si>
  <si>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</si>
  <si>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</si>
  <si>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</si>
  <si>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</si>
  <si>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</si>
  <si>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</si>
  <si>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</si>
  <si>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</si>
  <si>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</si>
  <si>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</si>
  <si>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</si>
  <si>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</si>
  <si>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</si>
  <si>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</si>
  <si>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</si>
  <si>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</si>
  <si>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</si>
  <si>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</si>
  <si>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</si>
  <si>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</si>
  <si>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</si>
  <si>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</si>
  <si>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</si>
  <si>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</si>
  <si>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</si>
  <si>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</si>
  <si>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</si>
  <si>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</si>
  <si>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</si>
  <si>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</si>
  <si>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</si>
  <si>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</si>
  <si>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</si>
  <si>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</si>
  <si>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</si>
  <si>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</si>
  <si>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</si>
  <si>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</si>
  <si>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</si>
  <si>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</si>
  <si>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</si>
  <si>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</si>
  <si>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</si>
  <si>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</si>
  <si>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</si>
  <si>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</si>
  <si>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</si>
  <si>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</si>
  <si>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</si>
  <si>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</si>
  <si>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</si>
  <si>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</si>
  <si>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</si>
  <si>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</si>
  <si>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</si>
  <si>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</si>
  <si>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</si>
  <si>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</si>
  <si>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</si>
  <si>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</si>
  <si>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</si>
  <si>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</si>
  <si>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</si>
  <si>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</si>
  <si>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</si>
  <si>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</si>
  <si>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</si>
  <si>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</si>
  <si>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</si>
  <si>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</si>
  <si>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</si>
  <si>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</si>
  <si>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</si>
  <si>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</si>
  <si>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</si>
  <si>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</si>
  <si>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</si>
  <si>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</si>
  <si>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</si>
  <si>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</si>
  <si>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</si>
  <si>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</si>
  <si>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</si>
  <si>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</si>
  <si>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</si>
  <si>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</si>
  <si>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</si>
  <si>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</si>
  <si>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</si>
  <si>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</si>
  <si>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</si>
  <si>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</si>
  <si>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</si>
  <si>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</si>
  <si>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</si>
  <si>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</si>
  <si>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</si>
  <si>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</si>
  <si>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</si>
  <si>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</si>
  <si>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</si>
  <si>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</si>
  <si>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</si>
  <si>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</si>
  <si>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</si>
  <si>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</si>
  <si>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</si>
  <si>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</si>
  <si>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</si>
  <si>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</si>
  <si>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</si>
  <si>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</si>
  <si>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</si>
  <si>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</si>
  <si>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</si>
  <si>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</si>
  <si>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</si>
  <si>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</si>
  <si>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</si>
  <si>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</si>
  <si>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</si>
  <si>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</si>
  <si>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</si>
  <si>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</si>
  <si>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</si>
  <si>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</si>
  <si>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</si>
  <si>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</si>
  <si>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</si>
  <si>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</si>
  <si>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</si>
  <si>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</si>
  <si>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</si>
  <si>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</si>
  <si>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</si>
  <si>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</si>
  <si>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</si>
  <si>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</si>
  <si>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</si>
  <si>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</si>
  <si>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</si>
  <si>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</si>
  <si>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</si>
  <si>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</si>
  <si>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</si>
  <si>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</si>
  <si>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</si>
  <si>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</si>
  <si>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</si>
  <si>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</si>
  <si>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</si>
  <si>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</si>
  <si>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</si>
  <si>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</si>
  <si>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</si>
  <si>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</si>
  <si>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</si>
  <si>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</si>
  <si>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</si>
  <si>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</si>
  <si>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</si>
  <si>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</si>
  <si>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</si>
  <si>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</si>
  <si>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</si>
  <si>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</si>
  <si>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</si>
  <si>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</si>
  <si>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</si>
  <si>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</si>
  <si>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</si>
  <si>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</si>
  <si>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</si>
  <si>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</si>
  <si>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</si>
  <si>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</si>
  <si>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</si>
  <si>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</si>
  <si>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</si>
  <si>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</si>
  <si>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</si>
  <si>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</si>
  <si>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</si>
  <si>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</si>
  <si>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</si>
  <si>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</si>
  <si>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</si>
  <si>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</si>
  <si>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</si>
  <si>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</si>
  <si>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</si>
  <si>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</si>
  <si>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</si>
  <si>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</si>
  <si>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</si>
  <si>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</si>
  <si>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</si>
  <si>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</si>
  <si>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</si>
  <si>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</si>
  <si>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</si>
  <si>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</si>
  <si>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</si>
  <si>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</si>
  <si>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</si>
  <si>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</si>
  <si>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</si>
  <si>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</si>
  <si>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</si>
  <si>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</si>
  <si>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</si>
  <si>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</si>
  <si>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</si>
  <si>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</si>
  <si>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</si>
  <si>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</si>
  <si>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</si>
  <si>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</si>
  <si>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</si>
  <si>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</si>
  <si>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</si>
  <si>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</si>
  <si>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</si>
  <si>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</si>
  <si>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</si>
  <si>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</si>
  <si>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</si>
  <si>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</si>
  <si>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</si>
  <si>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</si>
  <si>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</si>
  <si>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</si>
  <si>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</si>
  <si>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</si>
  <si>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</si>
  <si>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</si>
  <si>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</si>
  <si>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</si>
  <si>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</si>
  <si>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</si>
  <si>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</si>
  <si>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</si>
  <si>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</si>
  <si>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</si>
  <si>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</si>
  <si>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</si>
  <si>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</si>
  <si>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</si>
  <si>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</si>
  <si>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</si>
  <si>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</si>
  <si>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</si>
  <si>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</si>
  <si>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</si>
  <si>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</si>
  <si>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</si>
  <si>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</si>
  <si>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</si>
  <si>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</si>
  <si>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</si>
  <si>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</si>
  <si>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</si>
  <si>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</si>
  <si>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</si>
  <si>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</si>
  <si>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</si>
  <si>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</si>
  <si>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</si>
  <si>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</si>
  <si>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</si>
  <si>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</si>
  <si>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</si>
  <si>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</si>
  <si>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</si>
  <si>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</si>
  <si>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</si>
  <si>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</si>
  <si>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</si>
  <si>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</si>
  <si>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</si>
  <si>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</si>
  <si>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</si>
  <si>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</si>
  <si>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</si>
  <si>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</si>
  <si>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</si>
  <si>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</si>
  <si>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</si>
  <si>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</si>
  <si>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</si>
  <si>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</si>
  <si>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</si>
  <si>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</si>
  <si>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</si>
  <si>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</si>
  <si>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</si>
  <si>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</si>
  <si>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</si>
  <si>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</si>
  <si>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</si>
  <si>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</si>
  <si>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</si>
  <si>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</si>
  <si>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</si>
  <si>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</si>
  <si>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</si>
  <si>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</si>
  <si>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</si>
  <si>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</si>
  <si>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</si>
  <si>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</si>
  <si>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</si>
  <si>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</si>
  <si>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</si>
  <si>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</si>
  <si>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</si>
  <si>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</si>
  <si>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</si>
  <si>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</si>
  <si>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</si>
  <si>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</si>
  <si>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</si>
  <si>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</si>
  <si>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</si>
  <si>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</si>
  <si>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</si>
  <si>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</si>
  <si>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</si>
  <si>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</si>
  <si>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</si>
  <si>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</si>
  <si>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</si>
  <si>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</si>
  <si>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</si>
  <si>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</si>
  <si>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</si>
  <si>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</si>
  <si>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</si>
  <si>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</si>
  <si>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</si>
  <si>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</si>
  <si>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</si>
  <si>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</si>
  <si>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</si>
  <si>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</si>
  <si>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</si>
  <si>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</si>
  <si>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</si>
  <si>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</si>
  <si>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</si>
  <si>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</si>
  <si>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</si>
  <si>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</si>
  <si>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</si>
  <si>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</si>
  <si>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</si>
  <si>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</si>
  <si>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</si>
  <si>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</si>
  <si>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</si>
  <si>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</si>
  <si>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</si>
  <si>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</si>
  <si>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</si>
  <si>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</si>
  <si>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</si>
  <si>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</si>
  <si>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</si>
  <si>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</si>
  <si>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</si>
  <si>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</si>
  <si>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</si>
  <si>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</si>
  <si>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</si>
  <si>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</si>
  <si>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</si>
  <si>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</si>
  <si>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</si>
  <si>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</si>
  <si>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</si>
  <si>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</si>
  <si>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</si>
  <si>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</si>
  <si>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</si>
  <si>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</si>
  <si>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</si>
  <si>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</si>
  <si>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</si>
  <si>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</si>
  <si>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</si>
  <si>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</si>
  <si>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</si>
  <si>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</si>
  <si>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</si>
  <si>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</si>
  <si>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</si>
  <si>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</si>
  <si>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</si>
  <si>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</si>
  <si>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</si>
  <si>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</si>
  <si>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</si>
  <si>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</si>
  <si>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</si>
  <si>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</si>
  <si>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</si>
  <si>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</si>
  <si>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</si>
  <si>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</si>
  <si>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</si>
  <si>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</si>
  <si>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</si>
  <si>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</si>
  <si>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</si>
  <si>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</si>
  <si>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</si>
  <si>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</si>
  <si>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</si>
  <si>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</si>
  <si>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</si>
  <si>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</si>
  <si>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</si>
  <si>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</si>
  <si>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</si>
  <si>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</si>
  <si>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</si>
  <si>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</si>
  <si>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</si>
  <si>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</si>
  <si>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</si>
  <si>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</si>
  <si>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</si>
  <si>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</si>
  <si>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</si>
  <si>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</si>
  <si>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</si>
  <si>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</si>
  <si>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</si>
  <si>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</si>
  <si>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</si>
  <si>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</si>
  <si>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</si>
  <si>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</si>
  <si>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</si>
  <si>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</si>
  <si>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</si>
  <si>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</si>
  <si>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</si>
  <si>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</si>
  <si>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</si>
  <si>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</si>
  <si>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</si>
  <si>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</si>
  <si>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</si>
  <si>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</si>
  <si>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</si>
  <si>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</si>
  <si>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</si>
  <si>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</si>
  <si>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</si>
  <si>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</si>
  <si>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</si>
  <si>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</si>
  <si>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</si>
  <si>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</si>
  <si>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</si>
  <si>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</si>
  <si>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</si>
  <si>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</si>
  <si>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</si>
  <si>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</si>
  <si>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</si>
  <si>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</si>
  <si>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</si>
  <si>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</si>
  <si>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</si>
  <si>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</si>
  <si>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</si>
  <si>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</si>
  <si>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</si>
  <si>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</si>
  <si>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</si>
  <si>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</si>
  <si>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</si>
  <si>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</si>
  <si>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</si>
  <si>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</si>
  <si>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</si>
  <si>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</si>
  <si>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</si>
  <si>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</si>
  <si>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</si>
  <si>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</si>
  <si>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</si>
  <si>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</si>
  <si>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</si>
  <si>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</si>
  <si>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</si>
  <si>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</si>
  <si>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</si>
  <si>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</si>
  <si>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</si>
  <si>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</si>
  <si>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</si>
  <si>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</si>
  <si>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</si>
  <si>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</si>
  <si>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</si>
  <si>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</si>
  <si>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</si>
  <si>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</si>
  <si>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</si>
  <si>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</si>
  <si>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</si>
  <si>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</si>
  <si>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</si>
  <si>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</si>
  <si>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</si>
  <si>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</si>
  <si>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</si>
  <si>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</si>
  <si>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</si>
  <si>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</si>
  <si>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</si>
  <si>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</si>
  <si>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</si>
  <si>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</si>
  <si>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</si>
  <si>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</si>
  <si>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</si>
  <si>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</si>
  <si>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</si>
  <si>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</si>
  <si>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</si>
  <si>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</si>
  <si>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</si>
  <si>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</si>
  <si>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</si>
  <si>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</si>
  <si>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</si>
  <si>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</si>
  <si>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</si>
  <si>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</si>
  <si>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</si>
  <si>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</si>
  <si>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</si>
  <si>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</si>
  <si>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</si>
  <si>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</si>
  <si>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</si>
  <si>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</si>
  <si>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</si>
  <si>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</si>
  <si>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</si>
  <si>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</si>
  <si>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</si>
  <si>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</si>
  <si>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</si>
  <si>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</si>
  <si>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</si>
  <si>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</si>
  <si>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</si>
  <si>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</si>
  <si>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</si>
  <si>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</si>
  <si>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</si>
  <si>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</si>
  <si>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</si>
  <si>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</si>
  <si>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</si>
  <si>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</si>
  <si>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</si>
  <si>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</si>
  <si>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</si>
  <si>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</si>
  <si>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</si>
  <si>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</si>
  <si>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</si>
  <si>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</si>
  <si>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</si>
  <si>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</si>
  <si>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</si>
  <si>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</si>
  <si>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</si>
  <si>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</si>
  <si>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</si>
  <si>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</si>
  <si>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</si>
  <si>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</si>
  <si>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</si>
  <si>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</si>
  <si>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</si>
  <si>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</si>
  <si>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</si>
  <si>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</si>
  <si>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</si>
  <si>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</si>
  <si>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</si>
  <si>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</si>
  <si>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</si>
  <si>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</si>
  <si>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</si>
  <si>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</si>
  <si>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</si>
  <si>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</si>
  <si>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</si>
  <si>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</si>
  <si>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</si>
  <si>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</si>
  <si>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</si>
  <si>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</si>
  <si>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</si>
  <si>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</si>
  <si>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</si>
  <si>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</si>
  <si>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</si>
  <si>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</si>
  <si>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</si>
  <si>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</si>
  <si>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</si>
  <si>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</si>
  <si>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</si>
  <si>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</si>
  <si>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</si>
  <si>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</si>
  <si>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</si>
  <si>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</si>
  <si>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</si>
  <si>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</si>
  <si>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</si>
  <si>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</si>
  <si>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</si>
  <si>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</si>
  <si>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</si>
  <si>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</si>
  <si>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</si>
  <si>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</si>
  <si>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</si>
  <si>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</si>
  <si>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</si>
  <si>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</si>
  <si>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</si>
  <si>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</si>
  <si>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</si>
  <si>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</si>
  <si>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</si>
  <si>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</si>
  <si>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</si>
  <si>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</si>
  <si>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</si>
  <si>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</si>
  <si>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</si>
  <si>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</si>
  <si>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</si>
  <si>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</si>
  <si>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</si>
  <si>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</si>
  <si>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</si>
  <si>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</si>
  <si>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</si>
  <si>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</si>
  <si>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</si>
  <si>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</si>
  <si>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</si>
  <si>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</si>
  <si>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</si>
  <si>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</si>
  <si>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</si>
  <si>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</si>
  <si>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</si>
  <si>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</si>
  <si>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</si>
  <si>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</si>
  <si>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</si>
  <si>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</si>
  <si>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</si>
  <si>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</si>
  <si>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</si>
  <si>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</si>
  <si>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</si>
  <si>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</si>
  <si>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</si>
  <si>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</si>
  <si>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</si>
  <si>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</si>
  <si>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</si>
  <si>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</si>
  <si>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</si>
  <si>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</si>
  <si>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</si>
  <si>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</si>
  <si>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</si>
  <si>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</si>
  <si>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</si>
  <si>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</si>
  <si>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</si>
  <si>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</si>
  <si>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</si>
  <si>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</si>
  <si>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</si>
  <si>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</si>
  <si>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</si>
  <si>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</si>
  <si>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</si>
  <si>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</si>
  <si>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</si>
  <si>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</si>
  <si>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</si>
  <si>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</si>
  <si>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</si>
  <si>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</si>
  <si>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</si>
  <si>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</si>
  <si>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</si>
  <si>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</si>
  <si>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</si>
  <si>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</si>
  <si>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</si>
  <si>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</si>
  <si>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</si>
  <si>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</si>
  <si>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</si>
  <si>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</si>
  <si>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</si>
  <si>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</si>
  <si>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</si>
  <si>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</si>
  <si>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</si>
  <si>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</si>
  <si>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</si>
  <si>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</si>
  <si>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</si>
  <si>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</si>
  <si>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</si>
  <si>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</si>
  <si>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</si>
  <si>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</si>
  <si>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</si>
  <si>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</si>
  <si>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</si>
  <si>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</si>
  <si>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</si>
  <si>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</si>
  <si>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</si>
  <si>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</si>
  <si>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</si>
  <si>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</si>
  <si>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</si>
  <si>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</si>
  <si>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</si>
  <si>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</si>
  <si>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</si>
  <si>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</si>
  <si>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</si>
  <si>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</si>
  <si>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</si>
  <si>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</si>
  <si>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</si>
  <si>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</si>
  <si>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</si>
  <si>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</si>
  <si>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</si>
  <si>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</si>
  <si>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</si>
  <si>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</si>
  <si>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</si>
  <si>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</si>
  <si>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</si>
  <si>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</si>
  <si>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</si>
  <si>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</si>
  <si>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</si>
  <si>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</si>
  <si>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</si>
  <si>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</si>
  <si>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</si>
  <si>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</si>
  <si>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</si>
  <si>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</si>
  <si>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</si>
  <si>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</si>
  <si>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</si>
  <si>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</si>
  <si>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</si>
  <si>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</si>
  <si>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</si>
  <si>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</si>
  <si>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</si>
  <si>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</si>
  <si>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</si>
  <si>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</si>
  <si>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</si>
  <si>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</si>
  <si>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</si>
  <si>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</si>
  <si>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</si>
  <si>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</si>
  <si>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</si>
  <si>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</si>
  <si>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</si>
  <si>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</si>
  <si>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</si>
  <si>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</si>
  <si>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</si>
  <si>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</si>
  <si>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</si>
  <si>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</si>
  <si>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</si>
  <si>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</si>
  <si>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</si>
  <si>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</si>
  <si>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</si>
  <si>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</si>
  <si>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</si>
  <si>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</si>
  <si>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</si>
  <si>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</si>
  <si>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</si>
  <si>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</si>
  <si>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</si>
  <si>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</si>
  <si>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</si>
  <si>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</si>
  <si>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</si>
  <si>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</si>
  <si>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</si>
  <si>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</si>
  <si>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</si>
  <si>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</si>
  <si>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</si>
  <si>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</si>
  <si>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</si>
  <si>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</si>
  <si>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</si>
  <si>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</si>
  <si>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</si>
  <si>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</si>
  <si>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</si>
  <si>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</si>
  <si>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</si>
  <si>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</si>
  <si>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</si>
  <si>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</si>
  <si>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</si>
  <si>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</si>
  <si>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</si>
  <si>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</si>
  <si>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</si>
  <si>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</si>
  <si>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</si>
  <si>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</si>
  <si>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</si>
  <si>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</si>
  <si>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</si>
  <si>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</si>
  <si>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</si>
  <si>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</si>
  <si>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</si>
  <si>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</si>
  <si>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</si>
  <si>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</si>
  <si>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</si>
  <si>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</si>
  <si>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</si>
  <si>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</si>
  <si>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</si>
  <si>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</si>
  <si>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</si>
  <si>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</si>
  <si>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</si>
  <si>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</si>
  <si>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</si>
  <si>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</si>
  <si>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</si>
  <si>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</si>
  <si>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</si>
  <si>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</si>
  <si>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</si>
  <si>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</si>
  <si>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</si>
  <si>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</si>
  <si>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</si>
  <si>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</si>
  <si>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</si>
  <si>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</si>
  <si>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</si>
  <si>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 xml:space="preserve">Em aálise de custos 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</si>
  <si>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</si>
  <si>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</si>
  <si>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</si>
  <si>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</si>
  <si>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</si>
  <si>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</si>
  <si>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</si>
  <si>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</si>
  <si>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</si>
  <si>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</si>
  <si>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</si>
  <si>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</si>
  <si>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</si>
  <si>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</si>
  <si>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</si>
  <si>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</si>
  <si>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</si>
  <si>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</si>
  <si>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</si>
  <si>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</si>
  <si>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</si>
  <si>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</si>
  <si>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</si>
  <si>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</si>
  <si>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</si>
  <si>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</si>
  <si>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</si>
  <si>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</si>
  <si>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</si>
  <si>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</si>
  <si>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</si>
  <si>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</si>
  <si>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</si>
  <si>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</si>
  <si>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</si>
  <si>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</si>
  <si>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</si>
  <si>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</si>
  <si>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</si>
  <si>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</si>
  <si>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</si>
  <si>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</si>
  <si>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</si>
  <si>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</si>
  <si>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</si>
  <si>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</si>
  <si>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</si>
  <si>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</si>
  <si>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</si>
  <si>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</si>
  <si>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</si>
  <si>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</si>
  <si>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</si>
  <si>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</si>
  <si>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</si>
  <si>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</si>
  <si>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</si>
  <si>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</si>
  <si>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</si>
  <si>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</si>
  <si>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</si>
  <si>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</si>
  <si>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</si>
  <si>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</si>
  <si>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</si>
  <si>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</si>
  <si>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</si>
  <si>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</si>
  <si>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</si>
  <si>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</si>
  <si>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-0,0275 / +0,00 - PROPOSTA DELGA
+0,00 / -0,06 PROPOSTA USINA</t>
  </si>
  <si>
    <t>-0,00 / +12</t>
  </si>
  <si>
    <t>-0,00 / +0,06</t>
  </si>
  <si>
    <t>CONTRATPOPOSTA DELGA PARA TOLERANCIA PROPOSTA PELA USINA</t>
  </si>
  <si>
    <t>SLZ VW50065 CR300LA-GI40/40 0,70X275</t>
  </si>
  <si>
    <t>-0,02 / +0,00 PROPOSTA DELGA
+0,00 / -0,06 PROPOSTA USINA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</si>
  <si>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</si>
  <si>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</si>
  <si>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</si>
  <si>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</si>
  <si>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</si>
  <si>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</si>
  <si>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</si>
  <si>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</si>
  <si>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</si>
  <si>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</si>
  <si>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</si>
  <si>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</si>
  <si>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</si>
  <si>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</si>
  <si>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</si>
  <si>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</si>
  <si>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</si>
  <si>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</si>
  <si>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</si>
  <si>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</si>
  <si>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</si>
  <si>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</si>
  <si>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</si>
  <si>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</si>
  <si>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</si>
  <si>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</si>
  <si>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</si>
  <si>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</si>
  <si>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</si>
  <si>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</si>
  <si>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</si>
  <si>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</si>
  <si>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</si>
  <si>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</si>
  <si>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</si>
  <si>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</si>
  <si>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</si>
  <si>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</si>
  <si>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</si>
  <si>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</si>
  <si>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</si>
  <si>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</si>
  <si>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</si>
  <si>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</si>
  <si>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</si>
  <si>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</si>
  <si>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</si>
  <si>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</si>
  <si>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</si>
  <si>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</si>
  <si>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</si>
  <si>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</si>
  <si>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</si>
  <si>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</si>
  <si>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</si>
  <si>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</si>
  <si>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</si>
  <si>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</si>
  <si>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</si>
  <si>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</si>
  <si>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</si>
  <si>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</si>
  <si>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</si>
  <si>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</si>
  <si>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</si>
  <si>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</si>
  <si>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</si>
  <si>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</si>
  <si>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</si>
  <si>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</si>
  <si>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</si>
  <si>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</si>
  <si>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</si>
  <si>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</si>
  <si>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</si>
  <si>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</si>
  <si>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FORMALIZADO COM COMPRAS</t>
  </si>
  <si>
    <t>Data não informada.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</si>
</sst>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2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 applyAlignment="1"/>
    <xf numFmtId="0" fontId="20" fillId="8" borderId="9" xfId="0" applyFont="1" applyFill="1" applyBorder="1" applyAlignment="1"/>
    <xf numFmtId="0" fontId="20" fillId="8" borderId="10" xfId="0" applyFont="1" applyFill="1" applyBorder="1" applyAlignment="1"/>
    <xf numFmtId="0" fontId="20" fillId="8" borderId="12" xfId="0" applyFont="1" applyFill="1" applyBorder="1" applyAlignment="1"/>
    <xf numFmtId="0" fontId="20" fillId="8" borderId="13" xfId="0" applyFont="1" applyFill="1" applyBorder="1" applyAlignment="1"/>
    <xf numFmtId="0" fontId="20" fillId="8" borderId="14" xfId="0" applyFont="1" applyFill="1" applyBorder="1" applyAlignment="1"/>
    <xf numFmtId="0" fontId="20" fillId="8" borderId="15" xfId="0" applyFont="1" applyFill="1" applyBorder="1" applyAlignment="1"/>
    <xf numFmtId="0" fontId="20" fillId="8" borderId="16" xfId="0" applyFont="1" applyFill="1" applyBorder="1" applyAlignment="1"/>
    <xf numFmtId="0" fontId="20" fillId="8" borderId="17" xfId="0" applyFont="1" applyFill="1" applyBorder="1" applyAlignment="1"/>
    <xf numFmtId="0" fontId="20" fillId="8" borderId="18" xfId="0" applyFont="1" applyFill="1" applyBorder="1" applyAlignment="1"/>
    <xf numFmtId="0" fontId="25" fillId="9" borderId="24" xfId="0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0.82238944375765177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0.82468084437061906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24444.477500000001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532749.98833333328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1086.7572503999997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D20" activePane="bottomRight" state="frozen"/>
      <selection pane="topRight" activeCell="B1" sqref="B1"/>
      <selection pane="bottomLeft" activeCell="A3" sqref="A3"/>
      <selection pane="bottomRight" activeCell="A182" sqref="A182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4.21875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hidden="1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399999999999999" hidden="1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hidden="1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.6" hidden="1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399999999999999" hidden="1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1" hidden="1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.6" hidden="1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139203.82/12</f>
        <v>11600.318333333335</v>
      </c>
      <c r="AL31" s="1"/>
      <c r="AM31" s="1" t="s">
        <v>1452</v>
      </c>
      <c r="AN31" s="81"/>
      <c r="AO31" s="81"/>
    </row>
    <row r="32" spans="1:41" s="26" customFormat="1" hidden="1" x14ac:dyDescent="0.3">
      <c r="A32" s="22" t="s">
        <v>204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205</v>
      </c>
      <c r="AK32" s="65">
        <v>11042.36</v>
      </c>
      <c r="AL32" s="1"/>
      <c r="AM32" s="1" t="s">
        <v>206</v>
      </c>
      <c r="AN32" s="81">
        <v>46113</v>
      </c>
      <c r="AO32" s="81" t="s">
        <v>64</v>
      </c>
    </row>
    <row r="33" spans="1:41" s="26" customFormat="1" hidden="1" x14ac:dyDescent="0.3">
      <c r="A33" s="22" t="s">
        <v>207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208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209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210</v>
      </c>
      <c r="AK33" s="65">
        <v>4861.6499999999996</v>
      </c>
      <c r="AL33" s="1"/>
      <c r="AM33" s="1" t="s">
        <v>211</v>
      </c>
      <c r="AN33" s="81">
        <v>46143</v>
      </c>
      <c r="AO33" s="81" t="s">
        <v>64</v>
      </c>
    </row>
    <row r="34" spans="1:41" s="26" customFormat="1" x14ac:dyDescent="0.3">
      <c r="A34" s="22" t="s">
        <v>212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213</v>
      </c>
      <c r="H34" s="12" t="s">
        <v>43</v>
      </c>
      <c r="I34" s="12"/>
      <c r="J34" s="4"/>
      <c r="K34" s="5"/>
      <c r="L34" s="5" t="s">
        <v>58</v>
      </c>
      <c r="M34" s="4" t="s">
        <v>214</v>
      </c>
      <c r="N34" s="4" t="s">
        <v>215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216</v>
      </c>
      <c r="B35" s="2" t="s">
        <v>217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218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219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220</v>
      </c>
      <c r="AK35" s="65">
        <v>14192.72</v>
      </c>
      <c r="AL35" s="1"/>
      <c r="AM35" s="1" t="s">
        <v>221</v>
      </c>
      <c r="AN35" s="81">
        <v>46235</v>
      </c>
      <c r="AO35" s="81" t="s">
        <v>64</v>
      </c>
    </row>
    <row r="36" spans="1:41" s="26" customFormat="1" x14ac:dyDescent="0.3">
      <c r="A36" s="22" t="s">
        <v>222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">
      <c r="A37" s="22" t="s">
        <v>223</v>
      </c>
      <c r="B37" s="2" t="s">
        <v>81</v>
      </c>
      <c r="C37" s="21"/>
      <c r="D37" s="23"/>
      <c r="E37" s="23"/>
      <c r="F37" s="77"/>
      <c r="G37" s="3" t="s">
        <v>224</v>
      </c>
      <c r="H37" s="12" t="s">
        <v>43</v>
      </c>
      <c r="I37" s="10"/>
      <c r="J37" s="4"/>
      <c r="K37" s="5"/>
      <c r="L37" s="5" t="s">
        <v>58</v>
      </c>
      <c r="M37" s="4" t="s">
        <v>225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">
      <c r="A38" s="22" t="s">
        <v>226</v>
      </c>
      <c r="B38" s="2" t="s">
        <v>55</v>
      </c>
      <c r="C38" s="21"/>
      <c r="D38" s="23"/>
      <c r="E38" s="23"/>
      <c r="F38" s="77"/>
      <c r="G38" s="3" t="s">
        <v>227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228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229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230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231</v>
      </c>
      <c r="AK39" s="65">
        <v>1486.11</v>
      </c>
      <c r="AL39" s="1"/>
      <c r="AM39" s="1" t="s">
        <v>232</v>
      </c>
      <c r="AN39" s="81">
        <v>46113</v>
      </c>
      <c r="AO39" s="81" t="s">
        <v>64</v>
      </c>
    </row>
    <row r="40" spans="1:41" s="26" customFormat="1" x14ac:dyDescent="0.3">
      <c r="A40" s="22" t="s">
        <v>233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234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235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">
      <c r="A41" s="22" t="s">
        <v>236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237</v>
      </c>
      <c r="H41" s="10" t="s">
        <v>43</v>
      </c>
      <c r="I41" s="10"/>
      <c r="J41" s="6"/>
      <c r="K41" s="21"/>
      <c r="L41" s="21" t="s">
        <v>58</v>
      </c>
      <c r="M41" s="6" t="s">
        <v>225</v>
      </c>
      <c r="N41" s="6" t="s">
        <v>238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239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240</v>
      </c>
      <c r="H42" s="12" t="s">
        <v>241</v>
      </c>
      <c r="I42" s="10"/>
      <c r="J42" s="4"/>
      <c r="K42" s="5"/>
      <c r="L42" s="5" t="s">
        <v>242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243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244</v>
      </c>
      <c r="H43" s="10" t="s">
        <v>43</v>
      </c>
      <c r="I43" s="10"/>
      <c r="J43" s="6"/>
      <c r="K43" s="21"/>
      <c r="L43" s="21" t="s">
        <v>245</v>
      </c>
      <c r="M43" s="4" t="s">
        <v>149</v>
      </c>
      <c r="N43" s="6" t="s">
        <v>246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247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248</v>
      </c>
      <c r="G44" s="3" t="s">
        <v>249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250</v>
      </c>
      <c r="AK44" s="65">
        <v>4345.75</v>
      </c>
      <c r="AL44" s="1"/>
      <c r="AM44" s="1" t="s">
        <v>251</v>
      </c>
      <c r="AN44" s="81">
        <v>46143</v>
      </c>
      <c r="AO44" s="81" t="s">
        <v>64</v>
      </c>
    </row>
    <row r="45" spans="1:41" s="26" customFormat="1" hidden="1" x14ac:dyDescent="0.3">
      <c r="A45" s="22" t="s">
        <v>252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253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254</v>
      </c>
      <c r="AK45" s="65">
        <v>17261.61</v>
      </c>
      <c r="AL45" s="1"/>
      <c r="AM45" s="1" t="s">
        <v>255</v>
      </c>
      <c r="AN45" s="81">
        <v>46143</v>
      </c>
      <c r="AO45" s="81" t="s">
        <v>64</v>
      </c>
    </row>
    <row r="46" spans="1:41" s="26" customFormat="1" x14ac:dyDescent="0.3">
      <c r="A46" s="22" t="s">
        <v>256</v>
      </c>
      <c r="B46" s="2" t="s">
        <v>257</v>
      </c>
      <c r="C46" s="21">
        <v>1.4</v>
      </c>
      <c r="D46" s="23">
        <v>287</v>
      </c>
      <c r="E46" s="23">
        <v>460</v>
      </c>
      <c r="F46" s="23"/>
      <c r="G46" s="3" t="s">
        <v>258</v>
      </c>
      <c r="H46" s="10" t="s">
        <v>43</v>
      </c>
      <c r="I46" s="10"/>
      <c r="J46" s="6"/>
      <c r="K46" s="21"/>
      <c r="L46" s="21" t="s">
        <v>259</v>
      </c>
      <c r="M46" s="6" t="s">
        <v>260</v>
      </c>
      <c r="N46" s="6" t="s">
        <v>261</v>
      </c>
      <c r="O46" s="12" t="s">
        <v>262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263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264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265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266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267</v>
      </c>
      <c r="H48" s="12">
        <v>34025699</v>
      </c>
      <c r="I48" s="12"/>
      <c r="J48" s="4"/>
      <c r="K48" s="5"/>
      <c r="L48" s="5" t="s">
        <v>75</v>
      </c>
      <c r="M48" s="4" t="s">
        <v>260</v>
      </c>
      <c r="N48" s="4" t="s">
        <v>219</v>
      </c>
      <c r="O48" s="12" t="s">
        <v>262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f>73095.29/12</f>
        <v>6091.2741666666661</v>
      </c>
      <c r="AL48" s="1"/>
      <c r="AM48" s="1" t="s">
        <v>1452</v>
      </c>
      <c r="AN48" s="81"/>
      <c r="AO48" s="81"/>
    </row>
    <row r="49" spans="1:41" s="26" customFormat="1" x14ac:dyDescent="0.3">
      <c r="A49" s="22" t="s">
        <v>268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269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262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270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271</v>
      </c>
      <c r="H50" s="10" t="s">
        <v>43</v>
      </c>
      <c r="I50" s="10"/>
      <c r="J50" s="6"/>
      <c r="K50" s="21"/>
      <c r="L50" s="21" t="s">
        <v>259</v>
      </c>
      <c r="M50" s="6" t="s">
        <v>149</v>
      </c>
      <c r="N50" s="6" t="s">
        <v>272</v>
      </c>
      <c r="O50" s="12" t="s">
        <v>262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273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274</v>
      </c>
      <c r="H51" s="12" t="s">
        <v>43</v>
      </c>
      <c r="I51" s="12"/>
      <c r="J51" s="4"/>
      <c r="K51" s="5"/>
      <c r="L51" s="5" t="s">
        <v>275</v>
      </c>
      <c r="M51" s="4" t="s">
        <v>137</v>
      </c>
      <c r="N51" s="4" t="s">
        <v>261</v>
      </c>
      <c r="O51" s="12" t="s">
        <v>262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276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277</v>
      </c>
      <c r="H52" s="12" t="s">
        <v>43</v>
      </c>
      <c r="I52" s="10"/>
      <c r="J52" s="4"/>
      <c r="K52" s="5"/>
      <c r="L52" s="5" t="s">
        <v>58</v>
      </c>
      <c r="M52" s="4" t="s">
        <v>225</v>
      </c>
      <c r="N52" s="4" t="s">
        <v>278</v>
      </c>
      <c r="O52" s="12" t="s">
        <v>262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279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280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219</v>
      </c>
      <c r="O53" s="12" t="s">
        <v>262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f>65034.62/12</f>
        <v>5419.5516666666672</v>
      </c>
      <c r="AL53" s="1"/>
      <c r="AM53" s="1" t="s">
        <v>1452</v>
      </c>
      <c r="AN53" s="81"/>
      <c r="AO53" s="81"/>
    </row>
    <row r="54" spans="1:41" s="26" customFormat="1" x14ac:dyDescent="0.3">
      <c r="A54" s="22" t="s">
        <v>281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282</v>
      </c>
      <c r="H54" s="10" t="s">
        <v>43</v>
      </c>
      <c r="I54" s="10"/>
      <c r="J54" s="6"/>
      <c r="K54" s="21"/>
      <c r="L54" s="21" t="s">
        <v>58</v>
      </c>
      <c r="M54" s="6" t="s">
        <v>283</v>
      </c>
      <c r="N54" s="6" t="s">
        <v>284</v>
      </c>
      <c r="O54" s="12" t="s">
        <v>262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285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286</v>
      </c>
      <c r="H55" s="10" t="s">
        <v>43</v>
      </c>
      <c r="I55" s="10"/>
      <c r="J55" s="6"/>
      <c r="K55" s="21"/>
      <c r="L55" s="21" t="s">
        <v>58</v>
      </c>
      <c r="M55" s="6" t="s">
        <v>214</v>
      </c>
      <c r="N55" s="6" t="s">
        <v>287</v>
      </c>
      <c r="O55" s="12" t="s">
        <v>262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288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289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262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290</v>
      </c>
      <c r="AK56" s="65">
        <v>3691.54</v>
      </c>
      <c r="AL56" s="1"/>
      <c r="AM56" s="1" t="s">
        <v>291</v>
      </c>
      <c r="AN56" s="81">
        <v>46143</v>
      </c>
      <c r="AO56" s="81" t="s">
        <v>64</v>
      </c>
    </row>
    <row r="57" spans="1:41" s="26" customFormat="1" x14ac:dyDescent="0.3">
      <c r="A57" s="22" t="s">
        <v>292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280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219</v>
      </c>
      <c r="O57" s="12" t="s">
        <v>262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">
      <c r="A58" s="22" t="s">
        <v>293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294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262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295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296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219</v>
      </c>
      <c r="O59" s="12" t="s">
        <v>262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hidden="1" x14ac:dyDescent="0.3">
      <c r="A60" s="22" t="s">
        <v>297</v>
      </c>
      <c r="B60" s="2" t="s">
        <v>298</v>
      </c>
      <c r="C60" s="21">
        <v>3</v>
      </c>
      <c r="D60" s="23">
        <v>1150</v>
      </c>
      <c r="E60" s="23">
        <v>1520</v>
      </c>
      <c r="F60" s="23" t="s">
        <v>299</v>
      </c>
      <c r="G60" s="3" t="s">
        <v>300</v>
      </c>
      <c r="H60" s="12" t="s">
        <v>43</v>
      </c>
      <c r="I60" s="12"/>
      <c r="J60" s="4"/>
      <c r="K60" s="5"/>
      <c r="L60" s="5" t="s">
        <v>259</v>
      </c>
      <c r="M60" s="4" t="s">
        <v>126</v>
      </c>
      <c r="N60" s="4"/>
      <c r="O60" s="12" t="s">
        <v>262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301</v>
      </c>
      <c r="AK60" s="65">
        <v>1642.21</v>
      </c>
      <c r="AL60" s="1"/>
      <c r="AM60" s="1" t="s">
        <v>302</v>
      </c>
      <c r="AN60" s="81"/>
      <c r="AO60" s="81"/>
    </row>
    <row r="61" spans="1:41" s="26" customFormat="1" hidden="1" x14ac:dyDescent="0.3">
      <c r="A61" s="22" t="s">
        <v>303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304</v>
      </c>
      <c r="H61" s="10" t="s">
        <v>43</v>
      </c>
      <c r="I61" s="10"/>
      <c r="J61" s="6"/>
      <c r="K61" s="21"/>
      <c r="L61" s="21" t="s">
        <v>245</v>
      </c>
      <c r="M61" s="4" t="s">
        <v>305</v>
      </c>
      <c r="N61" s="6" t="s">
        <v>306</v>
      </c>
      <c r="O61" s="12" t="s">
        <v>262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307</v>
      </c>
      <c r="AK61" s="65">
        <v>4586.75</v>
      </c>
      <c r="AL61" s="1"/>
      <c r="AM61" s="1" t="s">
        <v>308</v>
      </c>
      <c r="AN61" s="81">
        <v>46054</v>
      </c>
      <c r="AO61" s="81" t="s">
        <v>64</v>
      </c>
    </row>
    <row r="62" spans="1:41" s="26" customFormat="1" x14ac:dyDescent="0.3">
      <c r="A62" s="22" t="s">
        <v>309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310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262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311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312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313</v>
      </c>
      <c r="O63" s="12" t="s">
        <v>262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314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315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278</v>
      </c>
      <c r="O64" s="12" t="s">
        <v>262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316</v>
      </c>
      <c r="B65" s="2" t="s">
        <v>317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262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318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315</v>
      </c>
      <c r="H66" s="12" t="s">
        <v>43</v>
      </c>
      <c r="I66" s="10"/>
      <c r="J66" s="4"/>
      <c r="K66" s="5"/>
      <c r="L66" s="5" t="s">
        <v>58</v>
      </c>
      <c r="M66" s="4" t="s">
        <v>225</v>
      </c>
      <c r="N66" s="4" t="s">
        <v>278</v>
      </c>
      <c r="O66" s="12" t="s">
        <v>262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319</v>
      </c>
      <c r="B67" s="2" t="s">
        <v>202</v>
      </c>
      <c r="C67" s="21">
        <v>0.7</v>
      </c>
      <c r="D67" s="23"/>
      <c r="E67" s="23"/>
      <c r="F67" s="77"/>
      <c r="G67" s="3" t="s">
        <v>269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262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320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321</v>
      </c>
      <c r="H68" s="12" t="s">
        <v>43</v>
      </c>
      <c r="I68" s="10"/>
      <c r="J68" s="4"/>
      <c r="K68" s="5"/>
      <c r="L68" s="5" t="s">
        <v>58</v>
      </c>
      <c r="M68" s="6" t="s">
        <v>225</v>
      </c>
      <c r="N68" s="4" t="s">
        <v>278</v>
      </c>
      <c r="O68" s="12" t="s">
        <v>262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322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323</v>
      </c>
      <c r="H69" s="12" t="s">
        <v>43</v>
      </c>
      <c r="I69" s="10"/>
      <c r="J69" s="4"/>
      <c r="K69" s="5"/>
      <c r="L69" s="5" t="s">
        <v>324</v>
      </c>
      <c r="M69" s="4" t="s">
        <v>225</v>
      </c>
      <c r="N69" s="4" t="s">
        <v>238</v>
      </c>
      <c r="O69" s="12" t="s">
        <v>262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325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326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219</v>
      </c>
      <c r="O70" s="12" t="s">
        <v>262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327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328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329</v>
      </c>
      <c r="O71" s="12" t="s">
        <v>262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330</v>
      </c>
      <c r="B72" s="2" t="s">
        <v>298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331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262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332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333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313</v>
      </c>
      <c r="O73" s="12" t="s">
        <v>262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334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335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262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336</v>
      </c>
      <c r="B75" s="2" t="s">
        <v>298</v>
      </c>
      <c r="C75" s="21">
        <v>2.65</v>
      </c>
      <c r="D75" s="23">
        <v>1200</v>
      </c>
      <c r="E75" s="23">
        <v>2000</v>
      </c>
      <c r="F75" s="23"/>
      <c r="G75" s="3" t="s">
        <v>337</v>
      </c>
      <c r="H75" s="12" t="s">
        <v>43</v>
      </c>
      <c r="I75" s="12"/>
      <c r="J75" s="4"/>
      <c r="K75" s="5"/>
      <c r="L75" s="5" t="s">
        <v>338</v>
      </c>
      <c r="M75" s="4" t="s">
        <v>126</v>
      </c>
      <c r="N75" s="4"/>
      <c r="O75" s="12" t="s">
        <v>262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339</v>
      </c>
      <c r="B76" s="2" t="s">
        <v>317</v>
      </c>
      <c r="C76" s="21">
        <v>1</v>
      </c>
      <c r="D76" s="23">
        <v>1300</v>
      </c>
      <c r="E76" s="23" t="s">
        <v>43</v>
      </c>
      <c r="F76" s="23"/>
      <c r="G76" s="3" t="s">
        <v>340</v>
      </c>
      <c r="H76" s="10" t="s">
        <v>43</v>
      </c>
      <c r="I76" s="10"/>
      <c r="J76" s="6"/>
      <c r="K76" s="21"/>
      <c r="L76" s="21" t="s">
        <v>58</v>
      </c>
      <c r="M76" s="6" t="s">
        <v>341</v>
      </c>
      <c r="N76" s="6" t="s">
        <v>342</v>
      </c>
      <c r="O76" s="12" t="s">
        <v>262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343</v>
      </c>
      <c r="B77" s="2" t="s">
        <v>298</v>
      </c>
      <c r="C77" s="21">
        <v>2.65</v>
      </c>
      <c r="D77" s="23">
        <v>1200</v>
      </c>
      <c r="E77" s="23">
        <v>2000</v>
      </c>
      <c r="F77" s="23"/>
      <c r="G77" s="3" t="s">
        <v>344</v>
      </c>
      <c r="H77" s="12" t="s">
        <v>43</v>
      </c>
      <c r="I77" s="12"/>
      <c r="J77" s="4"/>
      <c r="K77" s="5"/>
      <c r="L77" s="5" t="s">
        <v>338</v>
      </c>
      <c r="M77" s="4" t="s">
        <v>126</v>
      </c>
      <c r="N77" s="4"/>
      <c r="O77" s="12" t="s">
        <v>262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345</v>
      </c>
      <c r="B78" s="2" t="s">
        <v>298</v>
      </c>
      <c r="C78" s="21">
        <v>3</v>
      </c>
      <c r="D78" s="23">
        <v>1220</v>
      </c>
      <c r="E78" s="23">
        <v>1750</v>
      </c>
      <c r="F78" s="23"/>
      <c r="G78" s="3" t="s">
        <v>346</v>
      </c>
      <c r="H78" s="12" t="s">
        <v>43</v>
      </c>
      <c r="I78" s="12"/>
      <c r="J78" s="4"/>
      <c r="K78" s="5"/>
      <c r="L78" s="21" t="s">
        <v>58</v>
      </c>
      <c r="M78" s="4" t="s">
        <v>347</v>
      </c>
      <c r="N78" s="6" t="s">
        <v>306</v>
      </c>
      <c r="O78" s="12" t="s">
        <v>262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348</v>
      </c>
      <c r="AK78" s="65">
        <v>384.89</v>
      </c>
      <c r="AL78" s="1"/>
      <c r="AM78" s="1" t="s">
        <v>232</v>
      </c>
      <c r="AN78" s="81">
        <v>46113</v>
      </c>
      <c r="AO78" s="81" t="s">
        <v>64</v>
      </c>
    </row>
    <row r="79" spans="1:41" s="26" customFormat="1" x14ac:dyDescent="0.3">
      <c r="A79" s="22" t="s">
        <v>349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350</v>
      </c>
      <c r="H79" s="12" t="s">
        <v>43</v>
      </c>
      <c r="I79" s="12"/>
      <c r="J79" s="4"/>
      <c r="K79" s="5"/>
      <c r="L79" s="5" t="s">
        <v>324</v>
      </c>
      <c r="M79" s="4" t="s">
        <v>126</v>
      </c>
      <c r="N79" s="4" t="s">
        <v>351</v>
      </c>
      <c r="O79" s="12" t="s">
        <v>262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352</v>
      </c>
      <c r="B80" s="2" t="s">
        <v>298</v>
      </c>
      <c r="C80" s="21">
        <v>4</v>
      </c>
      <c r="D80" s="23">
        <v>1350</v>
      </c>
      <c r="E80" s="23">
        <v>1850</v>
      </c>
      <c r="F80" s="23"/>
      <c r="G80" s="3" t="s">
        <v>353</v>
      </c>
      <c r="H80" s="10" t="s">
        <v>43</v>
      </c>
      <c r="I80" s="10"/>
      <c r="J80" s="6"/>
      <c r="K80" s="21"/>
      <c r="L80" s="21" t="s">
        <v>58</v>
      </c>
      <c r="M80" s="6" t="s">
        <v>354</v>
      </c>
      <c r="N80" s="6" t="s">
        <v>306</v>
      </c>
      <c r="O80" s="12" t="s">
        <v>262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355</v>
      </c>
      <c r="AK80" s="65">
        <v>63.57</v>
      </c>
      <c r="AL80" s="1"/>
      <c r="AM80" s="1" t="s">
        <v>232</v>
      </c>
      <c r="AN80" s="81">
        <v>46113</v>
      </c>
      <c r="AO80" s="81" t="s">
        <v>64</v>
      </c>
    </row>
    <row r="81" spans="1:41" s="26" customFormat="1" x14ac:dyDescent="0.3">
      <c r="A81" s="22" t="s">
        <v>356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357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313</v>
      </c>
      <c r="O81" s="12" t="s">
        <v>262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358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359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313</v>
      </c>
      <c r="O82" s="12" t="s">
        <v>262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360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361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219</v>
      </c>
      <c r="O83" s="12" t="s">
        <v>262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362</v>
      </c>
      <c r="B84" s="2" t="s">
        <v>298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363</v>
      </c>
      <c r="H84" s="10" t="s">
        <v>43</v>
      </c>
      <c r="I84" s="10"/>
      <c r="J84" s="6"/>
      <c r="K84" s="21"/>
      <c r="L84" s="21" t="s">
        <v>338</v>
      </c>
      <c r="M84" s="6" t="s">
        <v>126</v>
      </c>
      <c r="N84" s="6" t="s">
        <v>364</v>
      </c>
      <c r="O84" s="12" t="s">
        <v>262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365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366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219</v>
      </c>
      <c r="O85" s="12" t="s">
        <v>262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367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368</v>
      </c>
      <c r="H86" s="10" t="s">
        <v>43</v>
      </c>
      <c r="I86" s="10"/>
      <c r="J86" s="6"/>
      <c r="K86" s="21"/>
      <c r="L86" s="21" t="s">
        <v>369</v>
      </c>
      <c r="M86" s="6" t="s">
        <v>370</v>
      </c>
      <c r="N86" s="35" t="s">
        <v>371</v>
      </c>
      <c r="O86" s="12" t="s">
        <v>262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372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373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262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374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375</v>
      </c>
      <c r="H88" s="10" t="s">
        <v>43</v>
      </c>
      <c r="I88" s="10"/>
      <c r="J88" s="6"/>
      <c r="K88" s="21"/>
      <c r="L88" s="21" t="s">
        <v>376</v>
      </c>
      <c r="M88" s="6" t="s">
        <v>377</v>
      </c>
      <c r="N88" s="6" t="s">
        <v>378</v>
      </c>
      <c r="O88" s="12" t="s">
        <v>262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379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380</v>
      </c>
      <c r="H89" s="10" t="s">
        <v>43</v>
      </c>
      <c r="I89" s="10"/>
      <c r="J89" s="6"/>
      <c r="K89" s="21"/>
      <c r="L89" s="5" t="s">
        <v>369</v>
      </c>
      <c r="M89" s="6" t="s">
        <v>126</v>
      </c>
      <c r="N89" s="6" t="s">
        <v>381</v>
      </c>
      <c r="O89" s="12" t="s">
        <v>262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382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383</v>
      </c>
      <c r="H90" s="12" t="s">
        <v>43</v>
      </c>
      <c r="I90" s="10"/>
      <c r="J90" s="4"/>
      <c r="K90" s="5"/>
      <c r="L90" s="5" t="s">
        <v>369</v>
      </c>
      <c r="M90" s="4" t="s">
        <v>225</v>
      </c>
      <c r="N90" s="4" t="s">
        <v>209</v>
      </c>
      <c r="O90" s="12" t="s">
        <v>262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384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385</v>
      </c>
      <c r="H91" s="10">
        <v>34027465</v>
      </c>
      <c r="I91" s="10"/>
      <c r="J91" s="6"/>
      <c r="K91" s="21"/>
      <c r="L91" s="21" t="s">
        <v>75</v>
      </c>
      <c r="M91" s="6" t="s">
        <v>260</v>
      </c>
      <c r="N91" s="35" t="s">
        <v>386</v>
      </c>
      <c r="O91" s="12" t="s">
        <v>262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387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388</v>
      </c>
      <c r="H92" s="10">
        <v>34028133</v>
      </c>
      <c r="I92" s="10"/>
      <c r="J92" s="6"/>
      <c r="K92" s="21"/>
      <c r="L92" s="21" t="s">
        <v>75</v>
      </c>
      <c r="M92" s="6" t="s">
        <v>260</v>
      </c>
      <c r="N92" s="6" t="s">
        <v>389</v>
      </c>
      <c r="O92" s="12" t="s">
        <v>262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390</v>
      </c>
      <c r="B93" s="2" t="s">
        <v>298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391</v>
      </c>
      <c r="H93" s="10" t="s">
        <v>43</v>
      </c>
      <c r="I93" s="10"/>
      <c r="J93" s="6"/>
      <c r="K93" s="5"/>
      <c r="L93" s="5" t="s">
        <v>338</v>
      </c>
      <c r="M93" s="6" t="s">
        <v>126</v>
      </c>
      <c r="N93" s="6" t="s">
        <v>127</v>
      </c>
      <c r="O93" s="12" t="s">
        <v>262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392</v>
      </c>
      <c r="B94" s="2" t="s">
        <v>217</v>
      </c>
      <c r="C94" s="21">
        <v>1.5</v>
      </c>
      <c r="D94" s="23">
        <v>698</v>
      </c>
      <c r="E94" s="23" t="s">
        <v>43</v>
      </c>
      <c r="F94" s="23"/>
      <c r="G94" s="3" t="s">
        <v>393</v>
      </c>
      <c r="H94" s="10" t="s">
        <v>43</v>
      </c>
      <c r="I94" s="10"/>
      <c r="J94" s="6"/>
      <c r="K94" s="21"/>
      <c r="L94" s="21" t="s">
        <v>369</v>
      </c>
      <c r="M94" s="6" t="s">
        <v>47</v>
      </c>
      <c r="N94" s="6" t="s">
        <v>394</v>
      </c>
      <c r="O94" s="12" t="s">
        <v>262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395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396</v>
      </c>
      <c r="H95" s="10" t="s">
        <v>43</v>
      </c>
      <c r="I95" s="10"/>
      <c r="J95" s="10"/>
      <c r="K95" s="11"/>
      <c r="L95" s="11" t="s">
        <v>376</v>
      </c>
      <c r="M95" s="10" t="s">
        <v>214</v>
      </c>
      <c r="N95" s="10" t="s">
        <v>397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398</v>
      </c>
      <c r="B96" s="2" t="s">
        <v>298</v>
      </c>
      <c r="C96" s="21">
        <v>4</v>
      </c>
      <c r="D96" s="23">
        <v>1200</v>
      </c>
      <c r="E96" s="23">
        <v>2220</v>
      </c>
      <c r="F96" s="23"/>
      <c r="G96" s="3" t="s">
        <v>399</v>
      </c>
      <c r="H96" s="10" t="s">
        <v>43</v>
      </c>
      <c r="I96" s="10"/>
      <c r="J96" s="6"/>
      <c r="K96" s="21"/>
      <c r="L96" s="21" t="s">
        <v>369</v>
      </c>
      <c r="M96" s="6" t="s">
        <v>126</v>
      </c>
      <c r="N96" s="6"/>
      <c r="O96" s="12" t="s">
        <v>262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400</v>
      </c>
      <c r="AK96" s="65">
        <v>1122.3399999999999</v>
      </c>
      <c r="AL96" s="1"/>
      <c r="AM96" s="1" t="s">
        <v>232</v>
      </c>
      <c r="AN96" s="81">
        <v>46113</v>
      </c>
      <c r="AO96" s="81" t="s">
        <v>64</v>
      </c>
    </row>
    <row r="97" spans="1:41" s="26" customFormat="1" x14ac:dyDescent="0.3">
      <c r="A97" s="22" t="s">
        <v>401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376</v>
      </c>
      <c r="M97" s="4"/>
      <c r="N97" s="4"/>
      <c r="O97" s="12" t="s">
        <v>262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402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403</v>
      </c>
      <c r="H98" s="10" t="s">
        <v>43</v>
      </c>
      <c r="I98" s="10"/>
      <c r="J98" s="6"/>
      <c r="K98" s="21"/>
      <c r="L98" s="21" t="s">
        <v>95</v>
      </c>
      <c r="M98" s="4" t="s">
        <v>404</v>
      </c>
      <c r="N98" s="4" t="s">
        <v>405</v>
      </c>
      <c r="O98" s="12" t="s">
        <v>262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406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407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262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408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409</v>
      </c>
      <c r="H100" s="10" t="s">
        <v>43</v>
      </c>
      <c r="I100" s="10"/>
      <c r="J100" s="6"/>
      <c r="K100" s="21"/>
      <c r="L100" s="21" t="s">
        <v>369</v>
      </c>
      <c r="M100" s="6" t="s">
        <v>149</v>
      </c>
      <c r="N100" s="6" t="s">
        <v>150</v>
      </c>
      <c r="O100" s="12" t="s">
        <v>262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410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411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412</v>
      </c>
      <c r="O101" s="12" t="s">
        <v>262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413</v>
      </c>
      <c r="B102" s="2" t="s">
        <v>298</v>
      </c>
      <c r="C102" s="21">
        <v>4</v>
      </c>
      <c r="D102" s="23">
        <v>1200</v>
      </c>
      <c r="E102" s="23">
        <v>2000</v>
      </c>
      <c r="F102" s="23"/>
      <c r="G102" s="3" t="s">
        <v>414</v>
      </c>
      <c r="H102" s="10" t="s">
        <v>43</v>
      </c>
      <c r="I102" s="10"/>
      <c r="J102" s="6"/>
      <c r="K102" s="5"/>
      <c r="L102" s="5" t="s">
        <v>369</v>
      </c>
      <c r="M102" s="6" t="s">
        <v>126</v>
      </c>
      <c r="N102" s="6" t="s">
        <v>415</v>
      </c>
      <c r="O102" s="12" t="s">
        <v>262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416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380</v>
      </c>
      <c r="H103" s="10" t="s">
        <v>43</v>
      </c>
      <c r="I103" s="10"/>
      <c r="J103" s="6"/>
      <c r="K103" s="21"/>
      <c r="L103" s="5" t="s">
        <v>369</v>
      </c>
      <c r="M103" s="6" t="s">
        <v>126</v>
      </c>
      <c r="N103" s="6" t="s">
        <v>381</v>
      </c>
      <c r="O103" s="12" t="s">
        <v>262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417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418</v>
      </c>
      <c r="H104" s="10" t="s">
        <v>43</v>
      </c>
      <c r="I104" s="10"/>
      <c r="J104" s="6"/>
      <c r="K104" s="5"/>
      <c r="L104" s="5" t="s">
        <v>376</v>
      </c>
      <c r="M104" s="6" t="s">
        <v>47</v>
      </c>
      <c r="N104" s="35" t="s">
        <v>48</v>
      </c>
      <c r="O104" s="12" t="s">
        <v>262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419</v>
      </c>
      <c r="B105" s="2" t="s">
        <v>420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376</v>
      </c>
      <c r="M105" s="4"/>
      <c r="N105" s="4"/>
      <c r="O105" s="12" t="s">
        <v>262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421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422</v>
      </c>
      <c r="H106" s="10" t="s">
        <v>43</v>
      </c>
      <c r="I106" s="10"/>
      <c r="J106" s="6"/>
      <c r="K106" s="21"/>
      <c r="L106" s="21" t="s">
        <v>369</v>
      </c>
      <c r="M106" s="6" t="s">
        <v>260</v>
      </c>
      <c r="N106" s="6" t="s">
        <v>389</v>
      </c>
      <c r="O106" s="12" t="s">
        <v>262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423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424</v>
      </c>
      <c r="H107" s="10" t="s">
        <v>43</v>
      </c>
      <c r="I107" s="10"/>
      <c r="J107" s="10"/>
      <c r="K107" s="11"/>
      <c r="L107" s="11" t="s">
        <v>376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425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426</v>
      </c>
      <c r="H108" s="12" t="s">
        <v>43</v>
      </c>
      <c r="I108" s="10"/>
      <c r="J108" s="4"/>
      <c r="K108" s="5"/>
      <c r="L108" s="5" t="s">
        <v>376</v>
      </c>
      <c r="M108" s="4" t="s">
        <v>137</v>
      </c>
      <c r="N108" s="4"/>
      <c r="O108" s="12" t="s">
        <v>262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427</v>
      </c>
      <c r="B109" s="2" t="s">
        <v>217</v>
      </c>
      <c r="C109" s="21">
        <v>1.2</v>
      </c>
      <c r="D109" s="23">
        <v>101</v>
      </c>
      <c r="E109" s="23" t="s">
        <v>43</v>
      </c>
      <c r="F109" s="23"/>
      <c r="G109" s="3" t="s">
        <v>428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262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429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430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262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431</v>
      </c>
      <c r="AK110" s="65">
        <v>245</v>
      </c>
      <c r="AL110" s="1"/>
      <c r="AM110" s="1" t="s">
        <v>432</v>
      </c>
      <c r="AN110" s="81"/>
      <c r="AO110" s="81" t="s">
        <v>64</v>
      </c>
    </row>
    <row r="111" spans="1:41" s="26" customFormat="1" x14ac:dyDescent="0.3">
      <c r="A111" s="22" t="s">
        <v>433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434</v>
      </c>
      <c r="H111" s="10" t="s">
        <v>43</v>
      </c>
      <c r="I111" s="10"/>
      <c r="J111" s="6"/>
      <c r="K111" s="21"/>
      <c r="L111" s="21" t="s">
        <v>376</v>
      </c>
      <c r="M111" s="6" t="s">
        <v>160</v>
      </c>
      <c r="N111" s="6" t="s">
        <v>127</v>
      </c>
      <c r="O111" s="12" t="s">
        <v>262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435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436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262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437</v>
      </c>
      <c r="AK112" s="65">
        <v>238.71</v>
      </c>
      <c r="AL112" s="1"/>
      <c r="AM112" s="1" t="s">
        <v>232</v>
      </c>
      <c r="AN112" s="81">
        <v>46113</v>
      </c>
      <c r="AO112" s="81" t="s">
        <v>64</v>
      </c>
    </row>
    <row r="113" spans="1:41" s="26" customFormat="1" x14ac:dyDescent="0.3">
      <c r="A113" s="22" t="s">
        <v>438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439</v>
      </c>
      <c r="H113" s="10" t="s">
        <v>43</v>
      </c>
      <c r="I113" s="10"/>
      <c r="J113" s="6"/>
      <c r="K113" s="21"/>
      <c r="L113" s="21" t="s">
        <v>369</v>
      </c>
      <c r="M113" s="4" t="s">
        <v>440</v>
      </c>
      <c r="N113" s="6" t="s">
        <v>441</v>
      </c>
      <c r="O113" s="12" t="s">
        <v>262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442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376</v>
      </c>
      <c r="M114" s="4"/>
      <c r="N114" s="4"/>
      <c r="O114" s="12" t="s">
        <v>262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443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444</v>
      </c>
      <c r="H115" s="10" t="s">
        <v>43</v>
      </c>
      <c r="I115" s="12"/>
      <c r="J115" s="4"/>
      <c r="K115" s="5"/>
      <c r="L115" s="5" t="s">
        <v>58</v>
      </c>
      <c r="M115" s="4" t="s">
        <v>404</v>
      </c>
      <c r="N115" s="4" t="s">
        <v>405</v>
      </c>
      <c r="O115" s="12" t="s">
        <v>262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445</v>
      </c>
      <c r="B116" s="2" t="s">
        <v>446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376</v>
      </c>
      <c r="M116" s="6" t="s">
        <v>137</v>
      </c>
      <c r="N116" s="6"/>
      <c r="O116" s="12" t="s">
        <v>262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447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448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262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449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450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386</v>
      </c>
      <c r="O118" s="12" t="s">
        <v>262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451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452</v>
      </c>
      <c r="H119" s="10" t="s">
        <v>43</v>
      </c>
      <c r="I119" s="10"/>
      <c r="J119" s="6"/>
      <c r="K119" s="21"/>
      <c r="L119" s="21" t="s">
        <v>376</v>
      </c>
      <c r="M119" s="6" t="s">
        <v>137</v>
      </c>
      <c r="N119" s="6"/>
      <c r="O119" s="12" t="s">
        <v>262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453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324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454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455</v>
      </c>
      <c r="H121" s="12" t="s">
        <v>43</v>
      </c>
      <c r="I121" s="10"/>
      <c r="J121" s="4"/>
      <c r="K121" s="5"/>
      <c r="L121" s="5" t="s">
        <v>376</v>
      </c>
      <c r="M121" s="4" t="s">
        <v>377</v>
      </c>
      <c r="N121" s="4"/>
      <c r="O121" s="12" t="s">
        <v>262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456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376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457</v>
      </c>
      <c r="B123" s="2" t="s">
        <v>298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369</v>
      </c>
      <c r="M123" s="4" t="s">
        <v>377</v>
      </c>
      <c r="N123" s="4"/>
      <c r="O123" s="12" t="s">
        <v>262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458</v>
      </c>
      <c r="AK123" s="65">
        <v>189.65</v>
      </c>
      <c r="AL123" s="1"/>
      <c r="AM123" s="1" t="s">
        <v>232</v>
      </c>
      <c r="AN123" s="81">
        <v>46113</v>
      </c>
      <c r="AO123" s="81" t="s">
        <v>64</v>
      </c>
    </row>
    <row r="124" spans="1:41" s="26" customFormat="1" x14ac:dyDescent="0.3">
      <c r="A124" s="22" t="s">
        <v>459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376</v>
      </c>
      <c r="M124" s="4"/>
      <c r="N124" s="4"/>
      <c r="O124" s="12" t="s">
        <v>262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460</v>
      </c>
      <c r="B125" s="2" t="s">
        <v>217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461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262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462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463</v>
      </c>
      <c r="H126" s="10" t="s">
        <v>43</v>
      </c>
      <c r="I126" s="10"/>
      <c r="J126" s="6"/>
      <c r="K126" s="21"/>
      <c r="L126" s="21" t="s">
        <v>324</v>
      </c>
      <c r="M126" s="6" t="s">
        <v>260</v>
      </c>
      <c r="N126" s="6" t="s">
        <v>464</v>
      </c>
      <c r="O126" s="12" t="s">
        <v>262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465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466</v>
      </c>
      <c r="H127" s="12" t="s">
        <v>43</v>
      </c>
      <c r="I127" s="12"/>
      <c r="J127" s="4"/>
      <c r="K127" s="5"/>
      <c r="L127" s="5" t="s">
        <v>376</v>
      </c>
      <c r="M127" s="4" t="s">
        <v>160</v>
      </c>
      <c r="N127" s="4" t="s">
        <v>127</v>
      </c>
      <c r="O127" s="12" t="s">
        <v>262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467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468</v>
      </c>
      <c r="H128" s="10" t="s">
        <v>43</v>
      </c>
      <c r="I128" s="10"/>
      <c r="J128" s="6"/>
      <c r="K128" s="21"/>
      <c r="L128" s="21" t="s">
        <v>376</v>
      </c>
      <c r="M128" s="6" t="s">
        <v>225</v>
      </c>
      <c r="N128" s="6" t="s">
        <v>469</v>
      </c>
      <c r="O128" s="12" t="s">
        <v>262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470</v>
      </c>
      <c r="B129" s="8" t="s">
        <v>217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471</v>
      </c>
      <c r="H129" s="12" t="s">
        <v>43</v>
      </c>
      <c r="I129" s="10"/>
      <c r="J129" s="12"/>
      <c r="K129" s="14"/>
      <c r="L129" s="14" t="s">
        <v>376</v>
      </c>
      <c r="M129" s="12" t="s">
        <v>225</v>
      </c>
      <c r="N129" s="12" t="s">
        <v>209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472</v>
      </c>
      <c r="B130" s="2" t="s">
        <v>298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376</v>
      </c>
      <c r="M130" s="6"/>
      <c r="N130" s="6"/>
      <c r="O130" s="12" t="s">
        <v>262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473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376</v>
      </c>
      <c r="M131" s="4"/>
      <c r="N131" s="4"/>
      <c r="O131" s="12" t="s">
        <v>262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474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452</v>
      </c>
      <c r="H132" s="12" t="s">
        <v>43</v>
      </c>
      <c r="I132" s="10"/>
      <c r="J132" s="4"/>
      <c r="K132" s="5"/>
      <c r="L132" s="5" t="s">
        <v>376</v>
      </c>
      <c r="M132" s="4" t="s">
        <v>137</v>
      </c>
      <c r="N132" s="4"/>
      <c r="O132" s="12" t="s">
        <v>262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475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476</v>
      </c>
      <c r="H133" s="12" t="s">
        <v>43</v>
      </c>
      <c r="I133" s="12"/>
      <c r="J133" s="4"/>
      <c r="K133" s="5"/>
      <c r="L133" s="5" t="s">
        <v>376</v>
      </c>
      <c r="M133" s="4" t="s">
        <v>225</v>
      </c>
      <c r="N133" s="4" t="s">
        <v>209</v>
      </c>
      <c r="O133" s="12" t="s">
        <v>262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477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452</v>
      </c>
      <c r="H134" s="10" t="s">
        <v>43</v>
      </c>
      <c r="I134" s="10"/>
      <c r="J134" s="6"/>
      <c r="K134" s="21"/>
      <c r="L134" s="21" t="s">
        <v>376</v>
      </c>
      <c r="M134" s="6" t="s">
        <v>137</v>
      </c>
      <c r="N134" s="6"/>
      <c r="O134" s="12" t="s">
        <v>262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478</v>
      </c>
      <c r="B135" s="8" t="s">
        <v>298</v>
      </c>
      <c r="C135" s="11">
        <v>6</v>
      </c>
      <c r="D135" s="18">
        <v>1220</v>
      </c>
      <c r="E135" s="18">
        <v>1750</v>
      </c>
      <c r="F135" s="23"/>
      <c r="G135" s="9" t="s">
        <v>479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480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481</v>
      </c>
      <c r="H136" s="10" t="s">
        <v>43</v>
      </c>
      <c r="I136" s="10"/>
      <c r="J136" s="6"/>
      <c r="K136" s="21"/>
      <c r="L136" s="21" t="s">
        <v>376</v>
      </c>
      <c r="M136" s="6" t="s">
        <v>126</v>
      </c>
      <c r="N136" s="6"/>
      <c r="O136" s="12" t="s">
        <v>262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482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424</v>
      </c>
      <c r="H137" s="10" t="s">
        <v>43</v>
      </c>
      <c r="I137" s="10"/>
      <c r="J137" s="10"/>
      <c r="K137" s="11"/>
      <c r="L137" s="11" t="s">
        <v>376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483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424</v>
      </c>
      <c r="H138" s="12" t="s">
        <v>43</v>
      </c>
      <c r="I138" s="12"/>
      <c r="J138" s="4"/>
      <c r="K138" s="5"/>
      <c r="L138" s="5" t="s">
        <v>376</v>
      </c>
      <c r="M138" s="4" t="s">
        <v>149</v>
      </c>
      <c r="N138" s="4"/>
      <c r="O138" s="12" t="s">
        <v>262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484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485</v>
      </c>
      <c r="H139" s="10" t="s">
        <v>43</v>
      </c>
      <c r="I139" s="10"/>
      <c r="J139" s="10"/>
      <c r="K139" s="11"/>
      <c r="L139" s="11" t="s">
        <v>376</v>
      </c>
      <c r="M139" s="10" t="s">
        <v>225</v>
      </c>
      <c r="N139" s="10" t="s">
        <v>486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487</v>
      </c>
      <c r="B140" s="2" t="s">
        <v>298</v>
      </c>
      <c r="C140" s="21">
        <v>2</v>
      </c>
      <c r="D140" s="23">
        <v>1200</v>
      </c>
      <c r="E140" s="23">
        <v>2000</v>
      </c>
      <c r="F140" s="23"/>
      <c r="G140" s="3" t="s">
        <v>488</v>
      </c>
      <c r="H140" s="12" t="s">
        <v>43</v>
      </c>
      <c r="I140" s="12"/>
      <c r="J140" s="4"/>
      <c r="K140" s="5"/>
      <c r="L140" s="5" t="s">
        <v>376</v>
      </c>
      <c r="M140" s="4"/>
      <c r="N140" s="4" t="s">
        <v>489</v>
      </c>
      <c r="O140" s="12" t="s">
        <v>262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490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376</v>
      </c>
      <c r="M141" s="4"/>
      <c r="N141" s="4"/>
      <c r="O141" s="12" t="s">
        <v>262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491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492</v>
      </c>
      <c r="H142" s="10" t="s">
        <v>43</v>
      </c>
      <c r="I142" s="10"/>
      <c r="J142" s="10"/>
      <c r="K142" s="11"/>
      <c r="L142" s="11" t="s">
        <v>376</v>
      </c>
      <c r="M142" s="10" t="s">
        <v>225</v>
      </c>
      <c r="N142" s="10" t="s">
        <v>486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493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494</v>
      </c>
      <c r="H143" s="12" t="s">
        <v>43</v>
      </c>
      <c r="I143" s="12"/>
      <c r="J143" s="12"/>
      <c r="K143" s="14"/>
      <c r="L143" s="14" t="s">
        <v>376</v>
      </c>
      <c r="M143" s="12" t="s">
        <v>260</v>
      </c>
      <c r="N143" s="12" t="s">
        <v>495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496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497</v>
      </c>
      <c r="H144" s="12" t="s">
        <v>43</v>
      </c>
      <c r="I144" s="10"/>
      <c r="J144" s="12"/>
      <c r="K144" s="14"/>
      <c r="L144" s="14" t="s">
        <v>376</v>
      </c>
      <c r="M144" s="12" t="s">
        <v>225</v>
      </c>
      <c r="N144" s="12" t="s">
        <v>469</v>
      </c>
      <c r="O144" s="12" t="s">
        <v>262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498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376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499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376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500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376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501</v>
      </c>
      <c r="B148" s="8" t="s">
        <v>217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502</v>
      </c>
      <c r="H148" s="10" t="s">
        <v>43</v>
      </c>
      <c r="I148" s="10"/>
      <c r="J148" s="10"/>
      <c r="K148" s="11"/>
      <c r="L148" s="11" t="s">
        <v>376</v>
      </c>
      <c r="M148" s="10" t="s">
        <v>225</v>
      </c>
      <c r="N148" s="10" t="s">
        <v>209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503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383</v>
      </c>
      <c r="H149" s="12" t="s">
        <v>43</v>
      </c>
      <c r="I149" s="10"/>
      <c r="J149" s="12"/>
      <c r="K149" s="14"/>
      <c r="L149" s="14" t="s">
        <v>376</v>
      </c>
      <c r="M149" s="12" t="s">
        <v>225</v>
      </c>
      <c r="N149" s="12" t="s">
        <v>486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504</v>
      </c>
      <c r="B150" s="8" t="s">
        <v>298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376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505</v>
      </c>
      <c r="B151" s="8" t="s">
        <v>446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376</v>
      </c>
      <c r="M151" s="10" t="s">
        <v>137</v>
      </c>
      <c r="N151" s="10" t="s">
        <v>506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507</v>
      </c>
      <c r="B152" s="8" t="s">
        <v>257</v>
      </c>
      <c r="C152" s="11">
        <v>0.7</v>
      </c>
      <c r="D152" s="18">
        <v>197</v>
      </c>
      <c r="E152" s="18">
        <v>775</v>
      </c>
      <c r="F152" s="23"/>
      <c r="G152" s="9" t="s">
        <v>508</v>
      </c>
      <c r="H152" s="10" t="s">
        <v>43</v>
      </c>
      <c r="I152" s="10"/>
      <c r="J152" s="10"/>
      <c r="K152" s="11"/>
      <c r="L152" s="11" t="s">
        <v>324</v>
      </c>
      <c r="M152" s="10" t="s">
        <v>225</v>
      </c>
      <c r="N152" s="10" t="s">
        <v>509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510</v>
      </c>
      <c r="B153" s="8" t="s">
        <v>317</v>
      </c>
      <c r="C153" s="11">
        <v>0.9</v>
      </c>
      <c r="D153" s="18">
        <v>1250</v>
      </c>
      <c r="E153" s="18" t="s">
        <v>43</v>
      </c>
      <c r="F153" s="23"/>
      <c r="G153" s="9" t="s">
        <v>511</v>
      </c>
      <c r="H153" s="10" t="s">
        <v>43</v>
      </c>
      <c r="I153" s="10"/>
      <c r="J153" s="10"/>
      <c r="K153" s="11"/>
      <c r="L153" s="11" t="s">
        <v>376</v>
      </c>
      <c r="M153" s="12" t="s">
        <v>260</v>
      </c>
      <c r="N153" s="10" t="s">
        <v>389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512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513</v>
      </c>
      <c r="H154" s="12" t="s">
        <v>43</v>
      </c>
      <c r="I154" s="10"/>
      <c r="J154" s="12"/>
      <c r="K154" s="14"/>
      <c r="L154" s="14" t="s">
        <v>376</v>
      </c>
      <c r="M154" s="12" t="s">
        <v>260</v>
      </c>
      <c r="N154" s="12" t="s">
        <v>464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514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515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486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516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517</v>
      </c>
      <c r="H156" s="10" t="s">
        <v>43</v>
      </c>
      <c r="I156" s="10"/>
      <c r="J156" s="10"/>
      <c r="K156" s="11"/>
      <c r="L156" s="11" t="s">
        <v>376</v>
      </c>
      <c r="M156" s="10" t="s">
        <v>260</v>
      </c>
      <c r="N156" s="10" t="s">
        <v>518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519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520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486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521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522</v>
      </c>
      <c r="H158" s="10" t="s">
        <v>43</v>
      </c>
      <c r="I158" s="10"/>
      <c r="J158" s="10"/>
      <c r="K158" s="11"/>
      <c r="L158" s="11" t="s">
        <v>376</v>
      </c>
      <c r="M158" s="10" t="s">
        <v>260</v>
      </c>
      <c r="N158" s="10" t="s">
        <v>464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523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524</v>
      </c>
      <c r="H159" s="12" t="s">
        <v>43</v>
      </c>
      <c r="I159" s="10"/>
      <c r="J159" s="12"/>
      <c r="K159" s="14"/>
      <c r="L159" s="14" t="s">
        <v>376</v>
      </c>
      <c r="M159" s="12" t="s">
        <v>260</v>
      </c>
      <c r="N159" s="12" t="s">
        <v>464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525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526</v>
      </c>
      <c r="H160" s="12" t="s">
        <v>43</v>
      </c>
      <c r="I160" s="12"/>
      <c r="J160" s="12"/>
      <c r="K160" s="14"/>
      <c r="L160" s="14" t="s">
        <v>58</v>
      </c>
      <c r="M160" s="12" t="s">
        <v>260</v>
      </c>
      <c r="N160" s="10" t="s">
        <v>495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527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528</v>
      </c>
      <c r="H161" s="12" t="s">
        <v>43</v>
      </c>
      <c r="I161" s="12"/>
      <c r="J161" s="12"/>
      <c r="K161" s="14"/>
      <c r="L161" s="14" t="s">
        <v>376</v>
      </c>
      <c r="M161" s="12" t="s">
        <v>260</v>
      </c>
      <c r="N161" s="12" t="s">
        <v>389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529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530</v>
      </c>
      <c r="H162" s="10" t="s">
        <v>43</v>
      </c>
      <c r="I162" s="10"/>
      <c r="J162" s="10"/>
      <c r="K162" s="11"/>
      <c r="L162" s="11" t="s">
        <v>58</v>
      </c>
      <c r="M162" s="10" t="s">
        <v>225</v>
      </c>
      <c r="N162" s="10" t="s">
        <v>531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532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533</v>
      </c>
      <c r="H163" s="12" t="s">
        <v>43</v>
      </c>
      <c r="I163" s="12"/>
      <c r="J163" s="12"/>
      <c r="K163" s="14"/>
      <c r="L163" s="14" t="s">
        <v>376</v>
      </c>
      <c r="M163" s="12" t="s">
        <v>260</v>
      </c>
      <c r="N163" s="12" t="s">
        <v>389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534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535</v>
      </c>
      <c r="H164" s="12" t="s">
        <v>43</v>
      </c>
      <c r="I164" s="10"/>
      <c r="J164" s="12"/>
      <c r="K164" s="14"/>
      <c r="L164" s="14" t="s">
        <v>376</v>
      </c>
      <c r="M164" s="12" t="s">
        <v>260</v>
      </c>
      <c r="N164" s="12" t="s">
        <v>389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536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537</v>
      </c>
      <c r="H165" s="10" t="s">
        <v>43</v>
      </c>
      <c r="I165" s="10"/>
      <c r="J165" s="10"/>
      <c r="K165" s="11"/>
      <c r="L165" s="11" t="s">
        <v>376</v>
      </c>
      <c r="M165" s="10" t="s">
        <v>260</v>
      </c>
      <c r="N165" s="10" t="s">
        <v>389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538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539</v>
      </c>
      <c r="H166" s="12" t="s">
        <v>43</v>
      </c>
      <c r="I166" s="10"/>
      <c r="J166" s="12"/>
      <c r="K166" s="14"/>
      <c r="L166" s="14" t="s">
        <v>376</v>
      </c>
      <c r="M166" s="12" t="s">
        <v>225</v>
      </c>
      <c r="N166" s="12" t="s">
        <v>469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540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541</v>
      </c>
      <c r="H167" s="10" t="s">
        <v>43</v>
      </c>
      <c r="I167" s="10"/>
      <c r="J167" s="10"/>
      <c r="K167" s="11"/>
      <c r="L167" s="11" t="s">
        <v>376</v>
      </c>
      <c r="M167" s="10" t="s">
        <v>260</v>
      </c>
      <c r="N167" s="10" t="s">
        <v>495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542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543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531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544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545</v>
      </c>
      <c r="H169" s="10" t="s">
        <v>43</v>
      </c>
      <c r="I169" s="10"/>
      <c r="J169" s="10"/>
      <c r="K169" s="11"/>
      <c r="L169" s="11" t="s">
        <v>58</v>
      </c>
      <c r="M169" s="10" t="s">
        <v>225</v>
      </c>
      <c r="N169" s="10" t="s">
        <v>531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546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547</v>
      </c>
      <c r="H170" s="10" t="s">
        <v>43</v>
      </c>
      <c r="I170" s="10"/>
      <c r="J170" s="10"/>
      <c r="K170" s="11"/>
      <c r="L170" s="11" t="s">
        <v>376</v>
      </c>
      <c r="M170" s="10" t="s">
        <v>260</v>
      </c>
      <c r="N170" s="10" t="s">
        <v>389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548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549</v>
      </c>
      <c r="H171" s="10" t="s">
        <v>43</v>
      </c>
      <c r="I171" s="10"/>
      <c r="J171" s="10"/>
      <c r="K171" s="11"/>
      <c r="L171" s="11" t="s">
        <v>376</v>
      </c>
      <c r="M171" s="10" t="s">
        <v>260</v>
      </c>
      <c r="N171" s="10" t="s">
        <v>495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550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551</v>
      </c>
      <c r="H172" s="12" t="s">
        <v>43</v>
      </c>
      <c r="I172" s="12"/>
      <c r="J172" s="12"/>
      <c r="K172" s="14"/>
      <c r="L172" s="14" t="s">
        <v>376</v>
      </c>
      <c r="M172" s="12" t="s">
        <v>260</v>
      </c>
      <c r="N172" s="12" t="s">
        <v>495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552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553</v>
      </c>
      <c r="H173" s="10" t="s">
        <v>43</v>
      </c>
      <c r="I173" s="10"/>
      <c r="J173" s="10"/>
      <c r="K173" s="11"/>
      <c r="L173" s="11" t="s">
        <v>376</v>
      </c>
      <c r="M173" s="10" t="s">
        <v>260</v>
      </c>
      <c r="N173" s="10" t="s">
        <v>495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554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555</v>
      </c>
      <c r="H174" s="12" t="s">
        <v>43</v>
      </c>
      <c r="I174" s="10"/>
      <c r="J174" s="12"/>
      <c r="K174" s="14"/>
      <c r="L174" s="14" t="s">
        <v>376</v>
      </c>
      <c r="M174" s="12" t="s">
        <v>260</v>
      </c>
      <c r="N174" s="12" t="s">
        <v>518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556</v>
      </c>
      <c r="B175" s="8"/>
      <c r="C175" s="11"/>
      <c r="D175" s="18"/>
      <c r="E175" s="18"/>
      <c r="F175" s="23"/>
      <c r="G175" s="9" t="s">
        <v>304</v>
      </c>
      <c r="H175" s="10"/>
      <c r="I175" s="10"/>
      <c r="J175" s="10"/>
      <c r="K175" s="11"/>
      <c r="L175" s="11" t="s">
        <v>245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557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558</v>
      </c>
      <c r="H176" s="12" t="s">
        <v>43</v>
      </c>
      <c r="I176" s="12"/>
      <c r="J176" s="12"/>
      <c r="K176" s="14"/>
      <c r="L176" s="14" t="s">
        <v>376</v>
      </c>
      <c r="M176" s="12" t="s">
        <v>126</v>
      </c>
      <c r="N176" s="12" t="s">
        <v>559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560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561</v>
      </c>
      <c r="H177" s="12" t="s">
        <v>43</v>
      </c>
      <c r="I177" s="12"/>
      <c r="J177" s="12"/>
      <c r="K177" s="14"/>
      <c r="L177" s="14" t="s">
        <v>376</v>
      </c>
      <c r="M177" s="12" t="s">
        <v>225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562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563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564</v>
      </c>
      <c r="H179" s="12" t="s">
        <v>43</v>
      </c>
      <c r="I179" s="10"/>
      <c r="J179" s="12"/>
      <c r="K179" s="14"/>
      <c r="L179" s="14" t="s">
        <v>376</v>
      </c>
      <c r="M179" s="12" t="s">
        <v>370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569</v>
      </c>
      <c r="AK180" s="65">
        <v>19166.669999999998</v>
      </c>
      <c r="AL180" s="1"/>
      <c r="AM180" s="1" t="s">
        <v>570</v>
      </c>
      <c r="AN180" s="81">
        <v>46204</v>
      </c>
      <c r="AO180" s="81" t="s">
        <v>64</v>
      </c>
    </row>
    <row r="181" spans="1:41" s="26" customFormat="1" hidden="1" x14ac:dyDescent="0.3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95</v>
      </c>
      <c r="M181" s="10" t="s">
        <v>573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574</v>
      </c>
      <c r="AK181" s="65">
        <v>16017.83</v>
      </c>
      <c r="AL181" s="1"/>
      <c r="AM181" s="1" t="s">
        <v>575</v>
      </c>
      <c r="AN181" s="81">
        <v>46082</v>
      </c>
      <c r="AO181" s="81" t="s">
        <v>64</v>
      </c>
    </row>
    <row r="182" spans="1:41" s="26" customFormat="1" x14ac:dyDescent="0.3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214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214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376</v>
      </c>
      <c r="M184" s="12" t="s">
        <v>137</v>
      </c>
      <c r="N184" s="12" t="s">
        <v>486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376</v>
      </c>
      <c r="M185" s="10" t="s">
        <v>260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225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225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486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225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376</v>
      </c>
      <c r="M192" s="12" t="s">
        <v>260</v>
      </c>
      <c r="N192" s="12" t="s">
        <v>464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376</v>
      </c>
      <c r="M194" s="10" t="s">
        <v>260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376</v>
      </c>
      <c r="M195" s="10" t="s">
        <v>370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376</v>
      </c>
      <c r="M196" s="10" t="s">
        <v>370</v>
      </c>
      <c r="N196" s="10" t="s">
        <v>608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611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612</v>
      </c>
      <c r="H197" s="10" t="s">
        <v>43</v>
      </c>
      <c r="I197" s="10"/>
      <c r="J197" s="10"/>
      <c r="K197" s="11"/>
      <c r="L197" s="11" t="s">
        <v>376</v>
      </c>
      <c r="M197" s="10" t="s">
        <v>260</v>
      </c>
      <c r="N197" s="10" t="s">
        <v>495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613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614</v>
      </c>
      <c r="H198" s="12" t="s">
        <v>43</v>
      </c>
      <c r="I198" s="12"/>
      <c r="J198" s="12"/>
      <c r="K198" s="14"/>
      <c r="L198" s="14" t="s">
        <v>376</v>
      </c>
      <c r="M198" s="12" t="s">
        <v>260</v>
      </c>
      <c r="N198" s="12" t="s">
        <v>495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615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616</v>
      </c>
      <c r="H199" s="10" t="s">
        <v>43</v>
      </c>
      <c r="I199" s="10"/>
      <c r="J199" s="10"/>
      <c r="K199" s="11"/>
      <c r="L199" s="11" t="s">
        <v>376</v>
      </c>
      <c r="M199" s="10" t="s">
        <v>260</v>
      </c>
      <c r="N199" s="10" t="s">
        <v>495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617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618</v>
      </c>
      <c r="H200" s="10" t="s">
        <v>43</v>
      </c>
      <c r="I200" s="10"/>
      <c r="J200" s="10"/>
      <c r="K200" s="11"/>
      <c r="L200" s="11" t="s">
        <v>376</v>
      </c>
      <c r="M200" s="10" t="s">
        <v>260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619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620</v>
      </c>
      <c r="H201" s="10" t="s">
        <v>43</v>
      </c>
      <c r="I201" s="10"/>
      <c r="J201" s="10"/>
      <c r="K201" s="11"/>
      <c r="L201" s="14" t="s">
        <v>376</v>
      </c>
      <c r="M201" s="10" t="s">
        <v>621</v>
      </c>
      <c r="N201" s="10" t="s">
        <v>621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622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315</v>
      </c>
      <c r="H202" s="10" t="s">
        <v>43</v>
      </c>
      <c r="I202" s="10"/>
      <c r="J202" s="10"/>
      <c r="K202" s="11"/>
      <c r="L202" s="11" t="s">
        <v>58</v>
      </c>
      <c r="M202" s="10" t="s">
        <v>225</v>
      </c>
      <c r="N202" s="10" t="s">
        <v>531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623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624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591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625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208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209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626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383</v>
      </c>
      <c r="H206" s="12" t="s">
        <v>43</v>
      </c>
      <c r="I206" s="10"/>
      <c r="J206" s="12"/>
      <c r="K206" s="14"/>
      <c r="L206" s="14" t="s">
        <v>369</v>
      </c>
      <c r="M206" s="12" t="s">
        <v>225</v>
      </c>
      <c r="N206" s="12" t="s">
        <v>209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627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628</v>
      </c>
      <c r="H207" s="12" t="s">
        <v>43</v>
      </c>
      <c r="I207" s="12"/>
      <c r="J207" s="12"/>
      <c r="K207" s="14"/>
      <c r="L207" s="14" t="s">
        <v>75</v>
      </c>
      <c r="M207" s="12" t="s">
        <v>629</v>
      </c>
      <c r="N207" s="12" t="s">
        <v>518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630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631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486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632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633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634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635</v>
      </c>
      <c r="H210" s="12" t="s">
        <v>43</v>
      </c>
      <c r="I210" s="12"/>
      <c r="J210" s="12"/>
      <c r="K210" s="14"/>
      <c r="L210" s="14" t="s">
        <v>376</v>
      </c>
      <c r="M210" s="12" t="s">
        <v>260</v>
      </c>
      <c r="N210" s="12" t="s">
        <v>219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636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637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638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639</v>
      </c>
      <c r="H212" s="12" t="s">
        <v>43</v>
      </c>
      <c r="I212" s="12"/>
      <c r="J212" s="12"/>
      <c r="K212" s="14"/>
      <c r="L212" s="14" t="s">
        <v>376</v>
      </c>
      <c r="M212" s="12" t="s">
        <v>260</v>
      </c>
      <c r="N212" s="12" t="s">
        <v>495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640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641</v>
      </c>
      <c r="H213" s="12" t="s">
        <v>43</v>
      </c>
      <c r="I213" s="10"/>
      <c r="J213" s="12"/>
      <c r="K213" s="14"/>
      <c r="L213" s="14" t="s">
        <v>75</v>
      </c>
      <c r="M213" s="12" t="s">
        <v>260</v>
      </c>
      <c r="N213" s="12" t="s">
        <v>464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642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643</v>
      </c>
      <c r="H214" s="12" t="s">
        <v>43</v>
      </c>
      <c r="I214" s="12"/>
      <c r="J214" s="12"/>
      <c r="K214" s="14"/>
      <c r="L214" s="14" t="s">
        <v>75</v>
      </c>
      <c r="M214" s="12" t="s">
        <v>629</v>
      </c>
      <c r="N214" s="12" t="s">
        <v>518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644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645</v>
      </c>
      <c r="H215" s="10" t="s">
        <v>43</v>
      </c>
      <c r="I215" s="10"/>
      <c r="J215" s="10"/>
      <c r="K215" s="11"/>
      <c r="L215" s="11" t="s">
        <v>376</v>
      </c>
      <c r="M215" s="10" t="s">
        <v>646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647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648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649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650</v>
      </c>
      <c r="H217" s="10" t="s">
        <v>43</v>
      </c>
      <c r="I217" s="10"/>
      <c r="J217" s="10"/>
      <c r="K217" s="11"/>
      <c r="L217" s="11" t="s">
        <v>376</v>
      </c>
      <c r="M217" s="10" t="s">
        <v>126</v>
      </c>
      <c r="N217" s="10" t="s">
        <v>651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652</v>
      </c>
      <c r="B218" s="8" t="s">
        <v>298</v>
      </c>
      <c r="C218" s="11">
        <v>2</v>
      </c>
      <c r="D218" s="18">
        <v>1200</v>
      </c>
      <c r="E218" s="18">
        <v>2000</v>
      </c>
      <c r="F218" s="23"/>
      <c r="G218" s="9" t="s">
        <v>653</v>
      </c>
      <c r="H218" s="10" t="s">
        <v>43</v>
      </c>
      <c r="I218" s="10"/>
      <c r="J218" s="10"/>
      <c r="K218" s="11"/>
      <c r="L218" s="11" t="s">
        <v>376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654</v>
      </c>
      <c r="B219" s="8" t="s">
        <v>298</v>
      </c>
      <c r="C219" s="11">
        <v>2</v>
      </c>
      <c r="D219" s="18">
        <v>1100</v>
      </c>
      <c r="E219" s="18">
        <v>1775</v>
      </c>
      <c r="F219" s="23"/>
      <c r="G219" s="9" t="s">
        <v>655</v>
      </c>
      <c r="H219" s="10">
        <v>34015160</v>
      </c>
      <c r="I219" s="10"/>
      <c r="J219" s="10"/>
      <c r="K219" s="11"/>
      <c r="L219" s="11" t="s">
        <v>75</v>
      </c>
      <c r="M219" s="10" t="s">
        <v>225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656</v>
      </c>
      <c r="B220" s="8" t="s">
        <v>298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657</v>
      </c>
      <c r="B221" s="8" t="s">
        <v>298</v>
      </c>
      <c r="C221" s="11">
        <v>2</v>
      </c>
      <c r="D221" s="18">
        <v>1200</v>
      </c>
      <c r="E221" s="18">
        <v>1950</v>
      </c>
      <c r="F221" s="23"/>
      <c r="G221" s="9" t="s">
        <v>658</v>
      </c>
      <c r="H221" s="10" t="s">
        <v>43</v>
      </c>
      <c r="I221" s="10"/>
      <c r="J221" s="10"/>
      <c r="K221" s="11"/>
      <c r="L221" s="11" t="s">
        <v>376</v>
      </c>
      <c r="M221" s="10" t="s">
        <v>659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660</v>
      </c>
      <c r="B222" s="8" t="s">
        <v>298</v>
      </c>
      <c r="C222" s="10" t="s">
        <v>661</v>
      </c>
      <c r="D222" s="18">
        <v>1250</v>
      </c>
      <c r="E222" s="18">
        <v>1720</v>
      </c>
      <c r="F222" s="23"/>
      <c r="G222" s="9" t="s">
        <v>662</v>
      </c>
      <c r="H222" s="10" t="s">
        <v>43</v>
      </c>
      <c r="I222" s="10"/>
      <c r="J222" s="10"/>
      <c r="K222" s="11"/>
      <c r="L222" s="11" t="s">
        <v>75</v>
      </c>
      <c r="M222" s="10" t="s">
        <v>225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663</v>
      </c>
      <c r="B223" s="8" t="s">
        <v>298</v>
      </c>
      <c r="C223" s="11">
        <v>3</v>
      </c>
      <c r="D223" s="18">
        <v>1150</v>
      </c>
      <c r="E223" s="18">
        <v>2000</v>
      </c>
      <c r="F223" s="23"/>
      <c r="G223" s="9" t="s">
        <v>664</v>
      </c>
      <c r="H223" s="10" t="s">
        <v>43</v>
      </c>
      <c r="I223" s="10"/>
      <c r="J223" s="10"/>
      <c r="K223" s="11"/>
      <c r="L223" s="11" t="s">
        <v>160</v>
      </c>
      <c r="M223" s="10" t="s">
        <v>377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665</v>
      </c>
      <c r="B224" s="8" t="s">
        <v>298</v>
      </c>
      <c r="C224" s="11">
        <v>3</v>
      </c>
      <c r="D224" s="18">
        <v>1200</v>
      </c>
      <c r="E224" s="18">
        <v>2000</v>
      </c>
      <c r="F224" s="23"/>
      <c r="G224" s="9" t="s">
        <v>666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667</v>
      </c>
      <c r="B225" s="8" t="s">
        <v>298</v>
      </c>
      <c r="C225" s="11">
        <v>3</v>
      </c>
      <c r="D225" s="18">
        <v>1220</v>
      </c>
      <c r="E225" s="18">
        <v>1400</v>
      </c>
      <c r="F225" s="23"/>
      <c r="G225" s="9" t="s">
        <v>668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669</v>
      </c>
      <c r="B226" s="8" t="s">
        <v>298</v>
      </c>
      <c r="C226" s="11">
        <v>4</v>
      </c>
      <c r="D226" s="18">
        <v>1250</v>
      </c>
      <c r="E226" s="18">
        <v>3000</v>
      </c>
      <c r="F226" s="23"/>
      <c r="G226" s="9" t="s">
        <v>670</v>
      </c>
      <c r="H226" s="10" t="s">
        <v>43</v>
      </c>
      <c r="I226" s="10"/>
      <c r="J226" s="10"/>
      <c r="K226" s="11"/>
      <c r="L226" s="11" t="s">
        <v>376</v>
      </c>
      <c r="M226" s="10" t="s">
        <v>126</v>
      </c>
      <c r="N226" s="10" t="s">
        <v>415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671</v>
      </c>
      <c r="B227" s="8" t="s">
        <v>298</v>
      </c>
      <c r="C227" s="11">
        <v>4</v>
      </c>
      <c r="D227" s="18">
        <v>1200</v>
      </c>
      <c r="E227" s="18">
        <v>1950</v>
      </c>
      <c r="F227" s="23"/>
      <c r="G227" s="9" t="s">
        <v>672</v>
      </c>
      <c r="H227" s="10" t="s">
        <v>43</v>
      </c>
      <c r="I227" s="10"/>
      <c r="J227" s="10"/>
      <c r="K227" s="11"/>
      <c r="L227" s="11" t="s">
        <v>376</v>
      </c>
      <c r="M227" s="10" t="s">
        <v>126</v>
      </c>
      <c r="N227" s="10" t="s">
        <v>673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674</v>
      </c>
      <c r="B228" s="8" t="s">
        <v>298</v>
      </c>
      <c r="C228" s="11">
        <v>4</v>
      </c>
      <c r="D228" s="18">
        <v>1200</v>
      </c>
      <c r="E228" s="18">
        <v>2100</v>
      </c>
      <c r="F228" s="23"/>
      <c r="G228" s="9" t="s">
        <v>675</v>
      </c>
      <c r="H228" s="12" t="s">
        <v>43</v>
      </c>
      <c r="I228" s="12"/>
      <c r="J228" s="12"/>
      <c r="K228" s="14"/>
      <c r="L228" s="14" t="s">
        <v>376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676</v>
      </c>
      <c r="B229" s="8" t="s">
        <v>298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376</v>
      </c>
      <c r="M229" s="10" t="s">
        <v>377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677</v>
      </c>
      <c r="B230" s="8" t="s">
        <v>298</v>
      </c>
      <c r="C230" s="11">
        <v>4.75</v>
      </c>
      <c r="D230" s="18">
        <v>1300</v>
      </c>
      <c r="E230" s="18">
        <v>2805</v>
      </c>
      <c r="F230" s="23"/>
      <c r="G230" s="9" t="s">
        <v>678</v>
      </c>
      <c r="H230" s="10" t="s">
        <v>43</v>
      </c>
      <c r="I230" s="10"/>
      <c r="J230" s="10"/>
      <c r="K230" s="11"/>
      <c r="L230" s="11" t="s">
        <v>376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679</v>
      </c>
      <c r="B231" s="8" t="s">
        <v>298</v>
      </c>
      <c r="C231" s="11">
        <v>4.75</v>
      </c>
      <c r="D231" s="18">
        <v>1100</v>
      </c>
      <c r="E231" s="18">
        <v>2000</v>
      </c>
      <c r="F231" s="23"/>
      <c r="G231" s="9" t="s">
        <v>680</v>
      </c>
      <c r="H231" s="10" t="s">
        <v>43</v>
      </c>
      <c r="I231" s="10"/>
      <c r="J231" s="10"/>
      <c r="K231" s="11"/>
      <c r="L231" s="11" t="s">
        <v>376</v>
      </c>
      <c r="M231" s="10" t="s">
        <v>377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681</v>
      </c>
      <c r="B232" s="8" t="s">
        <v>298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376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682</v>
      </c>
      <c r="B233" s="8" t="s">
        <v>298</v>
      </c>
      <c r="C233" s="11">
        <v>5</v>
      </c>
      <c r="D233" s="18">
        <v>1000</v>
      </c>
      <c r="E233" s="18">
        <v>1200</v>
      </c>
      <c r="F233" s="23"/>
      <c r="G233" s="9" t="s">
        <v>683</v>
      </c>
      <c r="H233" s="10" t="s">
        <v>43</v>
      </c>
      <c r="I233" s="10"/>
      <c r="J233" s="10"/>
      <c r="K233" s="11"/>
      <c r="L233" s="11" t="s">
        <v>376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684</v>
      </c>
      <c r="B234" s="8" t="s">
        <v>298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376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685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686</v>
      </c>
      <c r="H235" s="10">
        <v>34025702</v>
      </c>
      <c r="I235" s="10"/>
      <c r="J235" s="10"/>
      <c r="K235" s="11"/>
      <c r="L235" s="11" t="s">
        <v>75</v>
      </c>
      <c r="M235" s="10" t="s">
        <v>370</v>
      </c>
      <c r="N235" s="10" t="s">
        <v>518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687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688</v>
      </c>
      <c r="H236" s="10" t="s">
        <v>43</v>
      </c>
      <c r="I236" s="10"/>
      <c r="J236" s="10"/>
      <c r="K236" s="11"/>
      <c r="L236" s="11" t="s">
        <v>376</v>
      </c>
      <c r="M236" s="10" t="s">
        <v>260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689</v>
      </c>
      <c r="B237" s="8" t="s">
        <v>690</v>
      </c>
      <c r="C237" s="11">
        <v>1</v>
      </c>
      <c r="D237" s="18">
        <v>140</v>
      </c>
      <c r="E237" s="18">
        <v>93</v>
      </c>
      <c r="F237" s="23"/>
      <c r="G237" s="9" t="s">
        <v>691</v>
      </c>
      <c r="H237" s="10" t="s">
        <v>43</v>
      </c>
      <c r="I237" s="10"/>
      <c r="J237" s="10"/>
      <c r="K237" s="11"/>
      <c r="L237" s="11" t="s">
        <v>260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692</v>
      </c>
      <c r="B238" s="8" t="s">
        <v>217</v>
      </c>
      <c r="C238" s="11">
        <v>0.75</v>
      </c>
      <c r="D238" s="18">
        <v>170</v>
      </c>
      <c r="E238" s="18" t="s">
        <v>43</v>
      </c>
      <c r="F238" s="23"/>
      <c r="G238" s="9" t="s">
        <v>693</v>
      </c>
      <c r="H238" s="10" t="s">
        <v>43</v>
      </c>
      <c r="I238" s="10"/>
      <c r="J238" s="10"/>
      <c r="K238" s="11"/>
      <c r="L238" s="11" t="s">
        <v>376</v>
      </c>
      <c r="M238" s="10" t="s">
        <v>225</v>
      </c>
      <c r="N238" s="10" t="s">
        <v>694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695</v>
      </c>
      <c r="B239" s="8" t="s">
        <v>217</v>
      </c>
      <c r="C239" s="11">
        <v>0.75</v>
      </c>
      <c r="D239" s="18">
        <v>199</v>
      </c>
      <c r="E239" s="18" t="s">
        <v>43</v>
      </c>
      <c r="F239" s="23"/>
      <c r="G239" s="9" t="s">
        <v>696</v>
      </c>
      <c r="H239" s="10" t="s">
        <v>43</v>
      </c>
      <c r="I239" s="10"/>
      <c r="J239" s="10"/>
      <c r="K239" s="11"/>
      <c r="L239" s="11" t="s">
        <v>376</v>
      </c>
      <c r="M239" s="10" t="s">
        <v>225</v>
      </c>
      <c r="N239" s="10" t="s">
        <v>694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697</v>
      </c>
      <c r="B240" s="8" t="s">
        <v>217</v>
      </c>
      <c r="C240" s="11">
        <v>0.75</v>
      </c>
      <c r="D240" s="18">
        <v>234</v>
      </c>
      <c r="E240" s="18" t="s">
        <v>43</v>
      </c>
      <c r="F240" s="23"/>
      <c r="G240" s="9" t="s">
        <v>698</v>
      </c>
      <c r="H240" s="12" t="s">
        <v>43</v>
      </c>
      <c r="I240" s="12"/>
      <c r="J240" s="12"/>
      <c r="K240" s="14"/>
      <c r="L240" s="14" t="s">
        <v>376</v>
      </c>
      <c r="M240" s="12" t="s">
        <v>225</v>
      </c>
      <c r="N240" s="12" t="s">
        <v>694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699</v>
      </c>
      <c r="B241" s="8" t="s">
        <v>217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700</v>
      </c>
      <c r="H241" s="10" t="s">
        <v>43</v>
      </c>
      <c r="I241" s="10"/>
      <c r="J241" s="10"/>
      <c r="K241" s="11"/>
      <c r="L241" s="11" t="s">
        <v>376</v>
      </c>
      <c r="M241" s="10" t="s">
        <v>137</v>
      </c>
      <c r="N241" s="10" t="s">
        <v>486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701</v>
      </c>
      <c r="B242" s="8" t="s">
        <v>217</v>
      </c>
      <c r="C242" s="11">
        <v>0.8</v>
      </c>
      <c r="D242" s="18">
        <v>935</v>
      </c>
      <c r="E242" s="18" t="s">
        <v>43</v>
      </c>
      <c r="F242" s="23"/>
      <c r="G242" s="9" t="s">
        <v>702</v>
      </c>
      <c r="H242" s="12" t="s">
        <v>43</v>
      </c>
      <c r="I242" s="10"/>
      <c r="J242" s="12"/>
      <c r="K242" s="14"/>
      <c r="L242" s="14" t="s">
        <v>376</v>
      </c>
      <c r="M242" s="12" t="s">
        <v>137</v>
      </c>
      <c r="N242" s="12" t="s">
        <v>486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703</v>
      </c>
      <c r="B243" s="8" t="s">
        <v>217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704</v>
      </c>
      <c r="H243" s="10" t="s">
        <v>43</v>
      </c>
      <c r="I243" s="10"/>
      <c r="J243" s="10"/>
      <c r="K243" s="11"/>
      <c r="L243" s="11" t="s">
        <v>376</v>
      </c>
      <c r="M243" s="10" t="s">
        <v>225</v>
      </c>
      <c r="N243" s="10" t="s">
        <v>694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705</v>
      </c>
      <c r="B244" s="8" t="s">
        <v>217</v>
      </c>
      <c r="C244" s="11">
        <v>1.2</v>
      </c>
      <c r="D244" s="18">
        <v>147</v>
      </c>
      <c r="E244" s="18" t="s">
        <v>43</v>
      </c>
      <c r="F244" s="23"/>
      <c r="G244" s="9" t="s">
        <v>706</v>
      </c>
      <c r="H244" s="10" t="s">
        <v>43</v>
      </c>
      <c r="I244" s="10"/>
      <c r="J244" s="10"/>
      <c r="K244" s="11"/>
      <c r="L244" s="11" t="s">
        <v>376</v>
      </c>
      <c r="M244" s="10" t="s">
        <v>260</v>
      </c>
      <c r="N244" s="10" t="s">
        <v>495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707</v>
      </c>
      <c r="B245" s="8" t="s">
        <v>217</v>
      </c>
      <c r="C245" s="11">
        <v>1.2</v>
      </c>
      <c r="D245" s="18">
        <v>525</v>
      </c>
      <c r="E245" s="18" t="s">
        <v>43</v>
      </c>
      <c r="F245" s="23"/>
      <c r="G245" s="9" t="s">
        <v>708</v>
      </c>
      <c r="H245" s="10" t="s">
        <v>43</v>
      </c>
      <c r="I245" s="10"/>
      <c r="J245" s="10"/>
      <c r="K245" s="11"/>
      <c r="L245" s="11" t="s">
        <v>376</v>
      </c>
      <c r="M245" s="10" t="s">
        <v>341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709</v>
      </c>
      <c r="B246" s="8" t="s">
        <v>217</v>
      </c>
      <c r="C246" s="11">
        <v>1.4</v>
      </c>
      <c r="D246" s="18">
        <v>45</v>
      </c>
      <c r="E246" s="18" t="s">
        <v>43</v>
      </c>
      <c r="F246" s="23"/>
      <c r="G246" s="9" t="s">
        <v>710</v>
      </c>
      <c r="H246" s="10" t="s">
        <v>43</v>
      </c>
      <c r="I246" s="10"/>
      <c r="J246" s="10"/>
      <c r="K246" s="11"/>
      <c r="L246" s="11" t="s">
        <v>376</v>
      </c>
      <c r="M246" s="12" t="s">
        <v>225</v>
      </c>
      <c r="N246" s="10" t="s">
        <v>209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711</v>
      </c>
      <c r="B247" s="8" t="s">
        <v>217</v>
      </c>
      <c r="C247" s="11">
        <v>1.5</v>
      </c>
      <c r="D247" s="18">
        <v>430</v>
      </c>
      <c r="E247" s="18" t="s">
        <v>43</v>
      </c>
      <c r="F247" s="23"/>
      <c r="G247" s="9" t="s">
        <v>712</v>
      </c>
      <c r="H247" s="10" t="s">
        <v>43</v>
      </c>
      <c r="I247" s="10"/>
      <c r="J247" s="10"/>
      <c r="K247" s="11"/>
      <c r="L247" s="11" t="s">
        <v>376</v>
      </c>
      <c r="M247" s="10" t="s">
        <v>137</v>
      </c>
      <c r="N247" s="10" t="s">
        <v>486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713</v>
      </c>
      <c r="B248" s="8" t="s">
        <v>217</v>
      </c>
      <c r="C248" s="11">
        <v>1.5</v>
      </c>
      <c r="D248" s="18">
        <v>560</v>
      </c>
      <c r="E248" s="18" t="s">
        <v>43</v>
      </c>
      <c r="F248" s="23"/>
      <c r="G248" s="9" t="s">
        <v>714</v>
      </c>
      <c r="H248" s="10" t="s">
        <v>43</v>
      </c>
      <c r="I248" s="10"/>
      <c r="J248" s="10"/>
      <c r="K248" s="11"/>
      <c r="L248" s="11" t="s">
        <v>376</v>
      </c>
      <c r="M248" s="10" t="s">
        <v>137</v>
      </c>
      <c r="N248" s="10" t="s">
        <v>486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715</v>
      </c>
      <c r="B249" s="8" t="s">
        <v>217</v>
      </c>
      <c r="C249" s="11">
        <v>1.5</v>
      </c>
      <c r="D249" s="18">
        <v>210</v>
      </c>
      <c r="E249" s="18" t="s">
        <v>43</v>
      </c>
      <c r="F249" s="23"/>
      <c r="G249" s="9" t="s">
        <v>716</v>
      </c>
      <c r="H249" s="10" t="s">
        <v>43</v>
      </c>
      <c r="I249" s="10"/>
      <c r="J249" s="10"/>
      <c r="K249" s="11"/>
      <c r="L249" s="11" t="s">
        <v>376</v>
      </c>
      <c r="M249" s="10" t="s">
        <v>225</v>
      </c>
      <c r="N249" s="10" t="s">
        <v>209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717</v>
      </c>
      <c r="B250" s="8" t="s">
        <v>217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716</v>
      </c>
      <c r="H250" s="12" t="s">
        <v>43</v>
      </c>
      <c r="I250" s="10"/>
      <c r="J250" s="12"/>
      <c r="K250" s="14"/>
      <c r="L250" s="14" t="s">
        <v>376</v>
      </c>
      <c r="M250" s="12" t="s">
        <v>225</v>
      </c>
      <c r="N250" s="12" t="s">
        <v>486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718</v>
      </c>
      <c r="B251" s="8" t="s">
        <v>217</v>
      </c>
      <c r="C251" s="11">
        <v>1.7</v>
      </c>
      <c r="D251" s="18">
        <v>800</v>
      </c>
      <c r="E251" s="18" t="s">
        <v>43</v>
      </c>
      <c r="F251" s="23"/>
      <c r="G251" s="9" t="s">
        <v>719</v>
      </c>
      <c r="H251" s="10" t="s">
        <v>43</v>
      </c>
      <c r="I251" s="10"/>
      <c r="J251" s="10"/>
      <c r="K251" s="11"/>
      <c r="L251" s="11" t="s">
        <v>376</v>
      </c>
      <c r="M251" s="10" t="s">
        <v>225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720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721</v>
      </c>
      <c r="H252" s="12" t="s">
        <v>43</v>
      </c>
      <c r="I252" s="10"/>
      <c r="J252" s="12"/>
      <c r="K252" s="14"/>
      <c r="L252" s="14" t="s">
        <v>376</v>
      </c>
      <c r="M252" s="12" t="s">
        <v>377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722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723</v>
      </c>
      <c r="H253" s="10" t="s">
        <v>43</v>
      </c>
      <c r="I253" s="10"/>
      <c r="J253" s="10"/>
      <c r="K253" s="11"/>
      <c r="L253" s="11" t="s">
        <v>376</v>
      </c>
      <c r="M253" s="10" t="s">
        <v>260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724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725</v>
      </c>
      <c r="H254" s="10" t="s">
        <v>43</v>
      </c>
      <c r="I254" s="10"/>
      <c r="J254" s="10"/>
      <c r="K254" s="11"/>
      <c r="L254" s="11" t="s">
        <v>376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726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727</v>
      </c>
      <c r="H255" s="10" t="s">
        <v>43</v>
      </c>
      <c r="I255" s="10"/>
      <c r="J255" s="10"/>
      <c r="K255" s="11"/>
      <c r="L255" s="11" t="s">
        <v>376</v>
      </c>
      <c r="M255" s="10" t="s">
        <v>260</v>
      </c>
      <c r="N255" s="10" t="s">
        <v>495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728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729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219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730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731</v>
      </c>
      <c r="H257" s="10" t="s">
        <v>43</v>
      </c>
      <c r="I257" s="10"/>
      <c r="J257" s="10"/>
      <c r="K257" s="11"/>
      <c r="L257" s="11" t="s">
        <v>376</v>
      </c>
      <c r="M257" s="10" t="s">
        <v>137</v>
      </c>
      <c r="N257" s="10" t="s">
        <v>486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732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733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219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734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735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386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736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376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737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376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738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376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739</v>
      </c>
      <c r="B263" s="8" t="s">
        <v>740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376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741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376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742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376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743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376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744</v>
      </c>
      <c r="B267" s="8" t="s">
        <v>217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376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745</v>
      </c>
      <c r="B268" s="8" t="s">
        <v>746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376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747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376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748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376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749</v>
      </c>
      <c r="B271" s="8" t="s">
        <v>298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376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750</v>
      </c>
      <c r="B272" s="8" t="s">
        <v>746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376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751</v>
      </c>
      <c r="B273" s="8" t="s">
        <v>217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376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752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376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753</v>
      </c>
      <c r="B275" s="8" t="s">
        <v>298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376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754</v>
      </c>
      <c r="B276" s="8" t="s">
        <v>298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376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755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376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756</v>
      </c>
      <c r="B278" s="8" t="s">
        <v>298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376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100000000000001" hidden="1" x14ac:dyDescent="0.3">
      <c r="A279" s="22" t="s">
        <v>757</v>
      </c>
      <c r="B279" s="2" t="s">
        <v>55</v>
      </c>
      <c r="C279" s="21">
        <v>12.25</v>
      </c>
      <c r="D279" s="23">
        <v>1250</v>
      </c>
      <c r="E279" s="23" t="s">
        <v>621</v>
      </c>
      <c r="F279" s="28" t="s">
        <v>758</v>
      </c>
      <c r="G279" s="3" t="s">
        <v>759</v>
      </c>
      <c r="H279" s="6"/>
      <c r="I279" s="6" t="s">
        <v>760</v>
      </c>
      <c r="J279" s="6">
        <v>69</v>
      </c>
      <c r="K279" s="21">
        <v>24</v>
      </c>
      <c r="L279" s="21" t="s">
        <v>761</v>
      </c>
      <c r="M279" s="6" t="s">
        <v>762</v>
      </c>
      <c r="N279" s="6" t="s">
        <v>763</v>
      </c>
      <c r="O279" s="6" t="str">
        <f>_xlfn.XLOOKUP(A279,[1]Resumo!$B:$B,[1]Resumo!$A:$A)</f>
        <v>A</v>
      </c>
      <c r="P279" s="6"/>
      <c r="Q279" s="27"/>
      <c r="R279" s="28" t="s">
        <v>764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765</v>
      </c>
      <c r="AK279" s="65">
        <v>23514.418333333335</v>
      </c>
      <c r="AL279" s="1"/>
      <c r="AM279" s="62" t="s">
        <v>766</v>
      </c>
      <c r="AN279" s="81">
        <v>46266</v>
      </c>
      <c r="AO279" s="81" t="s">
        <v>64</v>
      </c>
    </row>
    <row r="280" spans="1:41" s="26" customFormat="1" ht="20.100000000000001" hidden="1" x14ac:dyDescent="0.3">
      <c r="A280" s="22" t="s">
        <v>767</v>
      </c>
      <c r="B280" s="2" t="s">
        <v>55</v>
      </c>
      <c r="C280" s="21">
        <v>15.75</v>
      </c>
      <c r="D280" s="23">
        <v>1250</v>
      </c>
      <c r="E280" s="23" t="s">
        <v>621</v>
      </c>
      <c r="F280" s="28" t="s">
        <v>758</v>
      </c>
      <c r="G280" s="3" t="s">
        <v>759</v>
      </c>
      <c r="H280" s="4"/>
      <c r="I280" s="6" t="s">
        <v>760</v>
      </c>
      <c r="J280" s="4">
        <v>69</v>
      </c>
      <c r="K280" s="5">
        <v>24</v>
      </c>
      <c r="L280" s="5" t="s">
        <v>761</v>
      </c>
      <c r="M280" s="4" t="s">
        <v>762</v>
      </c>
      <c r="N280" s="6" t="s">
        <v>763</v>
      </c>
      <c r="O280" s="4" t="s">
        <v>49</v>
      </c>
      <c r="P280" s="4"/>
      <c r="Q280" s="24"/>
      <c r="R280" s="25" t="s">
        <v>764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768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">
      <c r="A281" s="22" t="s">
        <v>769</v>
      </c>
      <c r="B281" s="2" t="s">
        <v>55</v>
      </c>
      <c r="C281" s="21">
        <v>11.75</v>
      </c>
      <c r="D281" s="23">
        <v>1000</v>
      </c>
      <c r="E281" s="23" t="s">
        <v>621</v>
      </c>
      <c r="F281" s="28" t="s">
        <v>770</v>
      </c>
      <c r="G281" s="3" t="s">
        <v>771</v>
      </c>
      <c r="H281" s="4"/>
      <c r="I281" s="6" t="s">
        <v>772</v>
      </c>
      <c r="J281" s="4">
        <v>79</v>
      </c>
      <c r="K281" s="5">
        <v>24</v>
      </c>
      <c r="L281" s="5" t="s">
        <v>58</v>
      </c>
      <c r="M281" s="4" t="s">
        <v>773</v>
      </c>
      <c r="N281" s="6" t="s">
        <v>763</v>
      </c>
      <c r="O281" s="4" t="s">
        <v>49</v>
      </c>
      <c r="P281" s="4"/>
      <c r="Q281" s="24"/>
      <c r="R281" s="25" t="s">
        <v>764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774</v>
      </c>
      <c r="AK281" s="65">
        <v>16277.125</v>
      </c>
      <c r="AL281" s="1"/>
      <c r="AM281" s="62" t="s">
        <v>775</v>
      </c>
      <c r="AN281" s="81">
        <v>46266</v>
      </c>
      <c r="AO281" s="81" t="s">
        <v>64</v>
      </c>
    </row>
    <row r="282" spans="1:41" s="26" customFormat="1" hidden="1" x14ac:dyDescent="0.3">
      <c r="A282" s="22" t="s">
        <v>776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777</v>
      </c>
      <c r="H282" s="4"/>
      <c r="I282" s="6" t="s">
        <v>760</v>
      </c>
      <c r="J282" s="4">
        <v>69</v>
      </c>
      <c r="K282" s="5">
        <v>24</v>
      </c>
      <c r="L282" s="5" t="s">
        <v>58</v>
      </c>
      <c r="M282" s="4" t="s">
        <v>778</v>
      </c>
      <c r="N282" s="4" t="s">
        <v>779</v>
      </c>
      <c r="O282" s="4" t="s">
        <v>49</v>
      </c>
      <c r="P282" s="4"/>
      <c r="Q282" s="24"/>
      <c r="R282" s="25" t="s">
        <v>764</v>
      </c>
      <c r="S282" s="6" t="s">
        <v>764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780</v>
      </c>
      <c r="AK282" s="65">
        <v>0</v>
      </c>
      <c r="AL282" s="1"/>
      <c r="AM282" s="1" t="s">
        <v>781</v>
      </c>
      <c r="AN282" s="81">
        <v>46143</v>
      </c>
      <c r="AO282" s="81" t="s">
        <v>64</v>
      </c>
    </row>
    <row r="283" spans="1:41" s="26" customFormat="1" hidden="1" x14ac:dyDescent="0.3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621</v>
      </c>
      <c r="F283" s="28" t="s">
        <v>782</v>
      </c>
      <c r="G283" s="3" t="s">
        <v>783</v>
      </c>
      <c r="H283" s="6"/>
      <c r="I283" s="6" t="s">
        <v>760</v>
      </c>
      <c r="J283" s="6">
        <v>69</v>
      </c>
      <c r="K283" s="21">
        <v>23</v>
      </c>
      <c r="L283" s="21" t="s">
        <v>95</v>
      </c>
      <c r="M283" s="4" t="s">
        <v>784</v>
      </c>
      <c r="N283" s="6"/>
      <c r="O283" s="6" t="s">
        <v>49</v>
      </c>
      <c r="P283" s="6"/>
      <c r="Q283" s="27"/>
      <c r="R283" s="28" t="s">
        <v>764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785</v>
      </c>
      <c r="AK283" s="65">
        <v>17939.827499999999</v>
      </c>
      <c r="AL283" s="1"/>
      <c r="AM283" s="1" t="s">
        <v>786</v>
      </c>
      <c r="AN283" s="81">
        <v>46235</v>
      </c>
      <c r="AO283" s="81" t="s">
        <v>64</v>
      </c>
    </row>
    <row r="284" spans="1:41" s="26" customFormat="1" ht="80.099999999999994" hidden="1" x14ac:dyDescent="0.3">
      <c r="A284" s="22" t="s">
        <v>787</v>
      </c>
      <c r="B284" s="2" t="s">
        <v>55</v>
      </c>
      <c r="C284" s="21">
        <v>10</v>
      </c>
      <c r="D284" s="23">
        <v>1050</v>
      </c>
      <c r="E284" s="23" t="s">
        <v>621</v>
      </c>
      <c r="F284" s="28" t="s">
        <v>788</v>
      </c>
      <c r="G284" s="3" t="s">
        <v>771</v>
      </c>
      <c r="H284" s="4"/>
      <c r="I284" s="6" t="s">
        <v>772</v>
      </c>
      <c r="J284" s="4">
        <v>79</v>
      </c>
      <c r="K284" s="5">
        <v>24</v>
      </c>
      <c r="L284" s="5" t="s">
        <v>58</v>
      </c>
      <c r="M284" s="4" t="s">
        <v>773</v>
      </c>
      <c r="N284" s="6" t="s">
        <v>763</v>
      </c>
      <c r="O284" s="4" t="s">
        <v>49</v>
      </c>
      <c r="P284" s="4"/>
      <c r="Q284" s="24"/>
      <c r="R284" s="25" t="s">
        <v>764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789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">
      <c r="A285" s="22" t="s">
        <v>790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791</v>
      </c>
      <c r="H285" s="6"/>
      <c r="I285" s="6" t="s">
        <v>760</v>
      </c>
      <c r="J285" s="6">
        <v>59</v>
      </c>
      <c r="K285" s="21">
        <v>24</v>
      </c>
      <c r="L285" s="5" t="s">
        <v>95</v>
      </c>
      <c r="M285" s="6" t="s">
        <v>762</v>
      </c>
      <c r="N285" s="6" t="s">
        <v>792</v>
      </c>
      <c r="O285" s="6" t="s">
        <v>49</v>
      </c>
      <c r="P285" s="6"/>
      <c r="Q285" s="27"/>
      <c r="R285" s="28" t="s">
        <v>764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793</v>
      </c>
      <c r="AK285" s="65">
        <v>0</v>
      </c>
      <c r="AL285" s="1"/>
      <c r="AM285" s="1" t="s">
        <v>794</v>
      </c>
      <c r="AN285" s="81">
        <v>46143</v>
      </c>
      <c r="AO285" s="81" t="s">
        <v>64</v>
      </c>
    </row>
    <row r="286" spans="1:41" s="26" customFormat="1" hidden="1" x14ac:dyDescent="0.3">
      <c r="A286" s="22" t="s">
        <v>795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777</v>
      </c>
      <c r="H286" s="6"/>
      <c r="I286" s="6" t="s">
        <v>760</v>
      </c>
      <c r="J286" s="6">
        <v>69</v>
      </c>
      <c r="K286" s="21">
        <v>10</v>
      </c>
      <c r="L286" s="21" t="s">
        <v>58</v>
      </c>
      <c r="M286" s="6" t="s">
        <v>778</v>
      </c>
      <c r="N286" s="6" t="s">
        <v>796</v>
      </c>
      <c r="O286" s="6" t="s">
        <v>49</v>
      </c>
      <c r="P286" s="6"/>
      <c r="Q286" s="27"/>
      <c r="R286" s="28" t="s">
        <v>764</v>
      </c>
      <c r="S286" s="6" t="s">
        <v>764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797</v>
      </c>
      <c r="AK286" s="65">
        <v>0</v>
      </c>
      <c r="AL286" s="1"/>
      <c r="AM286" s="1" t="s">
        <v>781</v>
      </c>
      <c r="AN286" s="81">
        <v>46143</v>
      </c>
      <c r="AO286" s="81" t="s">
        <v>64</v>
      </c>
    </row>
    <row r="287" spans="1:41" s="26" customFormat="1" ht="20.100000000000001" hidden="1" x14ac:dyDescent="0.3">
      <c r="A287" s="22" t="s">
        <v>798</v>
      </c>
      <c r="B287" s="2" t="s">
        <v>55</v>
      </c>
      <c r="C287" s="21">
        <v>12.75</v>
      </c>
      <c r="D287" s="23">
        <v>1250</v>
      </c>
      <c r="E287" s="23" t="s">
        <v>621</v>
      </c>
      <c r="F287" s="28" t="s">
        <v>758</v>
      </c>
      <c r="G287" s="3" t="s">
        <v>759</v>
      </c>
      <c r="H287" s="6"/>
      <c r="I287" s="6" t="s">
        <v>760</v>
      </c>
      <c r="J287" s="6">
        <v>69</v>
      </c>
      <c r="K287" s="21">
        <v>24</v>
      </c>
      <c r="L287" s="21" t="s">
        <v>58</v>
      </c>
      <c r="M287" s="6" t="s">
        <v>762</v>
      </c>
      <c r="N287" s="6" t="s">
        <v>763</v>
      </c>
      <c r="O287" s="6" t="s">
        <v>49</v>
      </c>
      <c r="P287" s="6"/>
      <c r="Q287" s="27"/>
      <c r="R287" s="28" t="s">
        <v>764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799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800</v>
      </c>
      <c r="B288" s="2" t="s">
        <v>55</v>
      </c>
      <c r="C288" s="21">
        <v>9.75</v>
      </c>
      <c r="D288" s="23">
        <v>2300</v>
      </c>
      <c r="E288" s="23" t="s">
        <v>621</v>
      </c>
      <c r="F288" s="28" t="s">
        <v>621</v>
      </c>
      <c r="G288" s="3" t="s">
        <v>777</v>
      </c>
      <c r="H288" s="6"/>
      <c r="I288" s="6" t="s">
        <v>760</v>
      </c>
      <c r="J288" s="6">
        <v>59</v>
      </c>
      <c r="K288" s="21">
        <v>10</v>
      </c>
      <c r="L288" s="21" t="s">
        <v>58</v>
      </c>
      <c r="M288" s="6" t="s">
        <v>778</v>
      </c>
      <c r="N288" s="6" t="s">
        <v>801</v>
      </c>
      <c r="O288" s="6" t="s">
        <v>49</v>
      </c>
      <c r="P288" s="6"/>
      <c r="Q288" s="27"/>
      <c r="R288" s="28" t="s">
        <v>764</v>
      </c>
      <c r="S288" s="6" t="s">
        <v>764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802</v>
      </c>
      <c r="AK288" s="65">
        <v>0</v>
      </c>
      <c r="AL288" s="1"/>
      <c r="AM288" s="1" t="s">
        <v>781</v>
      </c>
      <c r="AN288" s="81">
        <v>46143</v>
      </c>
      <c r="AO288" s="81" t="s">
        <v>64</v>
      </c>
    </row>
    <row r="289" spans="1:41" s="26" customFormat="1" hidden="1" x14ac:dyDescent="0.3">
      <c r="A289" s="22" t="s">
        <v>803</v>
      </c>
      <c r="B289" s="2" t="s">
        <v>55</v>
      </c>
      <c r="C289" s="21">
        <v>9.75</v>
      </c>
      <c r="D289" s="23">
        <v>1250</v>
      </c>
      <c r="E289" s="23" t="s">
        <v>621</v>
      </c>
      <c r="F289" s="94" t="s">
        <v>804</v>
      </c>
      <c r="G289" s="3" t="s">
        <v>680</v>
      </c>
      <c r="H289" s="4"/>
      <c r="I289" s="4" t="s">
        <v>760</v>
      </c>
      <c r="J289" s="4">
        <v>59</v>
      </c>
      <c r="K289" s="5">
        <v>24</v>
      </c>
      <c r="L289" s="5" t="s">
        <v>95</v>
      </c>
      <c r="M289" s="4" t="s">
        <v>762</v>
      </c>
      <c r="N289" s="6" t="s">
        <v>792</v>
      </c>
      <c r="O289" s="4" t="s">
        <v>167</v>
      </c>
      <c r="P289" s="4"/>
      <c r="Q289" s="24"/>
      <c r="R289" s="25" t="s">
        <v>764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805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229</v>
      </c>
      <c r="B290" s="2" t="s">
        <v>55</v>
      </c>
      <c r="C290" s="21">
        <v>4.75</v>
      </c>
      <c r="D290" s="23">
        <v>1230</v>
      </c>
      <c r="E290" s="23" t="s">
        <v>621</v>
      </c>
      <c r="F290" s="79"/>
      <c r="G290" s="3" t="s">
        <v>806</v>
      </c>
      <c r="H290" s="4"/>
      <c r="I290" s="6" t="s">
        <v>760</v>
      </c>
      <c r="J290" s="4">
        <v>69</v>
      </c>
      <c r="K290" s="5">
        <v>23</v>
      </c>
      <c r="L290" s="5" t="s">
        <v>95</v>
      </c>
      <c r="M290" s="4" t="s">
        <v>807</v>
      </c>
      <c r="N290" s="4"/>
      <c r="O290" s="4" t="s">
        <v>49</v>
      </c>
      <c r="P290" s="4"/>
      <c r="Q290" s="24"/>
      <c r="R290" s="25" t="s">
        <v>764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808</v>
      </c>
      <c r="AK290" s="65">
        <v>0</v>
      </c>
      <c r="AL290" s="1"/>
      <c r="AM290" s="1" t="s">
        <v>809</v>
      </c>
      <c r="AN290" s="81"/>
      <c r="AO290" s="81"/>
    </row>
    <row r="291" spans="1:41" s="26" customFormat="1" ht="30" hidden="1" x14ac:dyDescent="0.3">
      <c r="A291" s="22" t="s">
        <v>810</v>
      </c>
      <c r="B291" s="2" t="s">
        <v>55</v>
      </c>
      <c r="C291" s="21">
        <v>5.8</v>
      </c>
      <c r="D291" s="23">
        <v>1500</v>
      </c>
      <c r="E291" s="23"/>
      <c r="F291" s="28" t="s">
        <v>299</v>
      </c>
      <c r="G291" s="3" t="s">
        <v>811</v>
      </c>
      <c r="H291" s="6"/>
      <c r="I291" s="6" t="s">
        <v>760</v>
      </c>
      <c r="J291" s="6">
        <v>69</v>
      </c>
      <c r="K291" s="21">
        <v>24</v>
      </c>
      <c r="L291" s="21" t="s">
        <v>95</v>
      </c>
      <c r="M291" s="6" t="s">
        <v>773</v>
      </c>
      <c r="N291" s="6" t="s">
        <v>812</v>
      </c>
      <c r="O291" s="6" t="s">
        <v>49</v>
      </c>
      <c r="P291" s="6"/>
      <c r="Q291" s="27"/>
      <c r="R291" s="28" t="s">
        <v>764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813</v>
      </c>
      <c r="AK291" s="65">
        <v>0</v>
      </c>
      <c r="AL291" s="1"/>
      <c r="AM291" s="1" t="s">
        <v>814</v>
      </c>
      <c r="AN291" s="81">
        <v>46143</v>
      </c>
      <c r="AO291" s="81" t="s">
        <v>64</v>
      </c>
    </row>
    <row r="292" spans="1:41" s="26" customFormat="1" ht="39.9" hidden="1" x14ac:dyDescent="0.3">
      <c r="A292" s="22" t="s">
        <v>815</v>
      </c>
      <c r="B292" s="2" t="s">
        <v>55</v>
      </c>
      <c r="C292" s="21">
        <v>6.8</v>
      </c>
      <c r="D292" s="23">
        <v>1500</v>
      </c>
      <c r="E292" s="23" t="s">
        <v>621</v>
      </c>
      <c r="F292" s="28" t="s">
        <v>816</v>
      </c>
      <c r="G292" s="3" t="s">
        <v>811</v>
      </c>
      <c r="H292" s="6"/>
      <c r="I292" s="6" t="s">
        <v>760</v>
      </c>
      <c r="J292" s="6">
        <v>69</v>
      </c>
      <c r="K292" s="21">
        <v>26</v>
      </c>
      <c r="L292" s="21" t="s">
        <v>58</v>
      </c>
      <c r="M292" s="6" t="s">
        <v>773</v>
      </c>
      <c r="N292" s="6" t="s">
        <v>817</v>
      </c>
      <c r="O292" s="6" t="s">
        <v>49</v>
      </c>
      <c r="P292" s="6"/>
      <c r="Q292" s="27"/>
      <c r="R292" s="28" t="s">
        <v>764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818</v>
      </c>
      <c r="AK292" s="65">
        <v>0</v>
      </c>
      <c r="AL292" s="1"/>
      <c r="AM292" s="1" t="s">
        <v>819</v>
      </c>
      <c r="AN292" s="81"/>
      <c r="AO292" s="81"/>
    </row>
    <row r="293" spans="1:41" s="26" customFormat="1" ht="39.9" hidden="1" x14ac:dyDescent="0.3">
      <c r="A293" s="22" t="s">
        <v>820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821</v>
      </c>
      <c r="H293" s="4"/>
      <c r="I293" s="4" t="s">
        <v>760</v>
      </c>
      <c r="J293" s="4">
        <v>59</v>
      </c>
      <c r="K293" s="5">
        <v>23</v>
      </c>
      <c r="L293" s="5" t="s">
        <v>95</v>
      </c>
      <c r="M293" s="4" t="s">
        <v>377</v>
      </c>
      <c r="N293" s="6"/>
      <c r="O293" s="6" t="s">
        <v>167</v>
      </c>
      <c r="P293" s="4"/>
      <c r="Q293" s="24"/>
      <c r="R293" s="25" t="s">
        <v>764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822</v>
      </c>
      <c r="AK293" s="65">
        <v>0</v>
      </c>
      <c r="AL293" s="1"/>
      <c r="AM293" s="1" t="s">
        <v>823</v>
      </c>
      <c r="AN293" s="81">
        <v>46143</v>
      </c>
      <c r="AO293" s="81" t="s">
        <v>64</v>
      </c>
    </row>
    <row r="294" spans="1:41" s="26" customFormat="1" ht="39.9" hidden="1" x14ac:dyDescent="0.3">
      <c r="A294" s="22" t="s">
        <v>824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777</v>
      </c>
      <c r="H294" s="6"/>
      <c r="I294" s="6" t="s">
        <v>760</v>
      </c>
      <c r="J294" s="6">
        <v>79</v>
      </c>
      <c r="K294" s="21">
        <v>23</v>
      </c>
      <c r="L294" s="21" t="s">
        <v>58</v>
      </c>
      <c r="M294" s="6" t="s">
        <v>762</v>
      </c>
      <c r="N294" s="6" t="s">
        <v>825</v>
      </c>
      <c r="O294" s="6" t="s">
        <v>49</v>
      </c>
      <c r="P294" s="6"/>
      <c r="Q294" s="27"/>
      <c r="R294" s="28" t="s">
        <v>764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826</v>
      </c>
      <c r="AK294" s="65">
        <v>0</v>
      </c>
      <c r="AL294" s="1"/>
      <c r="AM294" s="1" t="s">
        <v>827</v>
      </c>
      <c r="AN294" s="81">
        <v>46143</v>
      </c>
      <c r="AO294" s="81" t="s">
        <v>64</v>
      </c>
    </row>
    <row r="295" spans="1:41" s="26" customFormat="1" hidden="1" x14ac:dyDescent="0.3">
      <c r="A295" s="22" t="s">
        <v>828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829</v>
      </c>
      <c r="H295" s="4"/>
      <c r="I295" s="4"/>
      <c r="J295" s="4">
        <v>63</v>
      </c>
      <c r="K295" s="5"/>
      <c r="L295" s="5" t="s">
        <v>75</v>
      </c>
      <c r="M295" s="4" t="s">
        <v>773</v>
      </c>
      <c r="N295" s="4" t="s">
        <v>830</v>
      </c>
      <c r="O295" s="4" t="s">
        <v>167</v>
      </c>
      <c r="P295" s="4"/>
      <c r="Q295" s="24"/>
      <c r="R295" s="25" t="s">
        <v>764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831</v>
      </c>
      <c r="AK295" s="65">
        <v>0</v>
      </c>
      <c r="AL295" s="1"/>
      <c r="AM295" s="1" t="s">
        <v>819</v>
      </c>
      <c r="AN295" s="81"/>
      <c r="AO295" s="81"/>
    </row>
    <row r="296" spans="1:41" s="26" customFormat="1" hidden="1" x14ac:dyDescent="0.3">
      <c r="A296" s="22" t="s">
        <v>832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833</v>
      </c>
      <c r="H296" s="4"/>
      <c r="I296" s="6" t="s">
        <v>772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834</v>
      </c>
      <c r="O296" s="4" t="s">
        <v>167</v>
      </c>
      <c r="P296" s="4"/>
      <c r="Q296" s="24"/>
      <c r="R296" s="25" t="s">
        <v>764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737</v>
      </c>
      <c r="B297" s="2" t="s">
        <v>835</v>
      </c>
      <c r="C297" s="21">
        <v>2</v>
      </c>
      <c r="D297" s="23">
        <v>1000</v>
      </c>
      <c r="E297" s="23"/>
      <c r="F297" s="28"/>
      <c r="G297" s="3" t="s">
        <v>836</v>
      </c>
      <c r="H297" s="4"/>
      <c r="I297" s="6" t="s">
        <v>772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764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783</v>
      </c>
      <c r="H298" s="4"/>
      <c r="I298" s="6" t="s">
        <v>760</v>
      </c>
      <c r="J298" s="4">
        <v>69</v>
      </c>
      <c r="K298" s="5">
        <v>24</v>
      </c>
      <c r="L298" s="5" t="s">
        <v>95</v>
      </c>
      <c r="M298" s="4" t="s">
        <v>837</v>
      </c>
      <c r="N298" s="4"/>
      <c r="O298" s="4" t="s">
        <v>167</v>
      </c>
      <c r="P298" s="4"/>
      <c r="Q298" s="24"/>
      <c r="R298" s="25" t="s">
        <v>764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838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759</v>
      </c>
      <c r="H299" s="4"/>
      <c r="I299" s="6" t="s">
        <v>760</v>
      </c>
      <c r="J299" s="4">
        <v>69</v>
      </c>
      <c r="K299" s="5">
        <v>32</v>
      </c>
      <c r="L299" s="5" t="s">
        <v>761</v>
      </c>
      <c r="M299" s="4" t="s">
        <v>762</v>
      </c>
      <c r="N299" s="6" t="s">
        <v>763</v>
      </c>
      <c r="O299" s="4" t="s">
        <v>262</v>
      </c>
      <c r="P299" s="4"/>
      <c r="Q299" s="24"/>
      <c r="R299" s="25" t="s">
        <v>764</v>
      </c>
      <c r="S299" s="6" t="s">
        <v>764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839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840</v>
      </c>
      <c r="H300" s="6"/>
      <c r="I300" s="6" t="s">
        <v>760</v>
      </c>
      <c r="J300" s="6">
        <v>59</v>
      </c>
      <c r="K300" s="21">
        <v>23</v>
      </c>
      <c r="L300" s="21" t="s">
        <v>58</v>
      </c>
      <c r="M300" s="6" t="s">
        <v>841</v>
      </c>
      <c r="N300" s="6"/>
      <c r="O300" s="6" t="s">
        <v>167</v>
      </c>
      <c r="P300" s="6"/>
      <c r="Q300" s="27"/>
      <c r="R300" s="28" t="s">
        <v>764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410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842</v>
      </c>
      <c r="H301" s="4"/>
      <c r="I301" s="6" t="s">
        <v>772</v>
      </c>
      <c r="J301" s="4">
        <v>69</v>
      </c>
      <c r="K301" s="5">
        <v>22</v>
      </c>
      <c r="L301" s="21" t="s">
        <v>58</v>
      </c>
      <c r="M301" s="4" t="s">
        <v>843</v>
      </c>
      <c r="N301" s="34" t="s">
        <v>844</v>
      </c>
      <c r="O301" s="4" t="s">
        <v>167</v>
      </c>
      <c r="P301" s="4"/>
      <c r="Q301" s="24"/>
      <c r="R301" s="25" t="s">
        <v>764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288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783</v>
      </c>
      <c r="H302" s="6"/>
      <c r="I302" s="6" t="s">
        <v>772</v>
      </c>
      <c r="J302" s="6">
        <v>69</v>
      </c>
      <c r="K302" s="21">
        <v>20</v>
      </c>
      <c r="L302" s="5" t="s">
        <v>95</v>
      </c>
      <c r="M302" s="6" t="s">
        <v>845</v>
      </c>
      <c r="N302" s="6"/>
      <c r="O302" s="6" t="s">
        <v>49</v>
      </c>
      <c r="P302" s="6"/>
      <c r="Q302" s="27"/>
      <c r="R302" s="28" t="s">
        <v>764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846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847</v>
      </c>
      <c r="H303" s="6"/>
      <c r="I303" s="6" t="s">
        <v>760</v>
      </c>
      <c r="J303" s="6">
        <v>59</v>
      </c>
      <c r="K303" s="21">
        <v>10</v>
      </c>
      <c r="L303" s="21" t="s">
        <v>58</v>
      </c>
      <c r="M303" s="6" t="s">
        <v>773</v>
      </c>
      <c r="N303" s="6" t="s">
        <v>272</v>
      </c>
      <c r="O303" s="6" t="s">
        <v>262</v>
      </c>
      <c r="P303" s="6"/>
      <c r="Q303" s="27"/>
      <c r="R303" s="28" t="s">
        <v>764</v>
      </c>
      <c r="S303" s="6" t="s">
        <v>764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848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849</v>
      </c>
      <c r="H304" s="6"/>
      <c r="I304" s="6" t="s">
        <v>760</v>
      </c>
      <c r="J304" s="6">
        <v>69</v>
      </c>
      <c r="K304" s="21">
        <v>21</v>
      </c>
      <c r="L304" s="21" t="s">
        <v>850</v>
      </c>
      <c r="M304" s="6" t="s">
        <v>778</v>
      </c>
      <c r="N304" s="6" t="s">
        <v>792</v>
      </c>
      <c r="O304" s="6" t="s">
        <v>262</v>
      </c>
      <c r="P304" s="6"/>
      <c r="Q304" s="27"/>
      <c r="R304" s="28" t="s">
        <v>764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840</v>
      </c>
      <c r="H305" s="6"/>
      <c r="I305" s="6" t="s">
        <v>760</v>
      </c>
      <c r="J305" s="6">
        <v>59</v>
      </c>
      <c r="K305" s="21">
        <v>23</v>
      </c>
      <c r="L305" s="21" t="s">
        <v>58</v>
      </c>
      <c r="M305" s="6" t="s">
        <v>851</v>
      </c>
      <c r="N305" s="6"/>
      <c r="O305" s="6" t="s">
        <v>167</v>
      </c>
      <c r="P305" s="6"/>
      <c r="Q305" s="27"/>
      <c r="R305" s="28" t="s">
        <v>764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852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853</v>
      </c>
      <c r="H306" s="6"/>
      <c r="I306" s="6"/>
      <c r="J306" s="6">
        <v>63</v>
      </c>
      <c r="K306" s="21"/>
      <c r="L306" s="21" t="s">
        <v>75</v>
      </c>
      <c r="M306" s="6" t="s">
        <v>773</v>
      </c>
      <c r="N306" s="6"/>
      <c r="O306" s="6" t="s">
        <v>167</v>
      </c>
      <c r="P306" s="6"/>
      <c r="Q306" s="27"/>
      <c r="R306" s="28" t="s">
        <v>764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854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791</v>
      </c>
      <c r="H307" s="6"/>
      <c r="I307" s="6" t="s">
        <v>760</v>
      </c>
      <c r="J307" s="6">
        <v>59</v>
      </c>
      <c r="K307" s="21">
        <v>24</v>
      </c>
      <c r="L307" s="5" t="s">
        <v>58</v>
      </c>
      <c r="M307" s="6" t="s">
        <v>762</v>
      </c>
      <c r="N307" s="6" t="s">
        <v>792</v>
      </c>
      <c r="O307" s="6" t="s">
        <v>262</v>
      </c>
      <c r="P307" s="6"/>
      <c r="Q307" s="27"/>
      <c r="R307" s="28" t="s">
        <v>764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855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821</v>
      </c>
      <c r="H308" s="4"/>
      <c r="I308" s="6" t="s">
        <v>760</v>
      </c>
      <c r="J308" s="4">
        <v>59</v>
      </c>
      <c r="K308" s="5">
        <v>23</v>
      </c>
      <c r="L308" s="5" t="s">
        <v>58</v>
      </c>
      <c r="M308" s="4" t="s">
        <v>377</v>
      </c>
      <c r="N308" s="4"/>
      <c r="O308" s="6" t="s">
        <v>167</v>
      </c>
      <c r="P308" s="4"/>
      <c r="Q308" s="24"/>
      <c r="R308" s="25" t="s">
        <v>764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856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849</v>
      </c>
      <c r="H309" s="6"/>
      <c r="I309" s="6" t="s">
        <v>760</v>
      </c>
      <c r="J309" s="6">
        <v>59</v>
      </c>
      <c r="K309" s="21">
        <v>24</v>
      </c>
      <c r="L309" s="21" t="s">
        <v>850</v>
      </c>
      <c r="M309" s="6" t="s">
        <v>778</v>
      </c>
      <c r="N309" s="6" t="s">
        <v>792</v>
      </c>
      <c r="O309" s="6" t="s">
        <v>167</v>
      </c>
      <c r="P309" s="6"/>
      <c r="Q309" s="27"/>
      <c r="R309" s="28" t="s">
        <v>764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660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857</v>
      </c>
      <c r="H310" s="6"/>
      <c r="I310" s="6"/>
      <c r="J310" s="6">
        <v>63</v>
      </c>
      <c r="K310" s="21"/>
      <c r="L310" s="21" t="s">
        <v>75</v>
      </c>
      <c r="M310" s="6" t="s">
        <v>773</v>
      </c>
      <c r="N310" s="6" t="s">
        <v>858</v>
      </c>
      <c r="O310" s="6" t="s">
        <v>167</v>
      </c>
      <c r="P310" s="6"/>
      <c r="Q310" s="27"/>
      <c r="R310" s="28" t="s">
        <v>764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748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859</v>
      </c>
      <c r="H311" s="4"/>
      <c r="I311" s="6" t="s">
        <v>760</v>
      </c>
      <c r="J311" s="4">
        <v>69</v>
      </c>
      <c r="K311" s="5">
        <v>24</v>
      </c>
      <c r="L311" s="5" t="s">
        <v>58</v>
      </c>
      <c r="M311" s="4" t="s">
        <v>860</v>
      </c>
      <c r="N311" s="4" t="s">
        <v>306</v>
      </c>
      <c r="O311" s="4" t="s">
        <v>167</v>
      </c>
      <c r="P311" s="4"/>
      <c r="Q311" s="24"/>
      <c r="R311" s="25" t="s">
        <v>764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840</v>
      </c>
      <c r="H312" s="6"/>
      <c r="I312" s="6" t="s">
        <v>760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764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861</v>
      </c>
      <c r="N313" s="6"/>
      <c r="O313" s="6"/>
      <c r="P313" s="6"/>
      <c r="Q313" s="27"/>
      <c r="R313" s="28" t="s">
        <v>764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862</v>
      </c>
      <c r="B314" s="2" t="s">
        <v>835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863</v>
      </c>
      <c r="H314" s="4"/>
      <c r="I314" s="6" t="s">
        <v>772</v>
      </c>
      <c r="J314" s="4">
        <v>69</v>
      </c>
      <c r="K314" s="5">
        <v>26</v>
      </c>
      <c r="L314" s="5" t="s">
        <v>58</v>
      </c>
      <c r="M314" s="4" t="s">
        <v>860</v>
      </c>
      <c r="N314" s="4" t="s">
        <v>864</v>
      </c>
      <c r="O314" s="4" t="s">
        <v>262</v>
      </c>
      <c r="P314" s="4"/>
      <c r="Q314" s="24"/>
      <c r="R314" s="25" t="s">
        <v>764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865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866</v>
      </c>
      <c r="H315" s="6"/>
      <c r="I315" s="6" t="s">
        <v>772</v>
      </c>
      <c r="J315" s="6">
        <v>69</v>
      </c>
      <c r="K315" s="21">
        <v>24</v>
      </c>
      <c r="L315" s="21" t="s">
        <v>58</v>
      </c>
      <c r="M315" s="6" t="s">
        <v>773</v>
      </c>
      <c r="N315" s="6" t="s">
        <v>858</v>
      </c>
      <c r="O315" s="6" t="s">
        <v>262</v>
      </c>
      <c r="P315" s="6"/>
      <c r="Q315" s="27"/>
      <c r="R315" s="28" t="s">
        <v>764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867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868</v>
      </c>
      <c r="H316" s="4"/>
      <c r="I316" s="4" t="s">
        <v>760</v>
      </c>
      <c r="J316" s="4">
        <v>59</v>
      </c>
      <c r="K316" s="5"/>
      <c r="L316" s="5" t="s">
        <v>259</v>
      </c>
      <c r="M316" s="4" t="s">
        <v>869</v>
      </c>
      <c r="N316" s="4"/>
      <c r="O316" s="4" t="s">
        <v>262</v>
      </c>
      <c r="P316" s="4"/>
      <c r="Q316" s="24"/>
      <c r="R316" s="25" t="s">
        <v>764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654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857</v>
      </c>
      <c r="H317" s="6"/>
      <c r="I317" s="6"/>
      <c r="J317" s="6">
        <v>63</v>
      </c>
      <c r="K317" s="21"/>
      <c r="L317" s="21" t="s">
        <v>75</v>
      </c>
      <c r="M317" s="6" t="s">
        <v>773</v>
      </c>
      <c r="N317" s="6" t="s">
        <v>858</v>
      </c>
      <c r="O317" s="6" t="s">
        <v>167</v>
      </c>
      <c r="P317" s="6"/>
      <c r="Q317" s="27"/>
      <c r="R317" s="28" t="s">
        <v>764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870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771</v>
      </c>
      <c r="H318" s="6"/>
      <c r="I318" s="6" t="s">
        <v>760</v>
      </c>
      <c r="J318" s="6">
        <v>69</v>
      </c>
      <c r="K318" s="21">
        <v>25</v>
      </c>
      <c r="L318" s="21" t="s">
        <v>58</v>
      </c>
      <c r="M318" s="6" t="s">
        <v>773</v>
      </c>
      <c r="N318" s="6" t="s">
        <v>871</v>
      </c>
      <c r="O318" s="6" t="s">
        <v>49</v>
      </c>
      <c r="P318" s="6"/>
      <c r="Q318" s="27"/>
      <c r="R318" s="28" t="s">
        <v>764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872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842</v>
      </c>
      <c r="H319" s="6"/>
      <c r="I319" s="6" t="s">
        <v>772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844</v>
      </c>
      <c r="O319" s="6" t="s">
        <v>262</v>
      </c>
      <c r="P319" s="6"/>
      <c r="Q319" s="27"/>
      <c r="R319" s="28" t="s">
        <v>764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345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873</v>
      </c>
      <c r="H320" s="6"/>
      <c r="I320" s="6" t="s">
        <v>760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262</v>
      </c>
      <c r="P320" s="6"/>
      <c r="Q320" s="27"/>
      <c r="R320" s="28" t="s">
        <v>764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874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773</v>
      </c>
      <c r="N321" s="4"/>
      <c r="O321" s="4" t="s">
        <v>875</v>
      </c>
      <c r="P321" s="4"/>
      <c r="Q321" s="24"/>
      <c r="R321" s="25" t="s">
        <v>764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876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868</v>
      </c>
      <c r="H322" s="6"/>
      <c r="I322" s="6" t="s">
        <v>760</v>
      </c>
      <c r="J322" s="6">
        <v>59</v>
      </c>
      <c r="K322" s="21"/>
      <c r="L322" s="5" t="s">
        <v>259</v>
      </c>
      <c r="M322" s="6" t="s">
        <v>127</v>
      </c>
      <c r="N322" s="6"/>
      <c r="O322" s="6" t="s">
        <v>262</v>
      </c>
      <c r="P322" s="6"/>
      <c r="Q322" s="27"/>
      <c r="R322" s="28" t="s">
        <v>764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877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783</v>
      </c>
      <c r="H323" s="4"/>
      <c r="I323" s="6" t="s">
        <v>772</v>
      </c>
      <c r="J323" s="4">
        <v>69</v>
      </c>
      <c r="K323" s="5">
        <v>20</v>
      </c>
      <c r="L323" s="5" t="s">
        <v>58</v>
      </c>
      <c r="M323" s="4" t="s">
        <v>377</v>
      </c>
      <c r="N323" s="4"/>
      <c r="O323" s="4"/>
      <c r="P323" s="4"/>
      <c r="Q323" s="24"/>
      <c r="R323" s="25" t="s">
        <v>764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878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879</v>
      </c>
      <c r="H324" s="6"/>
      <c r="I324" s="6"/>
      <c r="J324" s="6">
        <v>30</v>
      </c>
      <c r="K324" s="21"/>
      <c r="L324" s="21" t="s">
        <v>880</v>
      </c>
      <c r="M324" s="6" t="s">
        <v>773</v>
      </c>
      <c r="N324" s="6"/>
      <c r="O324" s="6" t="s">
        <v>262</v>
      </c>
      <c r="P324" s="6"/>
      <c r="Q324" s="27"/>
      <c r="R324" s="28" t="s">
        <v>764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881</v>
      </c>
      <c r="H325" s="4"/>
      <c r="I325" s="6" t="s">
        <v>760</v>
      </c>
      <c r="J325" s="4">
        <v>69</v>
      </c>
      <c r="K325" s="5">
        <v>15</v>
      </c>
      <c r="L325" s="5" t="s">
        <v>58</v>
      </c>
      <c r="M325" s="4" t="s">
        <v>773</v>
      </c>
      <c r="N325" s="4"/>
      <c r="O325" s="4" t="s">
        <v>167</v>
      </c>
      <c r="P325" s="4"/>
      <c r="Q325" s="24"/>
      <c r="R325" s="25" t="s">
        <v>764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882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866</v>
      </c>
      <c r="H326" s="4"/>
      <c r="I326" s="6" t="s">
        <v>760</v>
      </c>
      <c r="J326" s="4">
        <v>59</v>
      </c>
      <c r="K326" s="5">
        <v>26</v>
      </c>
      <c r="L326" s="5" t="s">
        <v>880</v>
      </c>
      <c r="M326" s="4" t="s">
        <v>883</v>
      </c>
      <c r="N326" s="4"/>
      <c r="O326" s="4" t="s">
        <v>262</v>
      </c>
      <c r="P326" s="4"/>
      <c r="Q326" s="24"/>
      <c r="R326" s="25" t="s">
        <v>764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656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857</v>
      </c>
      <c r="H327" s="6"/>
      <c r="I327" s="6"/>
      <c r="J327" s="6">
        <v>63</v>
      </c>
      <c r="K327" s="21"/>
      <c r="L327" s="21" t="s">
        <v>75</v>
      </c>
      <c r="M327" s="4" t="s">
        <v>773</v>
      </c>
      <c r="N327" s="6" t="s">
        <v>858</v>
      </c>
      <c r="O327" s="6" t="s">
        <v>262</v>
      </c>
      <c r="P327" s="6"/>
      <c r="Q327" s="27"/>
      <c r="R327" s="28" t="s">
        <v>764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884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840</v>
      </c>
      <c r="H328" s="4"/>
      <c r="I328" s="4" t="s">
        <v>760</v>
      </c>
      <c r="J328" s="4">
        <v>59</v>
      </c>
      <c r="K328" s="5"/>
      <c r="L328" s="5" t="s">
        <v>259</v>
      </c>
      <c r="M328" s="4" t="s">
        <v>127</v>
      </c>
      <c r="N328" s="4"/>
      <c r="O328" s="4" t="s">
        <v>262</v>
      </c>
      <c r="P328" s="4"/>
      <c r="Q328" s="24"/>
      <c r="R328" s="25" t="s">
        <v>764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885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840</v>
      </c>
      <c r="H329" s="4"/>
      <c r="I329" s="4" t="s">
        <v>760</v>
      </c>
      <c r="J329" s="4">
        <v>59</v>
      </c>
      <c r="K329" s="5"/>
      <c r="L329" s="5" t="s">
        <v>259</v>
      </c>
      <c r="M329" s="4" t="s">
        <v>127</v>
      </c>
      <c r="N329" s="4"/>
      <c r="O329" s="4" t="s">
        <v>262</v>
      </c>
      <c r="P329" s="4"/>
      <c r="Q329" s="24"/>
      <c r="R329" s="25" t="s">
        <v>764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886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760</v>
      </c>
      <c r="J330" s="6">
        <v>69</v>
      </c>
      <c r="K330" s="21"/>
      <c r="L330" s="5" t="s">
        <v>887</v>
      </c>
      <c r="M330" s="6" t="s">
        <v>127</v>
      </c>
      <c r="N330" s="6"/>
      <c r="O330" s="6" t="s">
        <v>262</v>
      </c>
      <c r="P330" s="6"/>
      <c r="Q330" s="27"/>
      <c r="R330" s="28" t="s">
        <v>764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888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889</v>
      </c>
      <c r="H331" s="6"/>
      <c r="I331" s="6"/>
      <c r="J331" s="6">
        <v>30</v>
      </c>
      <c r="K331" s="21"/>
      <c r="L331" s="21" t="s">
        <v>880</v>
      </c>
      <c r="M331" s="6" t="s">
        <v>890</v>
      </c>
      <c r="N331" s="6"/>
      <c r="O331" s="6" t="s">
        <v>262</v>
      </c>
      <c r="P331" s="6"/>
      <c r="Q331" s="27"/>
      <c r="R331" s="28" t="s">
        <v>764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891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892</v>
      </c>
      <c r="H332" s="6"/>
      <c r="I332" s="6"/>
      <c r="J332" s="6">
        <v>30</v>
      </c>
      <c r="K332" s="21"/>
      <c r="L332" s="21" t="s">
        <v>887</v>
      </c>
      <c r="M332" s="6" t="s">
        <v>893</v>
      </c>
      <c r="N332" s="6"/>
      <c r="O332" s="6" t="s">
        <v>262</v>
      </c>
      <c r="P332" s="6"/>
      <c r="Q332" s="27"/>
      <c r="R332" s="28" t="s">
        <v>764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894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840</v>
      </c>
      <c r="H333" s="4"/>
      <c r="I333" s="4" t="s">
        <v>760</v>
      </c>
      <c r="J333" s="4">
        <v>59</v>
      </c>
      <c r="K333" s="5"/>
      <c r="L333" s="5" t="s">
        <v>259</v>
      </c>
      <c r="M333" s="4" t="s">
        <v>127</v>
      </c>
      <c r="N333" s="4"/>
      <c r="O333" s="4" t="s">
        <v>262</v>
      </c>
      <c r="P333" s="4"/>
      <c r="Q333" s="24"/>
      <c r="R333" s="25" t="s">
        <v>764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895</v>
      </c>
      <c r="B334" s="2" t="s">
        <v>835</v>
      </c>
      <c r="C334" s="21">
        <v>1.5</v>
      </c>
      <c r="D334" s="23">
        <v>1200</v>
      </c>
      <c r="E334" s="23"/>
      <c r="F334" s="28"/>
      <c r="G334" s="3" t="s">
        <v>896</v>
      </c>
      <c r="H334" s="6"/>
      <c r="I334" s="6" t="s">
        <v>760</v>
      </c>
      <c r="J334" s="6">
        <v>69</v>
      </c>
      <c r="K334" s="21">
        <v>18</v>
      </c>
      <c r="L334" s="21" t="s">
        <v>259</v>
      </c>
      <c r="M334" s="6" t="s">
        <v>860</v>
      </c>
      <c r="N334" s="6" t="s">
        <v>897</v>
      </c>
      <c r="O334" s="6" t="s">
        <v>262</v>
      </c>
      <c r="P334" s="6"/>
      <c r="Q334" s="27"/>
      <c r="R334" s="28" t="s">
        <v>764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898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899</v>
      </c>
      <c r="H335" s="4"/>
      <c r="I335" s="6"/>
      <c r="J335" s="4">
        <v>63</v>
      </c>
      <c r="K335" s="5"/>
      <c r="L335" s="5" t="s">
        <v>75</v>
      </c>
      <c r="M335" s="4" t="s">
        <v>860</v>
      </c>
      <c r="N335" s="4"/>
      <c r="O335" s="4" t="s">
        <v>262</v>
      </c>
      <c r="P335" s="4"/>
      <c r="Q335" s="24"/>
      <c r="R335" s="25" t="s">
        <v>764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297</v>
      </c>
      <c r="B336" s="2"/>
      <c r="C336" s="21"/>
      <c r="D336" s="23"/>
      <c r="E336" s="23"/>
      <c r="F336" s="28" t="s">
        <v>299</v>
      </c>
      <c r="G336" s="3"/>
      <c r="H336" s="4"/>
      <c r="I336" s="6"/>
      <c r="J336" s="4"/>
      <c r="K336" s="5"/>
      <c r="L336" s="5" t="s">
        <v>259</v>
      </c>
      <c r="M336" s="4" t="s">
        <v>127</v>
      </c>
      <c r="N336" s="4"/>
      <c r="O336" s="4" t="s">
        <v>262</v>
      </c>
      <c r="P336" s="4"/>
      <c r="Q336" s="24"/>
      <c r="R336" s="25" t="s">
        <v>764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900</v>
      </c>
      <c r="B337" s="2" t="s">
        <v>835</v>
      </c>
      <c r="C337" s="21">
        <v>1.5</v>
      </c>
      <c r="D337" s="23">
        <v>1030</v>
      </c>
      <c r="E337" s="23"/>
      <c r="F337" s="28"/>
      <c r="G337" s="3" t="s">
        <v>896</v>
      </c>
      <c r="H337" s="6"/>
      <c r="I337" s="6" t="s">
        <v>772</v>
      </c>
      <c r="J337" s="6">
        <v>69</v>
      </c>
      <c r="K337" s="21">
        <v>19</v>
      </c>
      <c r="L337" s="21" t="s">
        <v>259</v>
      </c>
      <c r="M337" s="6" t="s">
        <v>860</v>
      </c>
      <c r="N337" s="6" t="s">
        <v>897</v>
      </c>
      <c r="O337" s="6" t="s">
        <v>262</v>
      </c>
      <c r="P337" s="6"/>
      <c r="Q337" s="27"/>
      <c r="R337" s="28" t="s">
        <v>764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674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901</v>
      </c>
      <c r="H338" s="6"/>
      <c r="I338" s="6"/>
      <c r="J338" s="6">
        <v>30</v>
      </c>
      <c r="K338" s="21"/>
      <c r="L338" s="21" t="s">
        <v>887</v>
      </c>
      <c r="M338" s="6" t="s">
        <v>149</v>
      </c>
      <c r="N338" s="6"/>
      <c r="O338" s="6" t="s">
        <v>262</v>
      </c>
      <c r="P338" s="6"/>
      <c r="Q338" s="27"/>
      <c r="R338" s="28" t="s">
        <v>764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902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903</v>
      </c>
      <c r="H339" s="6"/>
      <c r="I339" s="6"/>
      <c r="J339" s="6">
        <v>30</v>
      </c>
      <c r="K339" s="21"/>
      <c r="L339" s="21" t="s">
        <v>904</v>
      </c>
      <c r="M339" s="6" t="s">
        <v>149</v>
      </c>
      <c r="N339" s="6"/>
      <c r="O339" s="6" t="s">
        <v>262</v>
      </c>
      <c r="P339" s="6"/>
      <c r="Q339" s="27"/>
      <c r="R339" s="28" t="s">
        <v>764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905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906</v>
      </c>
      <c r="H340" s="6"/>
      <c r="I340" s="6"/>
      <c r="J340" s="6">
        <v>30</v>
      </c>
      <c r="K340" s="21"/>
      <c r="L340" s="21" t="s">
        <v>880</v>
      </c>
      <c r="M340" s="6" t="s">
        <v>149</v>
      </c>
      <c r="N340" s="6"/>
      <c r="O340" s="6" t="s">
        <v>262</v>
      </c>
      <c r="P340" s="6"/>
      <c r="Q340" s="27"/>
      <c r="R340" s="28" t="s">
        <v>764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907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908</v>
      </c>
      <c r="H341" s="4"/>
      <c r="I341" s="4"/>
      <c r="J341" s="4">
        <v>30</v>
      </c>
      <c r="K341" s="5"/>
      <c r="L341" s="5" t="s">
        <v>880</v>
      </c>
      <c r="M341" s="4" t="s">
        <v>377</v>
      </c>
      <c r="N341" s="4"/>
      <c r="O341" s="4" t="s">
        <v>262</v>
      </c>
      <c r="P341" s="4"/>
      <c r="Q341" s="24"/>
      <c r="R341" s="25" t="s">
        <v>764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909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821</v>
      </c>
      <c r="H342" s="6"/>
      <c r="I342" s="6"/>
      <c r="J342" s="6">
        <v>30</v>
      </c>
      <c r="K342" s="21"/>
      <c r="L342" s="21" t="s">
        <v>880</v>
      </c>
      <c r="M342" s="6" t="s">
        <v>377</v>
      </c>
      <c r="N342" s="6"/>
      <c r="O342" s="6" t="s">
        <v>262</v>
      </c>
      <c r="P342" s="6"/>
      <c r="Q342" s="27"/>
      <c r="R342" s="28" t="s">
        <v>764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910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866</v>
      </c>
      <c r="H343" s="4"/>
      <c r="I343" s="6" t="s">
        <v>760</v>
      </c>
      <c r="J343" s="4">
        <v>59</v>
      </c>
      <c r="K343" s="5">
        <v>26</v>
      </c>
      <c r="L343" s="5" t="s">
        <v>880</v>
      </c>
      <c r="M343" s="4" t="s">
        <v>883</v>
      </c>
      <c r="N343" s="4"/>
      <c r="O343" s="4" t="s">
        <v>262</v>
      </c>
      <c r="P343" s="4"/>
      <c r="Q343" s="24"/>
      <c r="R343" s="25" t="s">
        <v>764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911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912</v>
      </c>
      <c r="H344" s="6"/>
      <c r="I344" s="6"/>
      <c r="J344" s="6">
        <v>30</v>
      </c>
      <c r="K344" s="21"/>
      <c r="L344" s="21" t="s">
        <v>880</v>
      </c>
      <c r="M344" s="6" t="s">
        <v>149</v>
      </c>
      <c r="N344" s="6"/>
      <c r="O344" s="6" t="s">
        <v>262</v>
      </c>
      <c r="P344" s="6"/>
      <c r="Q344" s="27"/>
      <c r="R344" s="28" t="s">
        <v>764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913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842</v>
      </c>
      <c r="H345" s="4"/>
      <c r="I345" s="4" t="s">
        <v>760</v>
      </c>
      <c r="J345" s="4">
        <v>59</v>
      </c>
      <c r="K345" s="5"/>
      <c r="L345" s="5" t="s">
        <v>880</v>
      </c>
      <c r="M345" s="4" t="s">
        <v>914</v>
      </c>
      <c r="N345" s="4"/>
      <c r="O345" s="4" t="s">
        <v>262</v>
      </c>
      <c r="P345" s="4"/>
      <c r="Q345" s="24"/>
      <c r="R345" s="25" t="s">
        <v>764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665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842</v>
      </c>
      <c r="H346" s="4"/>
      <c r="I346" s="6" t="s">
        <v>760</v>
      </c>
      <c r="J346" s="4">
        <v>59</v>
      </c>
      <c r="K346" s="5"/>
      <c r="L346" s="5" t="s">
        <v>259</v>
      </c>
      <c r="M346" s="4" t="s">
        <v>127</v>
      </c>
      <c r="N346" s="4"/>
      <c r="O346" s="4" t="s">
        <v>262</v>
      </c>
      <c r="P346" s="4"/>
      <c r="Q346" s="24"/>
      <c r="R346" s="25" t="s">
        <v>764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915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916</v>
      </c>
      <c r="H347" s="4"/>
      <c r="I347" s="4"/>
      <c r="J347" s="4"/>
      <c r="K347" s="5"/>
      <c r="L347" s="5" t="s">
        <v>880</v>
      </c>
      <c r="M347" s="4" t="s">
        <v>127</v>
      </c>
      <c r="N347" s="4"/>
      <c r="O347" s="4"/>
      <c r="P347" s="4"/>
      <c r="Q347" s="24"/>
      <c r="R347" s="25" t="s">
        <v>764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917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840</v>
      </c>
      <c r="H348" s="4"/>
      <c r="I348" s="4" t="s">
        <v>760</v>
      </c>
      <c r="J348" s="4">
        <v>59</v>
      </c>
      <c r="K348" s="5"/>
      <c r="L348" s="5" t="s">
        <v>259</v>
      </c>
      <c r="M348" s="4" t="s">
        <v>127</v>
      </c>
      <c r="N348" s="4"/>
      <c r="O348" s="4" t="s">
        <v>262</v>
      </c>
      <c r="P348" s="4"/>
      <c r="Q348" s="24"/>
      <c r="R348" s="25" t="s">
        <v>764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918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901</v>
      </c>
      <c r="H349" s="4"/>
      <c r="I349" s="6"/>
      <c r="J349" s="4">
        <v>30</v>
      </c>
      <c r="K349" s="5"/>
      <c r="L349" s="5" t="s">
        <v>880</v>
      </c>
      <c r="M349" s="4" t="s">
        <v>149</v>
      </c>
      <c r="N349" s="4"/>
      <c r="O349" s="4" t="s">
        <v>262</v>
      </c>
      <c r="P349" s="4"/>
      <c r="Q349" s="24"/>
      <c r="R349" s="25" t="s">
        <v>764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919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908</v>
      </c>
      <c r="H350" s="4"/>
      <c r="I350" s="6"/>
      <c r="J350" s="4">
        <v>30</v>
      </c>
      <c r="K350" s="5"/>
      <c r="L350" s="5" t="s">
        <v>880</v>
      </c>
      <c r="M350" s="4" t="s">
        <v>149</v>
      </c>
      <c r="N350" s="4"/>
      <c r="O350" s="4" t="s">
        <v>262</v>
      </c>
      <c r="P350" s="4"/>
      <c r="Q350" s="24"/>
      <c r="R350" s="25" t="s">
        <v>764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920</v>
      </c>
      <c r="B351" s="2" t="s">
        <v>835</v>
      </c>
      <c r="C351" s="21">
        <v>1.5</v>
      </c>
      <c r="D351" s="23">
        <v>1030</v>
      </c>
      <c r="E351" s="23"/>
      <c r="F351" s="28"/>
      <c r="G351" s="3" t="s">
        <v>896</v>
      </c>
      <c r="H351" s="6"/>
      <c r="I351" s="6" t="s">
        <v>772</v>
      </c>
      <c r="J351" s="6">
        <v>69</v>
      </c>
      <c r="K351" s="21">
        <v>19</v>
      </c>
      <c r="L351" s="21" t="s">
        <v>259</v>
      </c>
      <c r="M351" s="6" t="s">
        <v>860</v>
      </c>
      <c r="N351" s="6" t="s">
        <v>897</v>
      </c>
      <c r="O351" s="6" t="s">
        <v>262</v>
      </c>
      <c r="P351" s="6"/>
      <c r="Q351" s="27"/>
      <c r="R351" s="28" t="s">
        <v>764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921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922</v>
      </c>
      <c r="H352" s="4"/>
      <c r="I352" s="6"/>
      <c r="J352" s="4">
        <v>30</v>
      </c>
      <c r="K352" s="5"/>
      <c r="L352" s="5" t="s">
        <v>880</v>
      </c>
      <c r="M352" s="4" t="s">
        <v>149</v>
      </c>
      <c r="N352" s="4"/>
      <c r="O352" s="4" t="s">
        <v>262</v>
      </c>
      <c r="P352" s="4"/>
      <c r="Q352" s="24"/>
      <c r="R352" s="25" t="s">
        <v>764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753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842</v>
      </c>
      <c r="H353" s="4"/>
      <c r="I353" s="6" t="s">
        <v>760</v>
      </c>
      <c r="J353" s="4">
        <v>59</v>
      </c>
      <c r="K353" s="5"/>
      <c r="L353" s="5" t="s">
        <v>259</v>
      </c>
      <c r="M353" s="4" t="s">
        <v>127</v>
      </c>
      <c r="N353" s="4"/>
      <c r="O353" s="4" t="s">
        <v>262</v>
      </c>
      <c r="P353" s="4"/>
      <c r="Q353" s="24"/>
      <c r="R353" s="25" t="s">
        <v>764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923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922</v>
      </c>
      <c r="H354" s="4"/>
      <c r="I354" s="4"/>
      <c r="J354" s="4">
        <v>30</v>
      </c>
      <c r="K354" s="5"/>
      <c r="L354" s="5" t="s">
        <v>880</v>
      </c>
      <c r="M354" s="4" t="s">
        <v>149</v>
      </c>
      <c r="N354" s="4"/>
      <c r="O354" s="4" t="s">
        <v>262</v>
      </c>
      <c r="P354" s="4"/>
      <c r="Q354" s="24"/>
      <c r="R354" s="25" t="s">
        <v>764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924</v>
      </c>
      <c r="B355" s="2" t="s">
        <v>835</v>
      </c>
      <c r="C355" s="21">
        <v>1.5</v>
      </c>
      <c r="D355" s="23">
        <v>1200</v>
      </c>
      <c r="E355" s="23"/>
      <c r="F355" s="28"/>
      <c r="G355" s="3" t="s">
        <v>896</v>
      </c>
      <c r="H355" s="6"/>
      <c r="I355" s="6" t="s">
        <v>760</v>
      </c>
      <c r="J355" s="6">
        <v>69</v>
      </c>
      <c r="K355" s="21">
        <v>18</v>
      </c>
      <c r="L355" s="21" t="s">
        <v>259</v>
      </c>
      <c r="M355" s="6" t="s">
        <v>860</v>
      </c>
      <c r="N355" s="6" t="s">
        <v>897</v>
      </c>
      <c r="O355" s="6" t="s">
        <v>262</v>
      </c>
      <c r="P355" s="6"/>
      <c r="Q355" s="27"/>
      <c r="R355" s="28" t="s">
        <v>764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413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908</v>
      </c>
      <c r="H356" s="6"/>
      <c r="I356" s="6"/>
      <c r="J356" s="6">
        <v>30</v>
      </c>
      <c r="K356" s="21"/>
      <c r="L356" s="21" t="s">
        <v>880</v>
      </c>
      <c r="M356" s="6" t="s">
        <v>149</v>
      </c>
      <c r="N356" s="6"/>
      <c r="O356" s="6" t="s">
        <v>262</v>
      </c>
      <c r="P356" s="6"/>
      <c r="Q356" s="27"/>
      <c r="R356" s="28" t="s">
        <v>764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925</v>
      </c>
      <c r="B357" s="2" t="s">
        <v>835</v>
      </c>
      <c r="C357" s="21">
        <v>1.5</v>
      </c>
      <c r="D357" s="23">
        <v>490</v>
      </c>
      <c r="E357" s="23"/>
      <c r="F357" s="28"/>
      <c r="G357" s="3" t="s">
        <v>926</v>
      </c>
      <c r="H357" s="1"/>
      <c r="I357" s="6"/>
      <c r="J357" s="4">
        <v>63</v>
      </c>
      <c r="K357" s="5"/>
      <c r="L357" s="5" t="s">
        <v>927</v>
      </c>
      <c r="M357" s="1" t="s">
        <v>928</v>
      </c>
      <c r="N357" s="4"/>
      <c r="O357" s="80" t="s">
        <v>262</v>
      </c>
      <c r="P357" s="1"/>
      <c r="Q357" s="1"/>
      <c r="R357" s="25" t="s">
        <v>764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929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821</v>
      </c>
      <c r="H358" s="6"/>
      <c r="I358" s="6"/>
      <c r="J358" s="6">
        <v>30</v>
      </c>
      <c r="K358" s="21"/>
      <c r="L358" s="21" t="s">
        <v>880</v>
      </c>
      <c r="M358" s="6" t="s">
        <v>377</v>
      </c>
      <c r="N358" s="6"/>
      <c r="O358" s="6" t="s">
        <v>262</v>
      </c>
      <c r="P358" s="6"/>
      <c r="Q358" s="27"/>
      <c r="R358" s="28" t="s">
        <v>764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930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840</v>
      </c>
      <c r="H359" s="4"/>
      <c r="I359" s="4" t="s">
        <v>760</v>
      </c>
      <c r="J359" s="4">
        <v>59</v>
      </c>
      <c r="K359" s="5"/>
      <c r="L359" s="5" t="s">
        <v>259</v>
      </c>
      <c r="M359" s="4" t="s">
        <v>127</v>
      </c>
      <c r="N359" s="4"/>
      <c r="O359" s="4" t="s">
        <v>262</v>
      </c>
      <c r="P359" s="4"/>
      <c r="Q359" s="24"/>
      <c r="R359" s="25" t="s">
        <v>764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931</v>
      </c>
      <c r="B360" s="2" t="s">
        <v>835</v>
      </c>
      <c r="C360" s="21">
        <v>1.5</v>
      </c>
      <c r="D360" s="23">
        <v>1030</v>
      </c>
      <c r="E360" s="23"/>
      <c r="F360" s="28"/>
      <c r="G360" s="3" t="s">
        <v>896</v>
      </c>
      <c r="H360" s="6"/>
      <c r="I360" s="6" t="s">
        <v>772</v>
      </c>
      <c r="J360" s="6">
        <v>69</v>
      </c>
      <c r="K360" s="21">
        <v>19</v>
      </c>
      <c r="L360" s="21" t="s">
        <v>259</v>
      </c>
      <c r="M360" s="6" t="s">
        <v>860</v>
      </c>
      <c r="N360" s="6" t="s">
        <v>897</v>
      </c>
      <c r="O360" s="6" t="s">
        <v>262</v>
      </c>
      <c r="P360" s="6"/>
      <c r="Q360" s="27"/>
      <c r="R360" s="28" t="s">
        <v>764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390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908</v>
      </c>
      <c r="H361" s="6"/>
      <c r="I361" s="6"/>
      <c r="J361" s="6">
        <v>30</v>
      </c>
      <c r="K361" s="21"/>
      <c r="L361" s="21" t="s">
        <v>880</v>
      </c>
      <c r="M361" s="6" t="s">
        <v>149</v>
      </c>
      <c r="N361" s="6"/>
      <c r="O361" s="6" t="s">
        <v>262</v>
      </c>
      <c r="P361" s="6"/>
      <c r="Q361" s="27"/>
      <c r="R361" s="28" t="s">
        <v>764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932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853</v>
      </c>
      <c r="H362" s="6"/>
      <c r="I362" s="6"/>
      <c r="J362" s="6">
        <v>30</v>
      </c>
      <c r="K362" s="21"/>
      <c r="L362" s="21" t="s">
        <v>880</v>
      </c>
      <c r="M362" s="6" t="s">
        <v>933</v>
      </c>
      <c r="N362" s="6"/>
      <c r="O362" s="6" t="s">
        <v>262</v>
      </c>
      <c r="P362" s="6"/>
      <c r="Q362" s="27"/>
      <c r="R362" s="28" t="s">
        <v>764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934</v>
      </c>
      <c r="B363" s="2" t="s">
        <v>835</v>
      </c>
      <c r="C363" s="21">
        <v>1.5</v>
      </c>
      <c r="D363" s="23">
        <v>755</v>
      </c>
      <c r="E363" s="23"/>
      <c r="F363" s="28"/>
      <c r="G363" s="3" t="s">
        <v>926</v>
      </c>
      <c r="H363" s="6"/>
      <c r="I363" s="6"/>
      <c r="J363" s="6">
        <v>63</v>
      </c>
      <c r="K363" s="21"/>
      <c r="L363" s="21" t="s">
        <v>927</v>
      </c>
      <c r="M363" s="6" t="s">
        <v>928</v>
      </c>
      <c r="N363" s="6"/>
      <c r="O363" s="6" t="s">
        <v>262</v>
      </c>
      <c r="P363" s="6"/>
      <c r="Q363" s="27"/>
      <c r="R363" s="28" t="s">
        <v>764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669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821</v>
      </c>
      <c r="H364" s="6"/>
      <c r="I364" s="6"/>
      <c r="J364" s="6">
        <v>30</v>
      </c>
      <c r="K364" s="21"/>
      <c r="L364" s="21" t="s">
        <v>880</v>
      </c>
      <c r="M364" s="6" t="s">
        <v>377</v>
      </c>
      <c r="N364" s="6"/>
      <c r="O364" s="6" t="s">
        <v>262</v>
      </c>
      <c r="P364" s="6"/>
      <c r="Q364" s="27"/>
      <c r="R364" s="28" t="s">
        <v>764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935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908</v>
      </c>
      <c r="H365" s="6"/>
      <c r="I365" s="6"/>
      <c r="J365" s="6">
        <v>30</v>
      </c>
      <c r="K365" s="21"/>
      <c r="L365" s="21" t="s">
        <v>880</v>
      </c>
      <c r="M365" s="6" t="s">
        <v>377</v>
      </c>
      <c r="N365" s="6"/>
      <c r="O365" s="6" t="s">
        <v>262</v>
      </c>
      <c r="P365" s="6"/>
      <c r="Q365" s="27"/>
      <c r="R365" s="28" t="s">
        <v>764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936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937</v>
      </c>
      <c r="H366" s="6"/>
      <c r="I366" s="6"/>
      <c r="J366" s="6">
        <v>30</v>
      </c>
      <c r="K366" s="21"/>
      <c r="L366" s="21" t="s">
        <v>880</v>
      </c>
      <c r="M366" s="6" t="s">
        <v>377</v>
      </c>
      <c r="N366" s="6"/>
      <c r="O366" s="6" t="s">
        <v>262</v>
      </c>
      <c r="P366" s="6"/>
      <c r="Q366" s="27"/>
      <c r="R366" s="28" t="s">
        <v>764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749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938</v>
      </c>
      <c r="H367" s="6"/>
      <c r="I367" s="6"/>
      <c r="J367" s="6">
        <v>30</v>
      </c>
      <c r="K367" s="21"/>
      <c r="L367" s="21" t="s">
        <v>880</v>
      </c>
      <c r="M367" s="6" t="s">
        <v>893</v>
      </c>
      <c r="N367" s="6"/>
      <c r="O367" s="6" t="s">
        <v>262</v>
      </c>
      <c r="P367" s="6"/>
      <c r="Q367" s="27"/>
      <c r="R367" s="28" t="s">
        <v>764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684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892</v>
      </c>
      <c r="H368" s="6"/>
      <c r="I368" s="6"/>
      <c r="J368" s="6">
        <v>30</v>
      </c>
      <c r="K368" s="21"/>
      <c r="L368" s="21" t="s">
        <v>904</v>
      </c>
      <c r="M368" s="6" t="s">
        <v>893</v>
      </c>
      <c r="N368" s="6"/>
      <c r="O368" s="6" t="s">
        <v>262</v>
      </c>
      <c r="P368" s="6"/>
      <c r="Q368" s="27"/>
      <c r="R368" s="28" t="s">
        <v>764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939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937</v>
      </c>
      <c r="H369" s="4"/>
      <c r="I369" s="6"/>
      <c r="J369" s="4">
        <v>30</v>
      </c>
      <c r="K369" s="5"/>
      <c r="L369" s="5" t="s">
        <v>940</v>
      </c>
      <c r="M369" s="4" t="s">
        <v>377</v>
      </c>
      <c r="N369" s="4"/>
      <c r="O369" s="4" t="s">
        <v>262</v>
      </c>
      <c r="P369" s="4"/>
      <c r="Q369" s="24"/>
      <c r="R369" s="25" t="s">
        <v>764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941</v>
      </c>
      <c r="B370" s="2" t="s">
        <v>835</v>
      </c>
      <c r="C370" s="21">
        <v>1.06</v>
      </c>
      <c r="D370" s="23" t="s">
        <v>942</v>
      </c>
      <c r="E370" s="23"/>
      <c r="F370" s="28"/>
      <c r="G370" s="3" t="s">
        <v>943</v>
      </c>
      <c r="H370" s="6"/>
      <c r="I370" s="6"/>
      <c r="J370" s="6">
        <v>30</v>
      </c>
      <c r="K370" s="21"/>
      <c r="L370" s="21" t="s">
        <v>904</v>
      </c>
      <c r="M370" s="4" t="s">
        <v>149</v>
      </c>
      <c r="N370" s="6"/>
      <c r="O370" s="6" t="s">
        <v>262</v>
      </c>
      <c r="P370" s="6"/>
      <c r="Q370" s="27"/>
      <c r="R370" s="28" t="s">
        <v>764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944</v>
      </c>
      <c r="B371" s="2" t="s">
        <v>835</v>
      </c>
      <c r="C371" s="21">
        <v>1.9</v>
      </c>
      <c r="D371" s="6">
        <v>1200</v>
      </c>
      <c r="E371" s="23"/>
      <c r="F371" s="28"/>
      <c r="G371" s="3" t="s">
        <v>945</v>
      </c>
      <c r="H371" s="6"/>
      <c r="I371" s="6"/>
      <c r="J371" s="6">
        <v>30</v>
      </c>
      <c r="K371" s="21"/>
      <c r="L371" s="21" t="s">
        <v>904</v>
      </c>
      <c r="M371" s="6" t="s">
        <v>928</v>
      </c>
      <c r="N371" s="6"/>
      <c r="O371" s="6" t="s">
        <v>262</v>
      </c>
      <c r="P371" s="6"/>
      <c r="Q371" s="27"/>
      <c r="R371" s="28" t="s">
        <v>764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946</v>
      </c>
      <c r="B372" s="2" t="s">
        <v>835</v>
      </c>
      <c r="C372" s="21">
        <v>1.5</v>
      </c>
      <c r="D372" s="23">
        <v>490</v>
      </c>
      <c r="E372" s="23"/>
      <c r="F372" s="28"/>
      <c r="G372" s="3" t="s">
        <v>926</v>
      </c>
      <c r="H372" s="4"/>
      <c r="I372" s="4"/>
      <c r="J372" s="4">
        <v>63</v>
      </c>
      <c r="K372" s="5"/>
      <c r="L372" s="5" t="s">
        <v>927</v>
      </c>
      <c r="M372" s="4" t="s">
        <v>928</v>
      </c>
      <c r="N372" s="4"/>
      <c r="O372" s="4" t="s">
        <v>262</v>
      </c>
      <c r="P372" s="4"/>
      <c r="Q372" s="24"/>
      <c r="R372" s="25" t="s">
        <v>764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947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948</v>
      </c>
      <c r="H373" s="4"/>
      <c r="I373" s="6"/>
      <c r="J373" s="4">
        <v>30</v>
      </c>
      <c r="K373" s="5"/>
      <c r="L373" s="5" t="s">
        <v>904</v>
      </c>
      <c r="M373" s="4" t="s">
        <v>860</v>
      </c>
      <c r="N373" s="4"/>
      <c r="O373" s="4" t="s">
        <v>262</v>
      </c>
      <c r="P373" s="4"/>
      <c r="Q373" s="24"/>
      <c r="R373" s="25" t="s">
        <v>764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949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937</v>
      </c>
      <c r="H374" s="4"/>
      <c r="I374" s="6"/>
      <c r="J374" s="4">
        <v>30</v>
      </c>
      <c r="K374" s="5"/>
      <c r="L374" s="5" t="s">
        <v>880</v>
      </c>
      <c r="M374" s="4" t="s">
        <v>377</v>
      </c>
      <c r="N374" s="4"/>
      <c r="O374" s="4" t="s">
        <v>262</v>
      </c>
      <c r="P374" s="4"/>
      <c r="Q374" s="24"/>
      <c r="R374" s="25" t="s">
        <v>764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950</v>
      </c>
      <c r="B375" s="2" t="s">
        <v>835</v>
      </c>
      <c r="C375" s="21">
        <v>1.5</v>
      </c>
      <c r="D375" s="23">
        <v>490</v>
      </c>
      <c r="E375" s="23"/>
      <c r="F375" s="28"/>
      <c r="G375" s="3" t="s">
        <v>926</v>
      </c>
      <c r="H375" s="4"/>
      <c r="I375" s="6"/>
      <c r="J375" s="4">
        <v>63</v>
      </c>
      <c r="K375" s="5"/>
      <c r="L375" s="5" t="s">
        <v>927</v>
      </c>
      <c r="M375" s="4" t="s">
        <v>928</v>
      </c>
      <c r="N375" s="4"/>
      <c r="O375" s="4" t="s">
        <v>262</v>
      </c>
      <c r="P375" s="4"/>
      <c r="Q375" s="24"/>
      <c r="R375" s="25" t="s">
        <v>764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951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912</v>
      </c>
      <c r="H376" s="6"/>
      <c r="I376" s="6"/>
      <c r="J376" s="6">
        <v>30</v>
      </c>
      <c r="K376" s="5"/>
      <c r="L376" s="5" t="s">
        <v>904</v>
      </c>
      <c r="M376" s="4" t="s">
        <v>773</v>
      </c>
      <c r="N376" s="6"/>
      <c r="O376" s="6" t="s">
        <v>262</v>
      </c>
      <c r="P376" s="6"/>
      <c r="Q376" s="27"/>
      <c r="R376" s="28" t="s">
        <v>764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952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853</v>
      </c>
      <c r="H377" s="4"/>
      <c r="I377" s="4"/>
      <c r="J377" s="4">
        <v>30</v>
      </c>
      <c r="K377" s="5"/>
      <c r="L377" s="5" t="s">
        <v>904</v>
      </c>
      <c r="M377" s="4" t="s">
        <v>933</v>
      </c>
      <c r="N377" s="4"/>
      <c r="O377" s="4" t="s">
        <v>262</v>
      </c>
      <c r="P377" s="4"/>
      <c r="Q377" s="24"/>
      <c r="R377" s="25" t="s">
        <v>764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953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904</v>
      </c>
      <c r="M378" s="4" t="s">
        <v>149</v>
      </c>
      <c r="N378" s="6"/>
      <c r="O378" s="6" t="s">
        <v>262</v>
      </c>
      <c r="P378" s="6"/>
      <c r="Q378" s="27"/>
      <c r="R378" s="28" t="s">
        <v>764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955</v>
      </c>
      <c r="B379" s="2" t="s">
        <v>835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940</v>
      </c>
      <c r="M379" s="6" t="s">
        <v>149</v>
      </c>
      <c r="N379" s="6"/>
      <c r="O379" s="6" t="s">
        <v>262</v>
      </c>
      <c r="P379" s="6"/>
      <c r="Q379" s="27"/>
      <c r="R379" s="28" t="s">
        <v>764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957</v>
      </c>
      <c r="B380" s="2" t="s">
        <v>835</v>
      </c>
      <c r="C380" s="21">
        <v>1.5</v>
      </c>
      <c r="D380" s="6">
        <v>1100</v>
      </c>
      <c r="E380" s="23"/>
      <c r="F380" s="28"/>
      <c r="G380" s="3" t="s">
        <v>958</v>
      </c>
      <c r="H380" s="4"/>
      <c r="I380" s="6"/>
      <c r="J380" s="4">
        <v>30</v>
      </c>
      <c r="K380" s="5"/>
      <c r="L380" s="5" t="s">
        <v>904</v>
      </c>
      <c r="M380" s="4" t="s">
        <v>959</v>
      </c>
      <c r="N380" s="4"/>
      <c r="O380" s="4" t="s">
        <v>262</v>
      </c>
      <c r="P380" s="4"/>
      <c r="Q380" s="24"/>
      <c r="R380" s="25" t="s">
        <v>764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960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849</v>
      </c>
      <c r="H381" s="6"/>
      <c r="I381" s="6"/>
      <c r="J381" s="6">
        <v>30</v>
      </c>
      <c r="K381" s="21"/>
      <c r="L381" s="21" t="s">
        <v>904</v>
      </c>
      <c r="M381" s="4" t="s">
        <v>773</v>
      </c>
      <c r="N381" s="6"/>
      <c r="O381" s="6" t="s">
        <v>262</v>
      </c>
      <c r="P381" s="6"/>
      <c r="Q381" s="27"/>
      <c r="R381" s="28" t="s">
        <v>764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961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962</v>
      </c>
      <c r="H382" s="6"/>
      <c r="I382" s="6"/>
      <c r="J382" s="6">
        <v>31</v>
      </c>
      <c r="K382" s="21"/>
      <c r="L382" s="21" t="s">
        <v>904</v>
      </c>
      <c r="M382" s="6"/>
      <c r="N382" s="6"/>
      <c r="O382" s="6"/>
      <c r="P382" s="6"/>
      <c r="Q382" s="27"/>
      <c r="R382" s="28" t="s">
        <v>764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963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912</v>
      </c>
      <c r="H383" s="6"/>
      <c r="I383" s="6"/>
      <c r="J383" s="6">
        <v>30</v>
      </c>
      <c r="K383" s="21"/>
      <c r="L383" s="21" t="s">
        <v>904</v>
      </c>
      <c r="M383" s="6" t="s">
        <v>933</v>
      </c>
      <c r="N383" s="6"/>
      <c r="O383" s="6" t="s">
        <v>262</v>
      </c>
      <c r="P383" s="6"/>
      <c r="Q383" s="27"/>
      <c r="R383" s="28" t="s">
        <v>764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343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908</v>
      </c>
      <c r="H384" s="6"/>
      <c r="I384" s="6"/>
      <c r="J384" s="6">
        <v>30</v>
      </c>
      <c r="K384" s="21"/>
      <c r="L384" s="21" t="s">
        <v>880</v>
      </c>
      <c r="M384" s="6" t="s">
        <v>149</v>
      </c>
      <c r="N384" s="6"/>
      <c r="O384" s="6" t="s">
        <v>262</v>
      </c>
      <c r="P384" s="6"/>
      <c r="Q384" s="27"/>
      <c r="R384" s="28" t="s">
        <v>764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964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842</v>
      </c>
      <c r="H385" s="4"/>
      <c r="I385" s="6" t="s">
        <v>760</v>
      </c>
      <c r="J385" s="4">
        <v>59</v>
      </c>
      <c r="K385" s="5"/>
      <c r="L385" s="5" t="s">
        <v>259</v>
      </c>
      <c r="M385" s="4" t="s">
        <v>127</v>
      </c>
      <c r="N385" s="4"/>
      <c r="O385" s="4" t="s">
        <v>262</v>
      </c>
      <c r="P385" s="4"/>
      <c r="Q385" s="24"/>
      <c r="R385" s="25" t="s">
        <v>764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487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965</v>
      </c>
      <c r="H386" s="6"/>
      <c r="I386" s="6"/>
      <c r="J386" s="6">
        <v>30</v>
      </c>
      <c r="K386" s="21"/>
      <c r="L386" s="21" t="s">
        <v>904</v>
      </c>
      <c r="M386" s="6" t="s">
        <v>149</v>
      </c>
      <c r="N386" s="6"/>
      <c r="O386" s="6" t="s">
        <v>262</v>
      </c>
      <c r="P386" s="6"/>
      <c r="Q386" s="27"/>
      <c r="R386" s="28" t="s">
        <v>764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336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966</v>
      </c>
      <c r="H387" s="6"/>
      <c r="I387" s="6"/>
      <c r="J387" s="6">
        <v>30</v>
      </c>
      <c r="K387" s="21"/>
      <c r="L387" s="21" t="s">
        <v>880</v>
      </c>
      <c r="M387" s="4" t="s">
        <v>967</v>
      </c>
      <c r="N387" s="6"/>
      <c r="O387" s="6" t="s">
        <v>262</v>
      </c>
      <c r="P387" s="6"/>
      <c r="Q387" s="27"/>
      <c r="R387" s="28" t="s">
        <v>764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968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937</v>
      </c>
      <c r="H388" s="6"/>
      <c r="I388" s="6"/>
      <c r="J388" s="6">
        <v>30</v>
      </c>
      <c r="K388" s="21"/>
      <c r="L388" s="21" t="s">
        <v>904</v>
      </c>
      <c r="M388" s="6" t="s">
        <v>377</v>
      </c>
      <c r="N388" s="6"/>
      <c r="O388" s="6" t="s">
        <v>262</v>
      </c>
      <c r="P388" s="6"/>
      <c r="Q388" s="27"/>
      <c r="R388" s="28" t="s">
        <v>764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969</v>
      </c>
      <c r="B389" s="2" t="s">
        <v>835</v>
      </c>
      <c r="C389" s="21">
        <v>1.5</v>
      </c>
      <c r="D389" s="23">
        <v>1030</v>
      </c>
      <c r="E389" s="23"/>
      <c r="F389" s="28"/>
      <c r="G389" s="3" t="s">
        <v>896</v>
      </c>
      <c r="H389" s="6"/>
      <c r="I389" s="6" t="s">
        <v>772</v>
      </c>
      <c r="J389" s="6">
        <v>69</v>
      </c>
      <c r="K389" s="21">
        <v>19</v>
      </c>
      <c r="L389" s="21" t="s">
        <v>259</v>
      </c>
      <c r="M389" s="6" t="s">
        <v>860</v>
      </c>
      <c r="N389" s="6" t="s">
        <v>897</v>
      </c>
      <c r="O389" s="6" t="s">
        <v>262</v>
      </c>
      <c r="P389" s="6"/>
      <c r="Q389" s="27"/>
      <c r="R389" s="28" t="s">
        <v>764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970</v>
      </c>
      <c r="B390" s="2" t="s">
        <v>835</v>
      </c>
      <c r="C390" s="21">
        <v>1.5</v>
      </c>
      <c r="D390" s="23">
        <v>1200</v>
      </c>
      <c r="E390" s="23"/>
      <c r="F390" s="28"/>
      <c r="G390" s="3" t="s">
        <v>896</v>
      </c>
      <c r="H390" s="6"/>
      <c r="I390" s="6" t="s">
        <v>760</v>
      </c>
      <c r="J390" s="6">
        <v>69</v>
      </c>
      <c r="K390" s="21">
        <v>18</v>
      </c>
      <c r="L390" s="21" t="s">
        <v>259</v>
      </c>
      <c r="M390" s="6" t="s">
        <v>860</v>
      </c>
      <c r="N390" s="6" t="s">
        <v>897</v>
      </c>
      <c r="O390" s="6" t="s">
        <v>262</v>
      </c>
      <c r="P390" s="6"/>
      <c r="Q390" s="27"/>
      <c r="R390" s="28" t="s">
        <v>764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971</v>
      </c>
      <c r="B391" s="2" t="s">
        <v>835</v>
      </c>
      <c r="C391" s="21">
        <v>1.5</v>
      </c>
      <c r="D391" s="23">
        <v>755</v>
      </c>
      <c r="E391" s="23"/>
      <c r="F391" s="28"/>
      <c r="G391" s="3" t="s">
        <v>926</v>
      </c>
      <c r="H391" s="4"/>
      <c r="I391" s="4"/>
      <c r="J391" s="4">
        <v>63</v>
      </c>
      <c r="K391" s="5"/>
      <c r="L391" s="5" t="s">
        <v>927</v>
      </c>
      <c r="M391" s="4" t="s">
        <v>928</v>
      </c>
      <c r="N391" s="4"/>
      <c r="O391" s="4" t="s">
        <v>262</v>
      </c>
      <c r="P391" s="4"/>
      <c r="Q391" s="24"/>
      <c r="R391" s="25" t="s">
        <v>764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972</v>
      </c>
      <c r="B392" s="2" t="s">
        <v>835</v>
      </c>
      <c r="C392" s="21">
        <v>1.2</v>
      </c>
      <c r="D392" s="6">
        <v>1200</v>
      </c>
      <c r="E392" s="23"/>
      <c r="F392" s="28"/>
      <c r="G392" s="3" t="s">
        <v>973</v>
      </c>
      <c r="H392" s="6"/>
      <c r="I392" s="6"/>
      <c r="J392" s="6">
        <v>30</v>
      </c>
      <c r="K392" s="21"/>
      <c r="L392" s="21" t="s">
        <v>904</v>
      </c>
      <c r="M392" s="6" t="s">
        <v>928</v>
      </c>
      <c r="N392" s="6"/>
      <c r="O392" s="6" t="s">
        <v>262</v>
      </c>
      <c r="P392" s="6"/>
      <c r="Q392" s="27"/>
      <c r="R392" s="28" t="s">
        <v>764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974</v>
      </c>
      <c r="B393" s="2" t="s">
        <v>835</v>
      </c>
      <c r="C393" s="21">
        <v>1.5</v>
      </c>
      <c r="D393" s="23">
        <v>1200</v>
      </c>
      <c r="E393" s="23"/>
      <c r="F393" s="28"/>
      <c r="G393" s="3" t="s">
        <v>896</v>
      </c>
      <c r="H393" s="6"/>
      <c r="I393" s="6" t="s">
        <v>760</v>
      </c>
      <c r="J393" s="6">
        <v>69</v>
      </c>
      <c r="K393" s="21">
        <v>18</v>
      </c>
      <c r="L393" s="21" t="s">
        <v>259</v>
      </c>
      <c r="M393" s="6" t="s">
        <v>860</v>
      </c>
      <c r="N393" s="6" t="s">
        <v>897</v>
      </c>
      <c r="O393" s="6" t="s">
        <v>262</v>
      </c>
      <c r="P393" s="6"/>
      <c r="Q393" s="27"/>
      <c r="R393" s="28" t="s">
        <v>764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465</v>
      </c>
      <c r="B394" s="2" t="s">
        <v>835</v>
      </c>
      <c r="C394" s="21">
        <v>1.5</v>
      </c>
      <c r="D394" s="6">
        <v>1200</v>
      </c>
      <c r="E394" s="23"/>
      <c r="F394" s="28"/>
      <c r="G394" s="3" t="s">
        <v>975</v>
      </c>
      <c r="H394" s="4"/>
      <c r="I394" s="4"/>
      <c r="J394" s="4">
        <v>30</v>
      </c>
      <c r="K394" s="5"/>
      <c r="L394" s="5" t="s">
        <v>904</v>
      </c>
      <c r="M394" s="4" t="s">
        <v>149</v>
      </c>
      <c r="N394" s="4"/>
      <c r="O394" s="4" t="s">
        <v>262</v>
      </c>
      <c r="P394" s="4"/>
      <c r="Q394" s="24"/>
      <c r="R394" s="25" t="s">
        <v>764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976</v>
      </c>
      <c r="B395" s="2" t="s">
        <v>835</v>
      </c>
      <c r="C395" s="21">
        <v>1.5</v>
      </c>
      <c r="D395" s="23">
        <v>1200</v>
      </c>
      <c r="E395" s="23"/>
      <c r="F395" s="28"/>
      <c r="G395" s="3" t="s">
        <v>896</v>
      </c>
      <c r="H395" s="6"/>
      <c r="I395" s="6" t="s">
        <v>760</v>
      </c>
      <c r="J395" s="6">
        <v>69</v>
      </c>
      <c r="K395" s="21">
        <v>18</v>
      </c>
      <c r="L395" s="21" t="s">
        <v>259</v>
      </c>
      <c r="M395" s="6" t="s">
        <v>860</v>
      </c>
      <c r="N395" s="6" t="s">
        <v>897</v>
      </c>
      <c r="O395" s="6" t="s">
        <v>262</v>
      </c>
      <c r="P395" s="6"/>
      <c r="Q395" s="27"/>
      <c r="R395" s="28" t="s">
        <v>764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498</v>
      </c>
      <c r="B396" s="2" t="s">
        <v>835</v>
      </c>
      <c r="C396" s="21">
        <v>1.06</v>
      </c>
      <c r="D396" s="6">
        <v>1000</v>
      </c>
      <c r="E396" s="23"/>
      <c r="F396" s="28"/>
      <c r="G396" s="3" t="s">
        <v>973</v>
      </c>
      <c r="H396" s="6"/>
      <c r="I396" s="6"/>
      <c r="J396" s="6">
        <v>30</v>
      </c>
      <c r="K396" s="21"/>
      <c r="L396" s="21" t="s">
        <v>904</v>
      </c>
      <c r="M396" s="6" t="s">
        <v>149</v>
      </c>
      <c r="N396" s="6"/>
      <c r="O396" s="6" t="s">
        <v>262</v>
      </c>
      <c r="P396" s="6"/>
      <c r="Q396" s="27"/>
      <c r="R396" s="28" t="s">
        <v>764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977</v>
      </c>
      <c r="B397" s="2" t="s">
        <v>835</v>
      </c>
      <c r="C397" s="21">
        <v>1.5</v>
      </c>
      <c r="D397" s="23">
        <v>490</v>
      </c>
      <c r="E397" s="23"/>
      <c r="F397" s="28"/>
      <c r="G397" s="3" t="s">
        <v>926</v>
      </c>
      <c r="H397" s="4"/>
      <c r="I397" s="4"/>
      <c r="J397" s="4">
        <v>63</v>
      </c>
      <c r="K397" s="5"/>
      <c r="L397" s="5" t="s">
        <v>927</v>
      </c>
      <c r="M397" s="4" t="s">
        <v>928</v>
      </c>
      <c r="N397" s="4"/>
      <c r="O397" s="4" t="s">
        <v>262</v>
      </c>
      <c r="P397" s="4"/>
      <c r="Q397" s="24"/>
      <c r="R397" s="25" t="s">
        <v>764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978</v>
      </c>
      <c r="B398" s="2" t="s">
        <v>835</v>
      </c>
      <c r="C398" s="21">
        <v>1.2</v>
      </c>
      <c r="D398" s="6">
        <v>1150</v>
      </c>
      <c r="E398" s="23"/>
      <c r="F398" s="28"/>
      <c r="G398" s="3" t="s">
        <v>979</v>
      </c>
      <c r="H398" s="6"/>
      <c r="I398" s="6"/>
      <c r="J398" s="6">
        <v>30</v>
      </c>
      <c r="K398" s="21"/>
      <c r="L398" s="21" t="s">
        <v>904</v>
      </c>
      <c r="M398" s="6" t="s">
        <v>928</v>
      </c>
      <c r="N398" s="6"/>
      <c r="O398" s="6" t="s">
        <v>262</v>
      </c>
      <c r="P398" s="6"/>
      <c r="Q398" s="27"/>
      <c r="R398" s="28" t="s">
        <v>764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980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821</v>
      </c>
      <c r="H399" s="6"/>
      <c r="I399" s="6"/>
      <c r="J399" s="6">
        <v>30</v>
      </c>
      <c r="K399" s="21"/>
      <c r="L399" s="21" t="s">
        <v>904</v>
      </c>
      <c r="M399" s="6" t="s">
        <v>377</v>
      </c>
      <c r="N399" s="6"/>
      <c r="O399" s="6" t="s">
        <v>262</v>
      </c>
      <c r="P399" s="6"/>
      <c r="Q399" s="27"/>
      <c r="R399" s="28" t="s">
        <v>764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981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908</v>
      </c>
      <c r="H400" s="4"/>
      <c r="I400" s="4"/>
      <c r="J400" s="4">
        <v>30</v>
      </c>
      <c r="K400" s="5"/>
      <c r="L400" s="5" t="s">
        <v>904</v>
      </c>
      <c r="M400" s="4" t="s">
        <v>149</v>
      </c>
      <c r="N400" s="4"/>
      <c r="O400" s="4" t="s">
        <v>262</v>
      </c>
      <c r="P400" s="4"/>
      <c r="Q400" s="24"/>
      <c r="R400" s="25" t="s">
        <v>764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982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849</v>
      </c>
      <c r="H401" s="6"/>
      <c r="I401" s="6"/>
      <c r="J401" s="6">
        <v>30</v>
      </c>
      <c r="K401" s="21"/>
      <c r="L401" s="21" t="s">
        <v>904</v>
      </c>
      <c r="M401" s="4" t="s">
        <v>773</v>
      </c>
      <c r="N401" s="6"/>
      <c r="O401" s="6" t="s">
        <v>262</v>
      </c>
      <c r="P401" s="6"/>
      <c r="Q401" s="27"/>
      <c r="R401" s="28" t="s">
        <v>764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983</v>
      </c>
      <c r="B402" s="2" t="s">
        <v>835</v>
      </c>
      <c r="C402" s="21">
        <v>0.9</v>
      </c>
      <c r="D402" s="23">
        <v>1200</v>
      </c>
      <c r="E402" s="23"/>
      <c r="F402" s="28"/>
      <c r="G402" s="3" t="s">
        <v>979</v>
      </c>
      <c r="H402" s="4"/>
      <c r="I402" s="4"/>
      <c r="J402" s="4">
        <v>30</v>
      </c>
      <c r="K402" s="5"/>
      <c r="L402" s="5" t="s">
        <v>904</v>
      </c>
      <c r="M402" s="4" t="s">
        <v>928</v>
      </c>
      <c r="N402" s="4"/>
      <c r="O402" s="4" t="s">
        <v>262</v>
      </c>
      <c r="P402" s="4"/>
      <c r="Q402" s="24"/>
      <c r="R402" s="25" t="s">
        <v>764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984</v>
      </c>
      <c r="B403" s="2" t="s">
        <v>985</v>
      </c>
      <c r="C403" s="21">
        <v>1.5</v>
      </c>
      <c r="D403" s="6">
        <v>1000</v>
      </c>
      <c r="E403" s="23"/>
      <c r="F403" s="28"/>
      <c r="G403" s="3" t="s">
        <v>986</v>
      </c>
      <c r="H403" s="6"/>
      <c r="I403" s="6"/>
      <c r="J403" s="6">
        <v>30</v>
      </c>
      <c r="K403" s="21"/>
      <c r="L403" s="21" t="s">
        <v>904</v>
      </c>
      <c r="M403" s="6" t="s">
        <v>928</v>
      </c>
      <c r="N403" s="6"/>
      <c r="O403" s="6" t="s">
        <v>262</v>
      </c>
      <c r="P403" s="6"/>
      <c r="Q403" s="27"/>
      <c r="R403" s="28" t="s">
        <v>764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987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783</v>
      </c>
      <c r="H404" s="4"/>
      <c r="I404" s="6" t="s">
        <v>760</v>
      </c>
      <c r="J404" s="4">
        <v>69</v>
      </c>
      <c r="K404" s="5">
        <v>13</v>
      </c>
      <c r="L404" s="5" t="s">
        <v>58</v>
      </c>
      <c r="M404" s="4" t="s">
        <v>959</v>
      </c>
      <c r="N404" s="4"/>
      <c r="O404" s="4" t="s">
        <v>262</v>
      </c>
      <c r="P404" s="4"/>
      <c r="Q404" s="24"/>
      <c r="R404" s="25" t="s">
        <v>764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988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777</v>
      </c>
      <c r="H405" s="6"/>
      <c r="I405" s="6" t="s">
        <v>760</v>
      </c>
      <c r="J405" s="6">
        <v>69</v>
      </c>
      <c r="K405" s="21">
        <v>25</v>
      </c>
      <c r="L405" s="21" t="s">
        <v>58</v>
      </c>
      <c r="M405" s="6" t="s">
        <v>778</v>
      </c>
      <c r="N405" s="6" t="s">
        <v>871</v>
      </c>
      <c r="O405" s="6" t="s">
        <v>49</v>
      </c>
      <c r="P405" s="6"/>
      <c r="Q405" s="27"/>
      <c r="R405" s="28" t="s">
        <v>764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989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853</v>
      </c>
      <c r="H406" s="4"/>
      <c r="I406" s="4" t="s">
        <v>760</v>
      </c>
      <c r="J406" s="4">
        <v>59</v>
      </c>
      <c r="K406" s="5"/>
      <c r="L406" s="5" t="s">
        <v>904</v>
      </c>
      <c r="M406" s="4" t="s">
        <v>377</v>
      </c>
      <c r="N406" s="4"/>
      <c r="O406" s="4" t="s">
        <v>167</v>
      </c>
      <c r="P406" s="4"/>
      <c r="Q406" s="24"/>
      <c r="R406" s="25" t="s">
        <v>764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990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777</v>
      </c>
      <c r="H407" s="4"/>
      <c r="I407" s="6" t="s">
        <v>760</v>
      </c>
      <c r="J407" s="4">
        <v>69</v>
      </c>
      <c r="K407" s="5">
        <v>10</v>
      </c>
      <c r="L407" s="5" t="s">
        <v>58</v>
      </c>
      <c r="M407" s="4" t="s">
        <v>778</v>
      </c>
      <c r="N407" s="4" t="s">
        <v>991</v>
      </c>
      <c r="O407" s="4" t="s">
        <v>262</v>
      </c>
      <c r="P407" s="4"/>
      <c r="Q407" s="24"/>
      <c r="R407" s="25" t="s">
        <v>764</v>
      </c>
      <c r="S407" s="4" t="s">
        <v>764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992</v>
      </c>
      <c r="B408" s="2" t="s">
        <v>835</v>
      </c>
      <c r="C408" s="21">
        <v>0.6</v>
      </c>
      <c r="D408" s="23">
        <v>800</v>
      </c>
      <c r="E408" s="23"/>
      <c r="F408" s="28"/>
      <c r="G408" s="3" t="s">
        <v>979</v>
      </c>
      <c r="H408" s="4"/>
      <c r="I408" s="6"/>
      <c r="J408" s="4">
        <v>30</v>
      </c>
      <c r="K408" s="5"/>
      <c r="L408" s="5" t="s">
        <v>904</v>
      </c>
      <c r="M408" s="4" t="s">
        <v>149</v>
      </c>
      <c r="N408" s="4"/>
      <c r="O408" s="4" t="s">
        <v>262</v>
      </c>
      <c r="P408" s="4"/>
      <c r="Q408" s="24"/>
      <c r="R408" s="25" t="s">
        <v>764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993</v>
      </c>
      <c r="B409" s="2" t="s">
        <v>835</v>
      </c>
      <c r="C409" s="21">
        <v>1</v>
      </c>
      <c r="D409" s="23">
        <v>215</v>
      </c>
      <c r="E409" s="23"/>
      <c r="F409" s="28"/>
      <c r="G409" s="3" t="s">
        <v>973</v>
      </c>
      <c r="H409" s="6"/>
      <c r="I409" s="6"/>
      <c r="J409" s="6">
        <v>30</v>
      </c>
      <c r="K409" s="21"/>
      <c r="L409" s="21" t="s">
        <v>904</v>
      </c>
      <c r="M409" s="6" t="s">
        <v>994</v>
      </c>
      <c r="N409" s="6"/>
      <c r="O409" s="6" t="s">
        <v>262</v>
      </c>
      <c r="P409" s="6"/>
      <c r="Q409" s="27"/>
      <c r="R409" s="28" t="s">
        <v>764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995</v>
      </c>
      <c r="B410" s="2" t="s">
        <v>835</v>
      </c>
      <c r="C410" s="21">
        <v>1</v>
      </c>
      <c r="D410" s="23">
        <v>228</v>
      </c>
      <c r="E410" s="23"/>
      <c r="F410" s="28"/>
      <c r="G410" s="3" t="s">
        <v>973</v>
      </c>
      <c r="H410" s="6"/>
      <c r="I410" s="6"/>
      <c r="J410" s="6">
        <v>30</v>
      </c>
      <c r="K410" s="21"/>
      <c r="L410" s="21" t="s">
        <v>904</v>
      </c>
      <c r="M410" s="6" t="s">
        <v>994</v>
      </c>
      <c r="N410" s="6"/>
      <c r="O410" s="6" t="s">
        <v>262</v>
      </c>
      <c r="P410" s="6"/>
      <c r="Q410" s="27"/>
      <c r="R410" s="28" t="s">
        <v>764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433</v>
      </c>
      <c r="B411" s="2" t="s">
        <v>835</v>
      </c>
      <c r="C411" s="21">
        <v>1</v>
      </c>
      <c r="D411" s="23">
        <v>1200</v>
      </c>
      <c r="E411" s="23"/>
      <c r="F411" s="28"/>
      <c r="G411" s="3" t="s">
        <v>996</v>
      </c>
      <c r="H411" s="4"/>
      <c r="I411" s="6"/>
      <c r="J411" s="4">
        <v>30</v>
      </c>
      <c r="K411" s="5"/>
      <c r="L411" s="5" t="s">
        <v>904</v>
      </c>
      <c r="M411" s="4" t="s">
        <v>149</v>
      </c>
      <c r="N411" s="4"/>
      <c r="O411" s="4" t="s">
        <v>262</v>
      </c>
      <c r="P411" s="4"/>
      <c r="Q411" s="24"/>
      <c r="R411" s="25" t="s">
        <v>764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997</v>
      </c>
      <c r="B412" s="2" t="s">
        <v>835</v>
      </c>
      <c r="C412" s="21">
        <v>1.2</v>
      </c>
      <c r="D412" s="6">
        <v>1200</v>
      </c>
      <c r="E412" s="23"/>
      <c r="F412" s="28"/>
      <c r="G412" s="3" t="s">
        <v>979</v>
      </c>
      <c r="H412" s="6"/>
      <c r="I412" s="6"/>
      <c r="J412" s="6">
        <v>30</v>
      </c>
      <c r="K412" s="21"/>
      <c r="L412" s="21" t="s">
        <v>904</v>
      </c>
      <c r="M412" s="6" t="s">
        <v>149</v>
      </c>
      <c r="N412" s="6"/>
      <c r="O412" s="6" t="s">
        <v>262</v>
      </c>
      <c r="P412" s="6"/>
      <c r="Q412" s="27"/>
      <c r="R412" s="28" t="s">
        <v>764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997</v>
      </c>
      <c r="B413" s="2" t="s">
        <v>835</v>
      </c>
      <c r="C413" s="21">
        <v>1.2</v>
      </c>
      <c r="D413" s="23">
        <v>1200</v>
      </c>
      <c r="E413" s="23"/>
      <c r="F413" s="28"/>
      <c r="G413" s="3" t="s">
        <v>979</v>
      </c>
      <c r="H413" s="6"/>
      <c r="I413" s="6"/>
      <c r="J413" s="6">
        <v>30</v>
      </c>
      <c r="K413" s="21"/>
      <c r="L413" s="21" t="s">
        <v>904</v>
      </c>
      <c r="M413" s="6" t="s">
        <v>998</v>
      </c>
      <c r="N413" s="6"/>
      <c r="O413" s="6" t="s">
        <v>262</v>
      </c>
      <c r="P413" s="6"/>
      <c r="Q413" s="27"/>
      <c r="R413" s="28" t="s">
        <v>764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999</v>
      </c>
      <c r="B414" s="2" t="s">
        <v>835</v>
      </c>
      <c r="C414" s="21">
        <v>1.25</v>
      </c>
      <c r="D414" s="6">
        <v>1200</v>
      </c>
      <c r="E414" s="23"/>
      <c r="F414" s="28"/>
      <c r="G414" s="3" t="s">
        <v>680</v>
      </c>
      <c r="H414" s="6"/>
      <c r="I414" s="6"/>
      <c r="J414" s="6">
        <v>30</v>
      </c>
      <c r="K414" s="21"/>
      <c r="L414" s="21" t="s">
        <v>904</v>
      </c>
      <c r="M414" s="6" t="s">
        <v>893</v>
      </c>
      <c r="N414" s="6"/>
      <c r="O414" s="6" t="s">
        <v>262</v>
      </c>
      <c r="P414" s="6"/>
      <c r="Q414" s="27"/>
      <c r="R414" s="28" t="s">
        <v>764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1000</v>
      </c>
      <c r="B415" s="2" t="s">
        <v>835</v>
      </c>
      <c r="C415" s="21">
        <v>1.5</v>
      </c>
      <c r="D415" s="23"/>
      <c r="E415" s="23"/>
      <c r="F415" s="77"/>
      <c r="G415" s="3" t="s">
        <v>896</v>
      </c>
      <c r="H415" s="6"/>
      <c r="I415" s="6" t="s">
        <v>772</v>
      </c>
      <c r="J415" s="6">
        <v>69</v>
      </c>
      <c r="K415" s="21">
        <v>19</v>
      </c>
      <c r="L415" s="21" t="s">
        <v>259</v>
      </c>
      <c r="M415" s="6" t="s">
        <v>860</v>
      </c>
      <c r="N415" s="6" t="s">
        <v>897</v>
      </c>
      <c r="O415" s="6" t="s">
        <v>262</v>
      </c>
      <c r="P415" s="6"/>
      <c r="Q415" s="27"/>
      <c r="R415" s="28" t="s">
        <v>764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1001</v>
      </c>
      <c r="B416" s="2" t="s">
        <v>835</v>
      </c>
      <c r="C416" s="21">
        <v>1.5</v>
      </c>
      <c r="D416" s="23">
        <v>1200</v>
      </c>
      <c r="E416" s="23"/>
      <c r="F416" s="28"/>
      <c r="G416" s="3" t="s">
        <v>896</v>
      </c>
      <c r="H416" s="6"/>
      <c r="I416" s="6" t="s">
        <v>760</v>
      </c>
      <c r="J416" s="6">
        <v>69</v>
      </c>
      <c r="K416" s="21">
        <v>18</v>
      </c>
      <c r="L416" s="21" t="s">
        <v>259</v>
      </c>
      <c r="M416" s="6" t="s">
        <v>860</v>
      </c>
      <c r="N416" s="6" t="s">
        <v>897</v>
      </c>
      <c r="O416" s="6" t="s">
        <v>262</v>
      </c>
      <c r="P416" s="6"/>
      <c r="Q416" s="27"/>
      <c r="R416" s="28" t="s">
        <v>764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1002</v>
      </c>
      <c r="B417" s="2" t="s">
        <v>835</v>
      </c>
      <c r="C417" s="21">
        <v>1.5</v>
      </c>
      <c r="D417" s="23">
        <v>1200</v>
      </c>
      <c r="E417" s="23"/>
      <c r="F417" s="28"/>
      <c r="G417" s="3" t="s">
        <v>896</v>
      </c>
      <c r="H417" s="6"/>
      <c r="I417" s="6" t="s">
        <v>760</v>
      </c>
      <c r="J417" s="6">
        <v>69</v>
      </c>
      <c r="K417" s="21">
        <v>18</v>
      </c>
      <c r="L417" s="21" t="s">
        <v>259</v>
      </c>
      <c r="M417" s="6" t="s">
        <v>860</v>
      </c>
      <c r="N417" s="6" t="s">
        <v>897</v>
      </c>
      <c r="O417" s="6" t="s">
        <v>262</v>
      </c>
      <c r="P417" s="6"/>
      <c r="Q417" s="27"/>
      <c r="R417" s="28" t="s">
        <v>764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1003</v>
      </c>
      <c r="B418" s="2" t="s">
        <v>835</v>
      </c>
      <c r="C418" s="21">
        <v>2</v>
      </c>
      <c r="D418" s="23"/>
      <c r="E418" s="23"/>
      <c r="F418" s="77"/>
      <c r="G418" s="3" t="s">
        <v>896</v>
      </c>
      <c r="H418" s="6"/>
      <c r="I418" s="6" t="s">
        <v>760</v>
      </c>
      <c r="J418" s="6">
        <v>69</v>
      </c>
      <c r="K418" s="21">
        <v>18</v>
      </c>
      <c r="L418" s="21" t="s">
        <v>259</v>
      </c>
      <c r="M418" s="6" t="s">
        <v>860</v>
      </c>
      <c r="N418" s="6" t="s">
        <v>897</v>
      </c>
      <c r="O418" s="6" t="s">
        <v>262</v>
      </c>
      <c r="P418" s="6"/>
      <c r="Q418" s="27"/>
      <c r="R418" s="28" t="s">
        <v>764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1004</v>
      </c>
      <c r="B419" s="2" t="s">
        <v>835</v>
      </c>
      <c r="C419" s="21">
        <v>1.5</v>
      </c>
      <c r="D419" s="23">
        <v>1200</v>
      </c>
      <c r="E419" s="23"/>
      <c r="F419" s="28"/>
      <c r="G419" s="3" t="s">
        <v>896</v>
      </c>
      <c r="H419" s="6"/>
      <c r="I419" s="6" t="s">
        <v>760</v>
      </c>
      <c r="J419" s="6">
        <v>69</v>
      </c>
      <c r="K419" s="21">
        <v>18</v>
      </c>
      <c r="L419" s="21" t="s">
        <v>259</v>
      </c>
      <c r="M419" s="6" t="s">
        <v>860</v>
      </c>
      <c r="N419" s="6" t="s">
        <v>897</v>
      </c>
      <c r="O419" s="6" t="s">
        <v>262</v>
      </c>
      <c r="P419" s="6"/>
      <c r="Q419" s="27"/>
      <c r="R419" s="28" t="s">
        <v>764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1005</v>
      </c>
      <c r="B420" s="2" t="s">
        <v>835</v>
      </c>
      <c r="C420" s="21">
        <v>1.5</v>
      </c>
      <c r="D420" s="6">
        <v>1200</v>
      </c>
      <c r="E420" s="23"/>
      <c r="F420" s="28"/>
      <c r="G420" s="3" t="s">
        <v>979</v>
      </c>
      <c r="H420" s="6"/>
      <c r="I420" s="6"/>
      <c r="J420" s="6">
        <v>30</v>
      </c>
      <c r="K420" s="21"/>
      <c r="L420" s="21" t="s">
        <v>904</v>
      </c>
      <c r="M420" s="6" t="s">
        <v>860</v>
      </c>
      <c r="N420" s="6"/>
      <c r="O420" s="6" t="s">
        <v>262</v>
      </c>
      <c r="P420" s="6"/>
      <c r="Q420" s="27"/>
      <c r="R420" s="28" t="s">
        <v>764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1006</v>
      </c>
      <c r="B421" s="2" t="s">
        <v>835</v>
      </c>
      <c r="C421" s="21">
        <v>1.5</v>
      </c>
      <c r="D421" s="6">
        <v>1150</v>
      </c>
      <c r="E421" s="23"/>
      <c r="F421" s="28"/>
      <c r="G421" s="3" t="s">
        <v>1007</v>
      </c>
      <c r="H421" s="6"/>
      <c r="I421" s="6"/>
      <c r="J421" s="6">
        <v>30</v>
      </c>
      <c r="K421" s="21"/>
      <c r="L421" s="21" t="s">
        <v>904</v>
      </c>
      <c r="M421" s="6" t="s">
        <v>928</v>
      </c>
      <c r="N421" s="6"/>
      <c r="O421" s="6" t="s">
        <v>262</v>
      </c>
      <c r="P421" s="6"/>
      <c r="Q421" s="27"/>
      <c r="R421" s="28" t="s">
        <v>764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1008</v>
      </c>
      <c r="B422" s="2" t="s">
        <v>835</v>
      </c>
      <c r="C422" s="21">
        <v>1.5</v>
      </c>
      <c r="D422" s="6">
        <v>1200</v>
      </c>
      <c r="E422" s="23"/>
      <c r="F422" s="28"/>
      <c r="G422" s="3" t="s">
        <v>1009</v>
      </c>
      <c r="H422" s="6"/>
      <c r="I422" s="6"/>
      <c r="J422" s="6">
        <v>30</v>
      </c>
      <c r="K422" s="21"/>
      <c r="L422" s="21" t="s">
        <v>904</v>
      </c>
      <c r="M422" s="6" t="s">
        <v>860</v>
      </c>
      <c r="N422" s="6"/>
      <c r="O422" s="6" t="s">
        <v>262</v>
      </c>
      <c r="P422" s="6"/>
      <c r="Q422" s="27"/>
      <c r="R422" s="28" t="s">
        <v>764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1010</v>
      </c>
      <c r="B423" s="2" t="s">
        <v>835</v>
      </c>
      <c r="C423" s="21">
        <v>1.5</v>
      </c>
      <c r="D423" s="6">
        <v>1300</v>
      </c>
      <c r="E423" s="23"/>
      <c r="F423" s="28"/>
      <c r="G423" s="3" t="s">
        <v>938</v>
      </c>
      <c r="H423" s="4"/>
      <c r="I423" s="6"/>
      <c r="J423" s="4">
        <v>30</v>
      </c>
      <c r="K423" s="5"/>
      <c r="L423" s="5" t="s">
        <v>904</v>
      </c>
      <c r="M423" s="4" t="s">
        <v>994</v>
      </c>
      <c r="N423" s="4"/>
      <c r="O423" s="4" t="s">
        <v>262</v>
      </c>
      <c r="P423" s="4"/>
      <c r="Q423" s="24"/>
      <c r="R423" s="25" t="s">
        <v>764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1011</v>
      </c>
      <c r="B424" s="2" t="s">
        <v>985</v>
      </c>
      <c r="C424" s="21">
        <v>1.5</v>
      </c>
      <c r="D424" s="6">
        <v>1300</v>
      </c>
      <c r="E424" s="23"/>
      <c r="F424" s="28"/>
      <c r="G424" s="3" t="s">
        <v>986</v>
      </c>
      <c r="H424" s="4"/>
      <c r="I424" s="6"/>
      <c r="J424" s="4">
        <v>30</v>
      </c>
      <c r="K424" s="5"/>
      <c r="L424" s="5" t="s">
        <v>904</v>
      </c>
      <c r="M424" s="4" t="s">
        <v>773</v>
      </c>
      <c r="N424" s="4"/>
      <c r="O424" s="4" t="s">
        <v>262</v>
      </c>
      <c r="P424" s="4"/>
      <c r="Q424" s="24"/>
      <c r="R424" s="25" t="s">
        <v>764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1012</v>
      </c>
      <c r="B425" s="2" t="s">
        <v>835</v>
      </c>
      <c r="C425" s="21">
        <v>1.9</v>
      </c>
      <c r="D425" s="6">
        <v>1100</v>
      </c>
      <c r="E425" s="23"/>
      <c r="F425" s="28"/>
      <c r="G425" s="3" t="s">
        <v>1013</v>
      </c>
      <c r="H425" s="6"/>
      <c r="I425" s="6"/>
      <c r="J425" s="6">
        <v>30</v>
      </c>
      <c r="K425" s="21"/>
      <c r="L425" s="21" t="s">
        <v>904</v>
      </c>
      <c r="M425" s="6" t="s">
        <v>860</v>
      </c>
      <c r="N425" s="6"/>
      <c r="O425" s="6" t="s">
        <v>262</v>
      </c>
      <c r="P425" s="6"/>
      <c r="Q425" s="27"/>
      <c r="R425" s="28" t="s">
        <v>764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1014</v>
      </c>
      <c r="B426" s="2" t="s">
        <v>835</v>
      </c>
      <c r="C426" s="21">
        <v>1.9</v>
      </c>
      <c r="D426" s="6">
        <v>1200</v>
      </c>
      <c r="E426" s="23"/>
      <c r="F426" s="28"/>
      <c r="G426" s="3" t="s">
        <v>1013</v>
      </c>
      <c r="H426" s="6"/>
      <c r="I426" s="6"/>
      <c r="J426" s="6">
        <v>30</v>
      </c>
      <c r="K426" s="21"/>
      <c r="L426" s="21" t="s">
        <v>904</v>
      </c>
      <c r="M426" s="6" t="s">
        <v>928</v>
      </c>
      <c r="N426" s="6"/>
      <c r="O426" s="6" t="s">
        <v>262</v>
      </c>
      <c r="P426" s="6"/>
      <c r="Q426" s="27"/>
      <c r="R426" s="28" t="s">
        <v>764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1015</v>
      </c>
      <c r="B427" s="2" t="s">
        <v>835</v>
      </c>
      <c r="C427" s="21">
        <v>1.9</v>
      </c>
      <c r="D427" s="6">
        <v>1100</v>
      </c>
      <c r="E427" s="23"/>
      <c r="F427" s="28"/>
      <c r="G427" s="3" t="s">
        <v>1013</v>
      </c>
      <c r="H427" s="6"/>
      <c r="I427" s="6"/>
      <c r="J427" s="6">
        <v>30</v>
      </c>
      <c r="K427" s="21"/>
      <c r="L427" s="21" t="s">
        <v>904</v>
      </c>
      <c r="M427" s="6" t="s">
        <v>928</v>
      </c>
      <c r="N427" s="6"/>
      <c r="O427" s="6" t="s">
        <v>262</v>
      </c>
      <c r="P427" s="6"/>
      <c r="Q427" s="27"/>
      <c r="R427" s="28" t="s">
        <v>764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1016</v>
      </c>
      <c r="B428" s="2" t="s">
        <v>835</v>
      </c>
      <c r="C428" s="21">
        <v>1.9</v>
      </c>
      <c r="D428" s="6">
        <v>1100</v>
      </c>
      <c r="E428" s="23"/>
      <c r="F428" s="28"/>
      <c r="G428" s="3" t="s">
        <v>1017</v>
      </c>
      <c r="H428" s="6"/>
      <c r="I428" s="6"/>
      <c r="J428" s="6">
        <v>30</v>
      </c>
      <c r="K428" s="21"/>
      <c r="L428" s="21" t="s">
        <v>904</v>
      </c>
      <c r="M428" s="4" t="s">
        <v>928</v>
      </c>
      <c r="N428" s="6"/>
      <c r="O428" s="6" t="s">
        <v>262</v>
      </c>
      <c r="P428" s="6"/>
      <c r="Q428" s="27"/>
      <c r="R428" s="28" t="s">
        <v>764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1018</v>
      </c>
      <c r="B429" s="2" t="s">
        <v>835</v>
      </c>
      <c r="C429" s="21">
        <v>1.9</v>
      </c>
      <c r="D429" s="23">
        <v>1200</v>
      </c>
      <c r="E429" s="23"/>
      <c r="F429" s="28"/>
      <c r="G429" s="3" t="s">
        <v>1013</v>
      </c>
      <c r="H429" s="6"/>
      <c r="I429" s="6"/>
      <c r="J429" s="6">
        <v>30</v>
      </c>
      <c r="K429" s="21"/>
      <c r="L429" s="21" t="s">
        <v>904</v>
      </c>
      <c r="M429" s="6" t="s">
        <v>773</v>
      </c>
      <c r="N429" s="6"/>
      <c r="O429" s="6" t="s">
        <v>262</v>
      </c>
      <c r="P429" s="6"/>
      <c r="Q429" s="27"/>
      <c r="R429" s="28" t="s">
        <v>764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1019</v>
      </c>
      <c r="B430" s="2" t="s">
        <v>985</v>
      </c>
      <c r="C430" s="21">
        <v>2</v>
      </c>
      <c r="D430" s="6">
        <v>1050</v>
      </c>
      <c r="E430" s="23"/>
      <c r="F430" s="28"/>
      <c r="G430" s="3" t="s">
        <v>1020</v>
      </c>
      <c r="H430" s="4"/>
      <c r="I430" s="4"/>
      <c r="J430" s="4">
        <v>30</v>
      </c>
      <c r="K430" s="5"/>
      <c r="L430" s="5" t="s">
        <v>904</v>
      </c>
      <c r="M430" s="4" t="s">
        <v>928</v>
      </c>
      <c r="N430" s="4"/>
      <c r="O430" s="4" t="s">
        <v>262</v>
      </c>
      <c r="P430" s="4"/>
      <c r="Q430" s="24"/>
      <c r="R430" s="25" t="s">
        <v>764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1021</v>
      </c>
      <c r="B431" s="2" t="s">
        <v>835</v>
      </c>
      <c r="C431" s="21">
        <v>2</v>
      </c>
      <c r="D431" s="23" t="s">
        <v>1022</v>
      </c>
      <c r="E431" s="23"/>
      <c r="F431" s="28"/>
      <c r="G431" s="3" t="s">
        <v>1023</v>
      </c>
      <c r="H431" s="6"/>
      <c r="I431" s="6"/>
      <c r="J431" s="6">
        <v>30</v>
      </c>
      <c r="K431" s="21"/>
      <c r="L431" s="21" t="s">
        <v>904</v>
      </c>
      <c r="M431" s="6" t="s">
        <v>967</v>
      </c>
      <c r="N431" s="6"/>
      <c r="O431" s="6" t="s">
        <v>262</v>
      </c>
      <c r="P431" s="6"/>
      <c r="Q431" s="27"/>
      <c r="R431" s="28" t="s">
        <v>764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652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908</v>
      </c>
      <c r="H432" s="4"/>
      <c r="I432" s="4"/>
      <c r="J432" s="4">
        <v>30</v>
      </c>
      <c r="K432" s="5"/>
      <c r="L432" s="5" t="s">
        <v>904</v>
      </c>
      <c r="M432" s="4" t="s">
        <v>890</v>
      </c>
      <c r="N432" s="4"/>
      <c r="O432" s="4" t="s">
        <v>262</v>
      </c>
      <c r="P432" s="4"/>
      <c r="Q432" s="24"/>
      <c r="R432" s="25" t="s">
        <v>764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1024</v>
      </c>
      <c r="B433" s="2" t="s">
        <v>835</v>
      </c>
      <c r="C433" s="21">
        <v>2</v>
      </c>
      <c r="D433" s="6">
        <v>1200</v>
      </c>
      <c r="E433" s="23"/>
      <c r="F433" s="28"/>
      <c r="G433" s="3" t="s">
        <v>1025</v>
      </c>
      <c r="H433" s="4"/>
      <c r="I433" s="4"/>
      <c r="J433" s="4">
        <v>30</v>
      </c>
      <c r="K433" s="5"/>
      <c r="L433" s="5" t="s">
        <v>904</v>
      </c>
      <c r="M433" s="4" t="s">
        <v>773</v>
      </c>
      <c r="N433" s="4"/>
      <c r="O433" s="4" t="s">
        <v>262</v>
      </c>
      <c r="P433" s="4"/>
      <c r="Q433" s="24"/>
      <c r="R433" s="25" t="s">
        <v>764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1026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912</v>
      </c>
      <c r="H434" s="6"/>
      <c r="I434" s="6"/>
      <c r="J434" s="6">
        <v>30</v>
      </c>
      <c r="K434" s="21"/>
      <c r="L434" s="21" t="s">
        <v>904</v>
      </c>
      <c r="M434" s="6" t="s">
        <v>377</v>
      </c>
      <c r="N434" s="6"/>
      <c r="O434" s="6" t="s">
        <v>262</v>
      </c>
      <c r="P434" s="6"/>
      <c r="Q434" s="27"/>
      <c r="R434" s="28" t="s">
        <v>764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1027</v>
      </c>
      <c r="B435" s="2" t="s">
        <v>835</v>
      </c>
      <c r="C435" s="21">
        <v>2.25</v>
      </c>
      <c r="D435" s="6">
        <v>1200</v>
      </c>
      <c r="E435" s="23"/>
      <c r="F435" s="28"/>
      <c r="G435" s="3" t="s">
        <v>1028</v>
      </c>
      <c r="H435" s="4"/>
      <c r="I435" s="6"/>
      <c r="J435" s="4">
        <v>30</v>
      </c>
      <c r="K435" s="5"/>
      <c r="L435" s="5" t="s">
        <v>904</v>
      </c>
      <c r="M435" s="4" t="s">
        <v>149</v>
      </c>
      <c r="N435" s="4"/>
      <c r="O435" s="4" t="s">
        <v>262</v>
      </c>
      <c r="P435" s="4"/>
      <c r="Q435" s="24"/>
      <c r="R435" s="25" t="s">
        <v>764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1029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1030</v>
      </c>
      <c r="H436" s="6"/>
      <c r="I436" s="6"/>
      <c r="J436" s="6">
        <v>30</v>
      </c>
      <c r="K436" s="21"/>
      <c r="L436" s="21" t="s">
        <v>904</v>
      </c>
      <c r="M436" s="6" t="s">
        <v>893</v>
      </c>
      <c r="N436" s="6"/>
      <c r="O436" s="6" t="s">
        <v>262</v>
      </c>
      <c r="P436" s="6"/>
      <c r="Q436" s="27"/>
      <c r="R436" s="28" t="s">
        <v>764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1031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966</v>
      </c>
      <c r="H437" s="6"/>
      <c r="I437" s="6"/>
      <c r="J437" s="6">
        <v>30</v>
      </c>
      <c r="K437" s="21"/>
      <c r="L437" s="21" t="s">
        <v>904</v>
      </c>
      <c r="M437" s="6" t="s">
        <v>149</v>
      </c>
      <c r="N437" s="6"/>
      <c r="O437" s="6" t="s">
        <v>262</v>
      </c>
      <c r="P437" s="6"/>
      <c r="Q437" s="27"/>
      <c r="R437" s="28" t="s">
        <v>764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417</v>
      </c>
      <c r="B438" s="2" t="s">
        <v>55</v>
      </c>
      <c r="C438" s="21">
        <v>2.5</v>
      </c>
      <c r="D438" s="23" t="s">
        <v>1032</v>
      </c>
      <c r="E438" s="23"/>
      <c r="F438" s="28"/>
      <c r="G438" s="3" t="s">
        <v>1033</v>
      </c>
      <c r="H438" s="6"/>
      <c r="I438" s="6"/>
      <c r="J438" s="6">
        <v>30</v>
      </c>
      <c r="K438" s="21"/>
      <c r="L438" s="21" t="s">
        <v>904</v>
      </c>
      <c r="M438" s="6" t="s">
        <v>967</v>
      </c>
      <c r="N438" s="6"/>
      <c r="O438" s="6" t="s">
        <v>262</v>
      </c>
      <c r="P438" s="6"/>
      <c r="Q438" s="27"/>
      <c r="R438" s="28" t="s">
        <v>764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754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966</v>
      </c>
      <c r="H439" s="6"/>
      <c r="I439" s="6"/>
      <c r="J439" s="6">
        <v>30</v>
      </c>
      <c r="K439" s="21"/>
      <c r="L439" s="21" t="s">
        <v>904</v>
      </c>
      <c r="M439" s="6" t="s">
        <v>928</v>
      </c>
      <c r="N439" s="6"/>
      <c r="O439" s="6" t="s">
        <v>262</v>
      </c>
      <c r="P439" s="6"/>
      <c r="Q439" s="27"/>
      <c r="R439" s="28" t="s">
        <v>764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1034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908</v>
      </c>
      <c r="H440" s="4"/>
      <c r="I440" s="4"/>
      <c r="J440" s="4">
        <v>30</v>
      </c>
      <c r="K440" s="5"/>
      <c r="L440" s="5" t="s">
        <v>904</v>
      </c>
      <c r="M440" s="4" t="s">
        <v>773</v>
      </c>
      <c r="N440" s="4"/>
      <c r="O440" s="4" t="s">
        <v>262</v>
      </c>
      <c r="P440" s="4"/>
      <c r="Q440" s="24"/>
      <c r="R440" s="25" t="s">
        <v>764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1035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922</v>
      </c>
      <c r="H441" s="4"/>
      <c r="I441" s="4"/>
      <c r="J441" s="4">
        <v>30</v>
      </c>
      <c r="K441" s="5"/>
      <c r="L441" s="5" t="s">
        <v>904</v>
      </c>
      <c r="M441" s="4" t="s">
        <v>959</v>
      </c>
      <c r="N441" s="4"/>
      <c r="O441" s="4" t="s">
        <v>262</v>
      </c>
      <c r="P441" s="4"/>
      <c r="Q441" s="24"/>
      <c r="R441" s="25" t="s">
        <v>764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1036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1037</v>
      </c>
      <c r="H442" s="6"/>
      <c r="I442" s="6"/>
      <c r="J442" s="6">
        <v>30</v>
      </c>
      <c r="K442" s="21"/>
      <c r="L442" s="21" t="s">
        <v>904</v>
      </c>
      <c r="M442" s="6" t="s">
        <v>893</v>
      </c>
      <c r="N442" s="6"/>
      <c r="O442" s="6" t="s">
        <v>262</v>
      </c>
      <c r="P442" s="6"/>
      <c r="Q442" s="27"/>
      <c r="R442" s="28" t="s">
        <v>764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1038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973</v>
      </c>
      <c r="H443" s="6"/>
      <c r="I443" s="6"/>
      <c r="J443" s="6">
        <v>30</v>
      </c>
      <c r="K443" s="21"/>
      <c r="L443" s="21" t="s">
        <v>904</v>
      </c>
      <c r="M443" s="6" t="s">
        <v>860</v>
      </c>
      <c r="N443" s="6"/>
      <c r="O443" s="6" t="s">
        <v>262</v>
      </c>
      <c r="P443" s="6"/>
      <c r="Q443" s="27"/>
      <c r="R443" s="28" t="s">
        <v>764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1039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1040</v>
      </c>
      <c r="H444" s="6"/>
      <c r="I444" s="6"/>
      <c r="J444" s="6">
        <v>30</v>
      </c>
      <c r="K444" s="21"/>
      <c r="L444" s="21" t="s">
        <v>904</v>
      </c>
      <c r="M444" s="6" t="s">
        <v>149</v>
      </c>
      <c r="N444" s="6"/>
      <c r="O444" s="6" t="s">
        <v>262</v>
      </c>
      <c r="P444" s="6"/>
      <c r="Q444" s="27"/>
      <c r="R444" s="28" t="s">
        <v>764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1041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849</v>
      </c>
      <c r="H445" s="6"/>
      <c r="I445" s="6"/>
      <c r="J445" s="6">
        <v>30</v>
      </c>
      <c r="K445" s="21"/>
      <c r="L445" s="21" t="s">
        <v>904</v>
      </c>
      <c r="M445" s="6" t="s">
        <v>933</v>
      </c>
      <c r="N445" s="6"/>
      <c r="O445" s="6" t="s">
        <v>262</v>
      </c>
      <c r="P445" s="6"/>
      <c r="Q445" s="27"/>
      <c r="R445" s="28" t="s">
        <v>764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1042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908</v>
      </c>
      <c r="H446" s="4"/>
      <c r="I446" s="6"/>
      <c r="J446" s="4">
        <v>30</v>
      </c>
      <c r="K446" s="5"/>
      <c r="L446" s="5" t="s">
        <v>904</v>
      </c>
      <c r="M446" s="4" t="s">
        <v>773</v>
      </c>
      <c r="N446" s="4"/>
      <c r="O446" s="4" t="s">
        <v>262</v>
      </c>
      <c r="P446" s="4"/>
      <c r="Q446" s="24"/>
      <c r="R446" s="25" t="s">
        <v>764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259</v>
      </c>
      <c r="M447" s="4" t="s">
        <v>127</v>
      </c>
      <c r="N447" s="4"/>
      <c r="O447" s="4" t="s">
        <v>262</v>
      </c>
      <c r="P447" s="4"/>
      <c r="Q447" s="24"/>
      <c r="R447" s="25" t="s">
        <v>764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1043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966</v>
      </c>
      <c r="H448" s="6"/>
      <c r="I448" s="6"/>
      <c r="J448" s="6">
        <v>30</v>
      </c>
      <c r="K448" s="21"/>
      <c r="L448" s="21" t="s">
        <v>904</v>
      </c>
      <c r="M448" s="6" t="s">
        <v>928</v>
      </c>
      <c r="N448" s="6"/>
      <c r="O448" s="6" t="s">
        <v>262</v>
      </c>
      <c r="P448" s="6"/>
      <c r="Q448" s="27"/>
      <c r="R448" s="28" t="s">
        <v>764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1044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966</v>
      </c>
      <c r="H449" s="6"/>
      <c r="I449" s="6"/>
      <c r="J449" s="6">
        <v>30</v>
      </c>
      <c r="K449" s="21"/>
      <c r="L449" s="21" t="s">
        <v>904</v>
      </c>
      <c r="M449" s="6" t="s">
        <v>860</v>
      </c>
      <c r="N449" s="6"/>
      <c r="O449" s="6" t="s">
        <v>262</v>
      </c>
      <c r="P449" s="6"/>
      <c r="Q449" s="27"/>
      <c r="R449" s="28" t="s">
        <v>764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1045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912</v>
      </c>
      <c r="H450" s="4"/>
      <c r="I450" s="6"/>
      <c r="J450" s="4">
        <v>30</v>
      </c>
      <c r="K450" s="5"/>
      <c r="L450" s="5" t="s">
        <v>904</v>
      </c>
      <c r="M450" s="4" t="s">
        <v>127</v>
      </c>
      <c r="N450" s="4"/>
      <c r="O450" s="4" t="s">
        <v>262</v>
      </c>
      <c r="P450" s="4"/>
      <c r="Q450" s="24"/>
      <c r="R450" s="25" t="s">
        <v>764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1046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938</v>
      </c>
      <c r="H451" s="6"/>
      <c r="I451" s="6"/>
      <c r="J451" s="6">
        <v>30</v>
      </c>
      <c r="K451" s="21"/>
      <c r="L451" s="21" t="s">
        <v>904</v>
      </c>
      <c r="M451" s="6" t="s">
        <v>860</v>
      </c>
      <c r="N451" s="6"/>
      <c r="O451" s="6" t="s">
        <v>262</v>
      </c>
      <c r="P451" s="6"/>
      <c r="Q451" s="27"/>
      <c r="R451" s="28" t="s">
        <v>764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1047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916</v>
      </c>
      <c r="H452" s="4"/>
      <c r="I452" s="6"/>
      <c r="J452" s="4">
        <v>30</v>
      </c>
      <c r="K452" s="5"/>
      <c r="L452" s="5" t="s">
        <v>904</v>
      </c>
      <c r="M452" s="4" t="s">
        <v>149</v>
      </c>
      <c r="N452" s="4"/>
      <c r="O452" s="4" t="s">
        <v>262</v>
      </c>
      <c r="P452" s="4"/>
      <c r="Q452" s="24"/>
      <c r="R452" s="25" t="s">
        <v>764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1048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849</v>
      </c>
      <c r="H453" s="4"/>
      <c r="I453" s="6"/>
      <c r="J453" s="4">
        <v>30</v>
      </c>
      <c r="K453" s="5"/>
      <c r="L453" s="5" t="s">
        <v>904</v>
      </c>
      <c r="M453" s="4" t="s">
        <v>773</v>
      </c>
      <c r="N453" s="4"/>
      <c r="O453" s="4" t="s">
        <v>262</v>
      </c>
      <c r="P453" s="4"/>
      <c r="Q453" s="24"/>
      <c r="R453" s="25" t="s">
        <v>764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1049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973</v>
      </c>
      <c r="H454" s="4"/>
      <c r="I454" s="6"/>
      <c r="J454" s="4">
        <v>30</v>
      </c>
      <c r="K454" s="5"/>
      <c r="L454" s="5" t="s">
        <v>904</v>
      </c>
      <c r="M454" s="4" t="s">
        <v>967</v>
      </c>
      <c r="N454" s="4"/>
      <c r="O454" s="4" t="s">
        <v>262</v>
      </c>
      <c r="P454" s="4"/>
      <c r="Q454" s="24"/>
      <c r="R454" s="25" t="s">
        <v>764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1050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922</v>
      </c>
      <c r="H455" s="6"/>
      <c r="I455" s="6"/>
      <c r="J455" s="6">
        <v>30</v>
      </c>
      <c r="K455" s="21"/>
      <c r="L455" s="21" t="s">
        <v>904</v>
      </c>
      <c r="M455" s="6" t="s">
        <v>149</v>
      </c>
      <c r="N455" s="6"/>
      <c r="O455" s="6" t="s">
        <v>262</v>
      </c>
      <c r="P455" s="6"/>
      <c r="Q455" s="27"/>
      <c r="R455" s="28" t="s">
        <v>764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1051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853</v>
      </c>
      <c r="H456" s="4"/>
      <c r="I456" s="6"/>
      <c r="J456" s="4">
        <v>30</v>
      </c>
      <c r="K456" s="5"/>
      <c r="L456" s="5" t="s">
        <v>904</v>
      </c>
      <c r="M456" s="4" t="s">
        <v>149</v>
      </c>
      <c r="N456" s="4"/>
      <c r="O456" s="4" t="s">
        <v>262</v>
      </c>
      <c r="P456" s="4"/>
      <c r="Q456" s="24"/>
      <c r="R456" s="25" t="s">
        <v>764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1052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892</v>
      </c>
      <c r="H457" s="6"/>
      <c r="I457" s="6"/>
      <c r="J457" s="6">
        <v>30</v>
      </c>
      <c r="K457" s="21"/>
      <c r="L457" s="21" t="s">
        <v>904</v>
      </c>
      <c r="M457" s="6" t="s">
        <v>377</v>
      </c>
      <c r="N457" s="6"/>
      <c r="O457" s="6" t="s">
        <v>262</v>
      </c>
      <c r="P457" s="6"/>
      <c r="Q457" s="27"/>
      <c r="R457" s="28" t="s">
        <v>764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1053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966</v>
      </c>
      <c r="H458" s="4"/>
      <c r="I458" s="4"/>
      <c r="J458" s="4">
        <v>30</v>
      </c>
      <c r="K458" s="5"/>
      <c r="L458" s="5" t="s">
        <v>904</v>
      </c>
      <c r="M458" s="4" t="s">
        <v>928</v>
      </c>
      <c r="N458" s="4"/>
      <c r="O458" s="4" t="s">
        <v>262</v>
      </c>
      <c r="P458" s="4"/>
      <c r="Q458" s="24"/>
      <c r="R458" s="25" t="s">
        <v>764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1054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1055</v>
      </c>
      <c r="H459" s="4"/>
      <c r="I459" s="6"/>
      <c r="J459" s="4">
        <v>30</v>
      </c>
      <c r="K459" s="5"/>
      <c r="L459" s="5" t="s">
        <v>904</v>
      </c>
      <c r="M459" s="4" t="s">
        <v>773</v>
      </c>
      <c r="N459" s="4"/>
      <c r="O459" s="4" t="s">
        <v>262</v>
      </c>
      <c r="P459" s="4"/>
      <c r="Q459" s="24"/>
      <c r="R459" s="25" t="s">
        <v>764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1056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966</v>
      </c>
      <c r="H460" s="4"/>
      <c r="I460" s="4"/>
      <c r="J460" s="4">
        <v>30</v>
      </c>
      <c r="K460" s="5"/>
      <c r="L460" s="5" t="s">
        <v>904</v>
      </c>
      <c r="M460" s="4" t="s">
        <v>928</v>
      </c>
      <c r="N460" s="4"/>
      <c r="O460" s="4" t="s">
        <v>262</v>
      </c>
      <c r="P460" s="4"/>
      <c r="Q460" s="24"/>
      <c r="R460" s="25" t="s">
        <v>764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1057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966</v>
      </c>
      <c r="H461" s="4"/>
      <c r="I461" s="4"/>
      <c r="J461" s="4">
        <v>30</v>
      </c>
      <c r="K461" s="5"/>
      <c r="L461" s="5" t="s">
        <v>904</v>
      </c>
      <c r="M461" s="4" t="s">
        <v>890</v>
      </c>
      <c r="N461" s="4"/>
      <c r="O461" s="4" t="s">
        <v>262</v>
      </c>
      <c r="P461" s="4"/>
      <c r="Q461" s="24"/>
      <c r="R461" s="25" t="s">
        <v>764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1058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966</v>
      </c>
      <c r="H462" s="6"/>
      <c r="I462" s="6"/>
      <c r="J462" s="6">
        <v>30</v>
      </c>
      <c r="K462" s="21"/>
      <c r="L462" s="21" t="s">
        <v>904</v>
      </c>
      <c r="M462" s="6" t="s">
        <v>967</v>
      </c>
      <c r="N462" s="6"/>
      <c r="O462" s="6" t="s">
        <v>262</v>
      </c>
      <c r="P462" s="6"/>
      <c r="Q462" s="27"/>
      <c r="R462" s="28" t="s">
        <v>764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1059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791</v>
      </c>
      <c r="H463" s="6"/>
      <c r="I463" s="6" t="s">
        <v>760</v>
      </c>
      <c r="J463" s="6">
        <v>59</v>
      </c>
      <c r="K463" s="21"/>
      <c r="L463" s="21" t="s">
        <v>904</v>
      </c>
      <c r="M463" s="6" t="s">
        <v>778</v>
      </c>
      <c r="N463" s="6" t="s">
        <v>792</v>
      </c>
      <c r="O463" s="6" t="s">
        <v>262</v>
      </c>
      <c r="P463" s="6"/>
      <c r="Q463" s="27"/>
      <c r="R463" s="28" t="s">
        <v>764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1060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973</v>
      </c>
      <c r="H464" s="6"/>
      <c r="I464" s="6"/>
      <c r="J464" s="6">
        <v>30</v>
      </c>
      <c r="K464" s="21"/>
      <c r="L464" s="21" t="s">
        <v>904</v>
      </c>
      <c r="M464" s="6" t="s">
        <v>967</v>
      </c>
      <c r="N464" s="6"/>
      <c r="O464" s="6" t="s">
        <v>262</v>
      </c>
      <c r="P464" s="6"/>
      <c r="Q464" s="27"/>
      <c r="R464" s="28" t="s">
        <v>764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1061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912</v>
      </c>
      <c r="H465" s="6"/>
      <c r="I465" s="6"/>
      <c r="J465" s="6">
        <v>30</v>
      </c>
      <c r="K465" s="21"/>
      <c r="L465" s="21" t="s">
        <v>904</v>
      </c>
      <c r="M465" s="6" t="s">
        <v>967</v>
      </c>
      <c r="N465" s="6"/>
      <c r="O465" s="6" t="s">
        <v>262</v>
      </c>
      <c r="P465" s="6"/>
      <c r="Q465" s="27"/>
      <c r="R465" s="28" t="s">
        <v>764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1062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908</v>
      </c>
      <c r="H466" s="6"/>
      <c r="I466" s="6"/>
      <c r="J466" s="6">
        <v>30</v>
      </c>
      <c r="K466" s="21"/>
      <c r="L466" s="21" t="s">
        <v>904</v>
      </c>
      <c r="M466" s="6" t="s">
        <v>149</v>
      </c>
      <c r="N466" s="6"/>
      <c r="O466" s="6" t="s">
        <v>262</v>
      </c>
      <c r="P466" s="6"/>
      <c r="Q466" s="27"/>
      <c r="R466" s="28" t="s">
        <v>764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1063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1040</v>
      </c>
      <c r="H467" s="6"/>
      <c r="I467" s="6"/>
      <c r="J467" s="6">
        <v>30</v>
      </c>
      <c r="K467" s="21"/>
      <c r="L467" s="21" t="s">
        <v>904</v>
      </c>
      <c r="M467" s="6" t="s">
        <v>893</v>
      </c>
      <c r="N467" s="6"/>
      <c r="O467" s="6" t="s">
        <v>262</v>
      </c>
      <c r="P467" s="6"/>
      <c r="Q467" s="27"/>
      <c r="R467" s="28" t="s">
        <v>764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1064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904</v>
      </c>
      <c r="M468" s="6" t="s">
        <v>928</v>
      </c>
      <c r="N468" s="6"/>
      <c r="O468" s="6" t="s">
        <v>262</v>
      </c>
      <c r="P468" s="6"/>
      <c r="Q468" s="27"/>
      <c r="R468" s="28" t="s">
        <v>764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1066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948</v>
      </c>
      <c r="H469" s="6"/>
      <c r="I469" s="6"/>
      <c r="J469" s="6">
        <v>30</v>
      </c>
      <c r="K469" s="21"/>
      <c r="L469" s="21" t="s">
        <v>904</v>
      </c>
      <c r="M469" s="6" t="s">
        <v>967</v>
      </c>
      <c r="N469" s="6"/>
      <c r="O469" s="6" t="s">
        <v>262</v>
      </c>
      <c r="P469" s="6"/>
      <c r="Q469" s="27"/>
      <c r="R469" s="28" t="s">
        <v>764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1067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904</v>
      </c>
      <c r="M470" s="6" t="s">
        <v>967</v>
      </c>
      <c r="N470" s="6"/>
      <c r="O470" s="6" t="s">
        <v>262</v>
      </c>
      <c r="P470" s="6"/>
      <c r="Q470" s="27"/>
      <c r="R470" s="28" t="s">
        <v>764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1068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912</v>
      </c>
      <c r="H471" s="6"/>
      <c r="I471" s="6"/>
      <c r="J471" s="6">
        <v>30</v>
      </c>
      <c r="K471" s="5"/>
      <c r="L471" s="5" t="s">
        <v>904</v>
      </c>
      <c r="M471" s="6" t="s">
        <v>928</v>
      </c>
      <c r="N471" s="6"/>
      <c r="O471" s="6" t="s">
        <v>262</v>
      </c>
      <c r="P471" s="6"/>
      <c r="Q471" s="27"/>
      <c r="R471" s="28" t="s">
        <v>764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1069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899</v>
      </c>
      <c r="H472" s="6"/>
      <c r="I472" s="6"/>
      <c r="J472" s="6">
        <v>30</v>
      </c>
      <c r="K472" s="21"/>
      <c r="L472" s="21" t="s">
        <v>904</v>
      </c>
      <c r="M472" s="4" t="s">
        <v>773</v>
      </c>
      <c r="N472" s="6"/>
      <c r="O472" s="6" t="s">
        <v>262</v>
      </c>
      <c r="P472" s="6"/>
      <c r="Q472" s="27"/>
      <c r="R472" s="28" t="s">
        <v>764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1070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1071</v>
      </c>
      <c r="H473" s="4"/>
      <c r="I473" s="4"/>
      <c r="J473" s="4">
        <v>30</v>
      </c>
      <c r="K473" s="5"/>
      <c r="L473" s="5" t="s">
        <v>904</v>
      </c>
      <c r="M473" s="4" t="s">
        <v>773</v>
      </c>
      <c r="N473" s="4"/>
      <c r="O473" s="4" t="s">
        <v>262</v>
      </c>
      <c r="P473" s="4"/>
      <c r="Q473" s="24"/>
      <c r="R473" s="25" t="s">
        <v>764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1072</v>
      </c>
      <c r="B474" s="2" t="s">
        <v>55</v>
      </c>
      <c r="C474" s="21">
        <v>8</v>
      </c>
      <c r="D474" s="23" t="s">
        <v>1073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904</v>
      </c>
      <c r="M474" s="6" t="s">
        <v>928</v>
      </c>
      <c r="N474" s="6"/>
      <c r="O474" s="6" t="s">
        <v>262</v>
      </c>
      <c r="P474" s="6"/>
      <c r="Q474" s="27"/>
      <c r="R474" s="28" t="s">
        <v>764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1074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680</v>
      </c>
      <c r="H475" s="6"/>
      <c r="I475" s="6"/>
      <c r="J475" s="6">
        <v>30</v>
      </c>
      <c r="K475" s="21"/>
      <c r="L475" s="21" t="s">
        <v>904</v>
      </c>
      <c r="M475" s="6" t="s">
        <v>860</v>
      </c>
      <c r="N475" s="6"/>
      <c r="O475" s="6" t="s">
        <v>262</v>
      </c>
      <c r="P475" s="6"/>
      <c r="Q475" s="27"/>
      <c r="R475" s="28" t="s">
        <v>764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1075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1076</v>
      </c>
      <c r="H476" s="4"/>
      <c r="I476" s="4"/>
      <c r="J476" s="4">
        <v>30</v>
      </c>
      <c r="K476" s="5"/>
      <c r="L476" s="5" t="s">
        <v>904</v>
      </c>
      <c r="M476" s="4" t="s">
        <v>149</v>
      </c>
      <c r="N476" s="4"/>
      <c r="O476" s="4" t="s">
        <v>262</v>
      </c>
      <c r="P476" s="4"/>
      <c r="Q476" s="24"/>
      <c r="R476" s="25" t="s">
        <v>764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1077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868</v>
      </c>
      <c r="H477" s="4"/>
      <c r="I477" s="4" t="s">
        <v>760</v>
      </c>
      <c r="J477" s="4">
        <v>59</v>
      </c>
      <c r="K477" s="5"/>
      <c r="L477" s="5" t="s">
        <v>259</v>
      </c>
      <c r="M477" s="4" t="s">
        <v>869</v>
      </c>
      <c r="N477" s="4"/>
      <c r="O477" s="4" t="s">
        <v>262</v>
      </c>
      <c r="P477" s="4"/>
      <c r="Q477" s="24"/>
      <c r="R477" s="25" t="s">
        <v>764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1078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840</v>
      </c>
      <c r="H478" s="4"/>
      <c r="I478" s="4" t="s">
        <v>760</v>
      </c>
      <c r="J478" s="4">
        <v>59</v>
      </c>
      <c r="K478" s="5"/>
      <c r="L478" s="5" t="s">
        <v>259</v>
      </c>
      <c r="M478" s="4" t="s">
        <v>127</v>
      </c>
      <c r="N478" s="4"/>
      <c r="O478" s="4" t="s">
        <v>262</v>
      </c>
      <c r="P478" s="4"/>
      <c r="Q478" s="24"/>
      <c r="R478" s="25" t="s">
        <v>764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1079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840</v>
      </c>
      <c r="H479" s="4"/>
      <c r="I479" s="4" t="s">
        <v>760</v>
      </c>
      <c r="J479" s="4">
        <v>59</v>
      </c>
      <c r="K479" s="5"/>
      <c r="L479" s="5" t="s">
        <v>259</v>
      </c>
      <c r="M479" s="4" t="s">
        <v>127</v>
      </c>
      <c r="N479" s="4"/>
      <c r="O479" s="4" t="s">
        <v>262</v>
      </c>
      <c r="P479" s="4"/>
      <c r="Q479" s="24"/>
      <c r="R479" s="25" t="s">
        <v>764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1080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1065</v>
      </c>
      <c r="H480" s="6"/>
      <c r="I480" s="6"/>
      <c r="J480" s="6">
        <v>30</v>
      </c>
      <c r="K480" s="21"/>
      <c r="L480" s="21" t="s">
        <v>904</v>
      </c>
      <c r="M480" s="6" t="s">
        <v>860</v>
      </c>
      <c r="N480" s="6"/>
      <c r="O480" s="6" t="s">
        <v>262</v>
      </c>
      <c r="P480" s="6"/>
      <c r="Q480" s="27"/>
      <c r="R480" s="28" t="s">
        <v>764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1081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881</v>
      </c>
      <c r="H481" s="6"/>
      <c r="I481" s="6"/>
      <c r="J481" s="6">
        <v>30</v>
      </c>
      <c r="K481" s="21"/>
      <c r="L481" s="21" t="s">
        <v>904</v>
      </c>
      <c r="M481" s="4" t="s">
        <v>773</v>
      </c>
      <c r="N481" s="6"/>
      <c r="O481" s="6" t="s">
        <v>262</v>
      </c>
      <c r="P481" s="6"/>
      <c r="Q481" s="27"/>
      <c r="R481" s="28" t="s">
        <v>764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1082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973</v>
      </c>
      <c r="H482" s="6"/>
      <c r="I482" s="6"/>
      <c r="J482" s="6">
        <v>30</v>
      </c>
      <c r="K482" s="21"/>
      <c r="L482" s="21" t="s">
        <v>904</v>
      </c>
      <c r="M482" s="6" t="s">
        <v>778</v>
      </c>
      <c r="N482" s="6"/>
      <c r="O482" s="6" t="s">
        <v>262</v>
      </c>
      <c r="P482" s="6"/>
      <c r="Q482" s="27"/>
      <c r="R482" s="28" t="s">
        <v>764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1083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842</v>
      </c>
      <c r="H483" s="4"/>
      <c r="I483" s="4" t="s">
        <v>760</v>
      </c>
      <c r="J483" s="4">
        <v>59</v>
      </c>
      <c r="K483" s="5"/>
      <c r="L483" s="5" t="s">
        <v>880</v>
      </c>
      <c r="M483" s="4" t="s">
        <v>914</v>
      </c>
      <c r="N483" s="4"/>
      <c r="O483" s="4" t="s">
        <v>262</v>
      </c>
      <c r="P483" s="4"/>
      <c r="Q483" s="24"/>
      <c r="R483" s="25" t="s">
        <v>764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1084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842</v>
      </c>
      <c r="H484" s="4"/>
      <c r="I484" s="4" t="s">
        <v>760</v>
      </c>
      <c r="J484" s="4">
        <v>59</v>
      </c>
      <c r="K484" s="5"/>
      <c r="L484" s="5" t="s">
        <v>880</v>
      </c>
      <c r="M484" s="4" t="s">
        <v>914</v>
      </c>
      <c r="N484" s="4"/>
      <c r="O484" s="4" t="s">
        <v>262</v>
      </c>
      <c r="P484" s="4"/>
      <c r="Q484" s="24"/>
      <c r="R484" s="25" t="s">
        <v>764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1085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916</v>
      </c>
      <c r="H485" s="4"/>
      <c r="I485" s="6"/>
      <c r="J485" s="4">
        <v>30</v>
      </c>
      <c r="K485" s="5"/>
      <c r="L485" s="5" t="s">
        <v>904</v>
      </c>
      <c r="M485" s="4" t="s">
        <v>377</v>
      </c>
      <c r="N485" s="4"/>
      <c r="O485" s="4" t="s">
        <v>262</v>
      </c>
      <c r="P485" s="4"/>
      <c r="Q485" s="24"/>
      <c r="R485" s="25" t="s">
        <v>764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1086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916</v>
      </c>
      <c r="H486" s="4"/>
      <c r="I486" s="4"/>
      <c r="J486" s="4">
        <v>30</v>
      </c>
      <c r="K486" s="5"/>
      <c r="L486" s="5" t="s">
        <v>904</v>
      </c>
      <c r="M486" s="4" t="s">
        <v>149</v>
      </c>
      <c r="N486" s="4"/>
      <c r="O486" s="4" t="s">
        <v>262</v>
      </c>
      <c r="P486" s="4"/>
      <c r="Q486" s="24"/>
      <c r="R486" s="25" t="s">
        <v>764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1087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1088</v>
      </c>
      <c r="H487" s="4"/>
      <c r="I487" s="4"/>
      <c r="J487" s="4">
        <v>30</v>
      </c>
      <c r="K487" s="5"/>
      <c r="L487" s="5" t="s">
        <v>904</v>
      </c>
      <c r="M487" s="4" t="s">
        <v>773</v>
      </c>
      <c r="N487" s="4"/>
      <c r="O487" s="4" t="s">
        <v>262</v>
      </c>
      <c r="P487" s="4"/>
      <c r="Q487" s="24"/>
      <c r="R487" s="25" t="s">
        <v>764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1089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916</v>
      </c>
      <c r="H488" s="4"/>
      <c r="I488" s="4"/>
      <c r="J488" s="4">
        <v>30</v>
      </c>
      <c r="K488" s="5"/>
      <c r="L488" s="5" t="s">
        <v>904</v>
      </c>
      <c r="M488" s="4" t="s">
        <v>773</v>
      </c>
      <c r="N488" s="4"/>
      <c r="O488" s="4" t="s">
        <v>262</v>
      </c>
      <c r="P488" s="4"/>
      <c r="Q488" s="24"/>
      <c r="R488" s="25" t="s">
        <v>764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1090</v>
      </c>
      <c r="B489" s="2" t="s">
        <v>835</v>
      </c>
      <c r="C489" s="21">
        <v>1.5</v>
      </c>
      <c r="D489" s="23">
        <v>490</v>
      </c>
      <c r="E489" s="23"/>
      <c r="F489" s="28"/>
      <c r="G489" s="3" t="s">
        <v>926</v>
      </c>
      <c r="H489" s="6"/>
      <c r="I489" s="6"/>
      <c r="J489" s="6">
        <v>63</v>
      </c>
      <c r="K489" s="21"/>
      <c r="L489" s="21" t="s">
        <v>927</v>
      </c>
      <c r="M489" s="6" t="s">
        <v>928</v>
      </c>
      <c r="N489" s="6"/>
      <c r="O489" s="6" t="s">
        <v>262</v>
      </c>
      <c r="P489" s="6"/>
      <c r="Q489" s="27"/>
      <c r="R489" s="28" t="s">
        <v>764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1091</v>
      </c>
      <c r="B490" s="2" t="s">
        <v>835</v>
      </c>
      <c r="C490" s="21">
        <v>1.5</v>
      </c>
      <c r="D490" s="23">
        <v>755</v>
      </c>
      <c r="E490" s="23"/>
      <c r="F490" s="28"/>
      <c r="G490" s="3" t="s">
        <v>926</v>
      </c>
      <c r="H490" s="6"/>
      <c r="I490" s="6"/>
      <c r="J490" s="6">
        <v>63</v>
      </c>
      <c r="K490" s="21"/>
      <c r="L490" s="21" t="s">
        <v>927</v>
      </c>
      <c r="M490" s="6" t="s">
        <v>928</v>
      </c>
      <c r="N490" s="6"/>
      <c r="O490" s="6" t="s">
        <v>262</v>
      </c>
      <c r="P490" s="6"/>
      <c r="Q490" s="27"/>
      <c r="R490" s="28" t="s">
        <v>764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1092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771</v>
      </c>
      <c r="H491" s="6"/>
      <c r="I491" s="6" t="s">
        <v>760</v>
      </c>
      <c r="J491" s="6">
        <v>59</v>
      </c>
      <c r="K491" s="21">
        <v>32</v>
      </c>
      <c r="L491" s="21" t="s">
        <v>58</v>
      </c>
      <c r="M491" s="6" t="s">
        <v>1093</v>
      </c>
      <c r="N491" s="6" t="s">
        <v>1093</v>
      </c>
      <c r="O491" s="6" t="s">
        <v>262</v>
      </c>
      <c r="P491" s="6"/>
      <c r="Q491" s="27"/>
      <c r="R491" s="28" t="s">
        <v>764</v>
      </c>
      <c r="S491" s="6" t="s">
        <v>764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472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1094</v>
      </c>
      <c r="H492" s="6"/>
      <c r="I492" s="6"/>
      <c r="J492" s="6">
        <v>32</v>
      </c>
      <c r="K492" s="21"/>
      <c r="L492" s="21" t="s">
        <v>904</v>
      </c>
      <c r="M492" s="6"/>
      <c r="N492" s="6"/>
      <c r="O492" s="6"/>
      <c r="P492" s="6"/>
      <c r="Q492" s="27"/>
      <c r="R492" s="28" t="s">
        <v>764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1095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1096</v>
      </c>
      <c r="N493" s="4"/>
      <c r="O493" s="4"/>
      <c r="P493" s="4"/>
      <c r="Q493" s="24"/>
      <c r="R493" s="25" t="s">
        <v>764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1097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1096</v>
      </c>
      <c r="N494" s="6"/>
      <c r="O494" s="6"/>
      <c r="P494" s="6"/>
      <c r="Q494" s="27"/>
      <c r="R494" s="28" t="s">
        <v>764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1098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1096</v>
      </c>
      <c r="N495" s="6"/>
      <c r="O495" s="6"/>
      <c r="P495" s="6"/>
      <c r="Q495" s="27"/>
      <c r="R495" s="28" t="s">
        <v>764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1099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1096</v>
      </c>
      <c r="N496" s="6"/>
      <c r="O496" s="6"/>
      <c r="P496" s="6"/>
      <c r="Q496" s="27"/>
      <c r="R496" s="28" t="s">
        <v>764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1100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1096</v>
      </c>
      <c r="N497" s="6"/>
      <c r="O497" s="6"/>
      <c r="P497" s="6"/>
      <c r="Q497" s="27"/>
      <c r="R497" s="28" t="s">
        <v>764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95" hidden="1" x14ac:dyDescent="0.3">
      <c r="A498" s="19" t="s">
        <v>1101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1102</v>
      </c>
      <c r="G498" s="20" t="s">
        <v>1103</v>
      </c>
      <c r="H498" s="6"/>
      <c r="I498" s="6" t="s">
        <v>1104</v>
      </c>
      <c r="J498" s="6">
        <v>90</v>
      </c>
      <c r="K498" s="21">
        <v>10</v>
      </c>
      <c r="L498" s="21" t="s">
        <v>1105</v>
      </c>
      <c r="M498" s="6" t="s">
        <v>260</v>
      </c>
      <c r="N498" s="6" t="s">
        <v>1106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1107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55" hidden="1" x14ac:dyDescent="0.3">
      <c r="A499" s="19" t="s">
        <v>1108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1109</v>
      </c>
      <c r="G499" s="20" t="s">
        <v>1110</v>
      </c>
      <c r="H499" s="6"/>
      <c r="I499" s="6" t="s">
        <v>1111</v>
      </c>
      <c r="J499" s="6">
        <v>59</v>
      </c>
      <c r="K499" s="21">
        <v>4</v>
      </c>
      <c r="L499" s="21" t="s">
        <v>1105</v>
      </c>
      <c r="M499" s="6" t="s">
        <v>260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1112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55" hidden="1" x14ac:dyDescent="0.3">
      <c r="A500" s="19" t="s">
        <v>1113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1114</v>
      </c>
      <c r="G500" s="20" t="s">
        <v>1115</v>
      </c>
      <c r="H500" s="6"/>
      <c r="I500" s="6" t="s">
        <v>1116</v>
      </c>
      <c r="J500" s="6">
        <v>60</v>
      </c>
      <c r="K500" s="21"/>
      <c r="L500" s="21" t="s">
        <v>1117</v>
      </c>
      <c r="M500" s="6" t="s">
        <v>260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1118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55" hidden="1" x14ac:dyDescent="0.3">
      <c r="A501" s="19" t="s">
        <v>1119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1110</v>
      </c>
      <c r="H501" s="6"/>
      <c r="I501" s="6" t="s">
        <v>1111</v>
      </c>
      <c r="J501" s="6">
        <v>59</v>
      </c>
      <c r="K501" s="21">
        <v>3</v>
      </c>
      <c r="L501" s="21" t="s">
        <v>1105</v>
      </c>
      <c r="M501" s="6" t="s">
        <v>260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1121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95" hidden="1" x14ac:dyDescent="0.3">
      <c r="A502" s="19" t="s">
        <v>1122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1109</v>
      </c>
      <c r="G502" s="20" t="s">
        <v>1110</v>
      </c>
      <c r="H502" s="6"/>
      <c r="I502" s="6" t="s">
        <v>1116</v>
      </c>
      <c r="J502" s="6">
        <v>69</v>
      </c>
      <c r="K502" s="21">
        <v>5</v>
      </c>
      <c r="L502" s="21" t="s">
        <v>1105</v>
      </c>
      <c r="M502" s="6" t="s">
        <v>260</v>
      </c>
      <c r="N502" s="6" t="s">
        <v>1123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1124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55" hidden="1" x14ac:dyDescent="0.3">
      <c r="A503" s="19" t="s">
        <v>1125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1126</v>
      </c>
      <c r="H503" s="6"/>
      <c r="I503" s="6" t="s">
        <v>1127</v>
      </c>
      <c r="J503" s="6">
        <v>90</v>
      </c>
      <c r="K503" s="21">
        <v>10</v>
      </c>
      <c r="L503" s="21" t="s">
        <v>84</v>
      </c>
      <c r="M503" s="6" t="s">
        <v>260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1128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55" hidden="1" x14ac:dyDescent="0.3">
      <c r="A504" s="19" t="s">
        <v>1129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1130</v>
      </c>
      <c r="G504" s="20" t="s">
        <v>1110</v>
      </c>
      <c r="H504" s="6"/>
      <c r="I504" s="6" t="s">
        <v>1111</v>
      </c>
      <c r="J504" s="6">
        <v>69</v>
      </c>
      <c r="K504" s="21"/>
      <c r="L504" s="21" t="s">
        <v>1131</v>
      </c>
      <c r="M504" s="6" t="s">
        <v>260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55" hidden="1" x14ac:dyDescent="0.3">
      <c r="A505" s="19" t="s">
        <v>1132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1109</v>
      </c>
      <c r="G505" s="20" t="s">
        <v>1133</v>
      </c>
      <c r="H505" s="6"/>
      <c r="I505" s="6" t="s">
        <v>1111</v>
      </c>
      <c r="J505" s="6">
        <v>59</v>
      </c>
      <c r="K505" s="21">
        <v>1.8</v>
      </c>
      <c r="L505" s="21" t="s">
        <v>1105</v>
      </c>
      <c r="M505" s="6" t="s">
        <v>260</v>
      </c>
      <c r="N505" s="6" t="s">
        <v>1134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1135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55" hidden="1" x14ac:dyDescent="0.3">
      <c r="A506" s="19" t="s">
        <v>1136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1114</v>
      </c>
      <c r="G506" s="20" t="s">
        <v>1137</v>
      </c>
      <c r="H506" s="6"/>
      <c r="I506" s="6" t="s">
        <v>1111</v>
      </c>
      <c r="J506" s="6">
        <v>59</v>
      </c>
      <c r="K506" s="21">
        <v>7</v>
      </c>
      <c r="L506" s="21" t="s">
        <v>1105</v>
      </c>
      <c r="M506" s="6" t="s">
        <v>260</v>
      </c>
      <c r="N506" s="6" t="s">
        <v>219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1138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 x14ac:dyDescent="0.3">
      <c r="A507" s="19" t="s">
        <v>1139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1140</v>
      </c>
      <c r="H507" s="6"/>
      <c r="I507" s="6" t="s">
        <v>1111</v>
      </c>
      <c r="J507" s="6">
        <v>59</v>
      </c>
      <c r="K507" s="21">
        <v>9</v>
      </c>
      <c r="L507" s="21" t="s">
        <v>1105</v>
      </c>
      <c r="M507" s="6" t="s">
        <v>260</v>
      </c>
      <c r="N507" s="6" t="s">
        <v>219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1141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55" hidden="1" x14ac:dyDescent="0.3">
      <c r="A508" s="19" t="s">
        <v>1142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1143</v>
      </c>
      <c r="G508" s="20" t="s">
        <v>1110</v>
      </c>
      <c r="H508" s="6"/>
      <c r="I508" s="6" t="s">
        <v>1116</v>
      </c>
      <c r="J508" s="6">
        <v>60</v>
      </c>
      <c r="K508" s="21"/>
      <c r="L508" s="21" t="s">
        <v>1117</v>
      </c>
      <c r="M508" s="6" t="s">
        <v>260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55" hidden="1" x14ac:dyDescent="0.3">
      <c r="A509" s="19" t="s">
        <v>1144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1145</v>
      </c>
      <c r="G509" s="20" t="s">
        <v>1133</v>
      </c>
      <c r="H509" s="6"/>
      <c r="I509" s="6" t="s">
        <v>1111</v>
      </c>
      <c r="J509" s="6">
        <v>59</v>
      </c>
      <c r="K509" s="21">
        <v>1.5</v>
      </c>
      <c r="L509" s="21" t="s">
        <v>1105</v>
      </c>
      <c r="M509" s="6" t="s">
        <v>260</v>
      </c>
      <c r="N509" s="6" t="s">
        <v>1134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1146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55" hidden="1" x14ac:dyDescent="0.3">
      <c r="A510" s="19" t="s">
        <v>1147</v>
      </c>
      <c r="B510" s="21" t="s">
        <v>42</v>
      </c>
      <c r="C510" s="21">
        <v>1.8</v>
      </c>
      <c r="D510" s="23">
        <v>466</v>
      </c>
      <c r="E510" s="23"/>
      <c r="F510" s="23" t="s">
        <v>1120</v>
      </c>
      <c r="G510" s="20" t="s">
        <v>1110</v>
      </c>
      <c r="H510" s="6"/>
      <c r="I510" s="6" t="s">
        <v>1111</v>
      </c>
      <c r="J510" s="6">
        <v>59</v>
      </c>
      <c r="K510" s="21">
        <v>1.8</v>
      </c>
      <c r="L510" s="21" t="s">
        <v>1105</v>
      </c>
      <c r="M510" s="6" t="s">
        <v>260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55" hidden="1" x14ac:dyDescent="0.3">
      <c r="A511" s="19" t="s">
        <v>1148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1137</v>
      </c>
      <c r="H511" s="6"/>
      <c r="I511" s="6" t="s">
        <v>1116</v>
      </c>
      <c r="J511" s="6">
        <v>60</v>
      </c>
      <c r="K511" s="21"/>
      <c r="L511" s="21" t="s">
        <v>850</v>
      </c>
      <c r="M511" s="6" t="s">
        <v>260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55" hidden="1" x14ac:dyDescent="0.3">
      <c r="A512" s="19" t="s">
        <v>1149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1145</v>
      </c>
      <c r="G512" s="20" t="s">
        <v>1150</v>
      </c>
      <c r="H512" s="6"/>
      <c r="I512" s="6" t="s">
        <v>1116</v>
      </c>
      <c r="J512" s="6">
        <v>69</v>
      </c>
      <c r="K512" s="21">
        <v>9</v>
      </c>
      <c r="L512" s="21" t="s">
        <v>1105</v>
      </c>
      <c r="M512" s="6" t="s">
        <v>260</v>
      </c>
      <c r="N512" s="6" t="s">
        <v>219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95" hidden="1" x14ac:dyDescent="0.3">
      <c r="A513" s="19" t="s">
        <v>1152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1145</v>
      </c>
      <c r="G513" s="20" t="s">
        <v>116</v>
      </c>
      <c r="H513" s="6"/>
      <c r="I513" s="6" t="s">
        <v>1116</v>
      </c>
      <c r="J513" s="6">
        <v>69</v>
      </c>
      <c r="K513" s="21">
        <v>9</v>
      </c>
      <c r="L513" s="21" t="s">
        <v>1105</v>
      </c>
      <c r="M513" s="6" t="s">
        <v>260</v>
      </c>
      <c r="N513" s="6" t="s">
        <v>219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1153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55" hidden="1" x14ac:dyDescent="0.3">
      <c r="A514" s="19" t="s">
        <v>1154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1145</v>
      </c>
      <c r="G514" s="20" t="s">
        <v>1155</v>
      </c>
      <c r="H514" s="6"/>
      <c r="I514" s="6" t="s">
        <v>1111</v>
      </c>
      <c r="J514" s="6">
        <v>59</v>
      </c>
      <c r="K514" s="21">
        <v>3.5</v>
      </c>
      <c r="L514" s="21" t="s">
        <v>1105</v>
      </c>
      <c r="M514" s="6" t="s">
        <v>260</v>
      </c>
      <c r="N514" s="6" t="s">
        <v>219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1156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55" hidden="1" x14ac:dyDescent="0.3">
      <c r="A515" s="19" t="s">
        <v>1157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733</v>
      </c>
      <c r="H515" s="6"/>
      <c r="I515" s="6" t="s">
        <v>1111</v>
      </c>
      <c r="J515" s="6">
        <v>59</v>
      </c>
      <c r="K515" s="21">
        <v>3.5</v>
      </c>
      <c r="L515" s="21" t="s">
        <v>1105</v>
      </c>
      <c r="M515" s="6" t="s">
        <v>260</v>
      </c>
      <c r="N515" s="6" t="s">
        <v>219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1158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55" hidden="1" x14ac:dyDescent="0.3">
      <c r="A516" s="19" t="s">
        <v>1159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1140</v>
      </c>
      <c r="H516" s="6"/>
      <c r="I516" s="6" t="s">
        <v>1111</v>
      </c>
      <c r="J516" s="6">
        <v>59</v>
      </c>
      <c r="K516" s="21">
        <v>5</v>
      </c>
      <c r="L516" s="21" t="s">
        <v>1105</v>
      </c>
      <c r="M516" s="6" t="s">
        <v>260</v>
      </c>
      <c r="N516" s="6" t="s">
        <v>219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1160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95" hidden="1" x14ac:dyDescent="0.3">
      <c r="A517" s="19" t="s">
        <v>408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526</v>
      </c>
      <c r="H517" s="6"/>
      <c r="I517" s="6" t="s">
        <v>1161</v>
      </c>
      <c r="J517" s="6">
        <v>90</v>
      </c>
      <c r="K517" s="21">
        <v>10</v>
      </c>
      <c r="L517" s="21" t="s">
        <v>84</v>
      </c>
      <c r="M517" s="6" t="s">
        <v>260</v>
      </c>
      <c r="N517" s="6" t="s">
        <v>219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1162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55" hidden="1" x14ac:dyDescent="0.3">
      <c r="A518" s="19" t="s">
        <v>1163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1138</v>
      </c>
      <c r="H518" s="6"/>
      <c r="I518" s="6"/>
      <c r="J518" s="6"/>
      <c r="K518" s="21"/>
      <c r="L518" s="21"/>
      <c r="M518" s="6" t="s">
        <v>260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1138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55" hidden="1" x14ac:dyDescent="0.3">
      <c r="A519" s="19" t="s">
        <v>1164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55" hidden="1" x14ac:dyDescent="0.3">
      <c r="A520" s="19" t="s">
        <v>1165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1166</v>
      </c>
      <c r="G520" s="20" t="s">
        <v>1167</v>
      </c>
      <c r="H520" s="6"/>
      <c r="I520" s="6" t="s">
        <v>1168</v>
      </c>
      <c r="J520" s="6">
        <v>90</v>
      </c>
      <c r="K520" s="21">
        <v>8</v>
      </c>
      <c r="L520" s="21" t="s">
        <v>84</v>
      </c>
      <c r="M520" s="6" t="s">
        <v>260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1169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55" hidden="1" x14ac:dyDescent="0.3">
      <c r="A521" s="19" t="s">
        <v>1170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1171</v>
      </c>
      <c r="H521" s="6"/>
      <c r="I521" s="6" t="s">
        <v>1111</v>
      </c>
      <c r="J521" s="6">
        <v>59</v>
      </c>
      <c r="K521" s="21">
        <v>3</v>
      </c>
      <c r="L521" s="21" t="s">
        <v>1105</v>
      </c>
      <c r="M521" s="6" t="s">
        <v>260</v>
      </c>
      <c r="N521" s="6" t="s">
        <v>219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95" hidden="1" x14ac:dyDescent="0.3">
      <c r="A522" s="19" t="s">
        <v>1172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1137</v>
      </c>
      <c r="H522" s="6"/>
      <c r="I522" s="6" t="s">
        <v>1116</v>
      </c>
      <c r="J522" s="6">
        <v>69</v>
      </c>
      <c r="K522" s="21">
        <v>4.5</v>
      </c>
      <c r="L522" s="21" t="s">
        <v>1105</v>
      </c>
      <c r="M522" s="6" t="s">
        <v>260</v>
      </c>
      <c r="N522" s="6" t="s">
        <v>219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1173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55" hidden="1" x14ac:dyDescent="0.3">
      <c r="A523" s="19" t="s">
        <v>1174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1175</v>
      </c>
      <c r="H523" s="6"/>
      <c r="I523" s="6" t="s">
        <v>1111</v>
      </c>
      <c r="J523" s="6">
        <v>59</v>
      </c>
      <c r="K523" s="21">
        <v>26</v>
      </c>
      <c r="L523" s="21" t="s">
        <v>58</v>
      </c>
      <c r="M523" s="6" t="s">
        <v>1176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55" hidden="1" x14ac:dyDescent="0.3">
      <c r="A524" s="19" t="s">
        <v>1177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1178</v>
      </c>
      <c r="G524" s="20" t="s">
        <v>1179</v>
      </c>
      <c r="H524" s="6"/>
      <c r="I524" s="6" t="s">
        <v>1116</v>
      </c>
      <c r="J524" s="6">
        <v>69</v>
      </c>
      <c r="K524" s="21">
        <v>1.7</v>
      </c>
      <c r="L524" s="21" t="s">
        <v>1105</v>
      </c>
      <c r="M524" s="6" t="s">
        <v>260</v>
      </c>
      <c r="N524" s="6" t="s">
        <v>1123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1180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55" hidden="1" x14ac:dyDescent="0.3">
      <c r="A525" s="19" t="s">
        <v>1181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1182</v>
      </c>
      <c r="H525" s="6"/>
      <c r="I525" s="6"/>
      <c r="J525" s="6">
        <v>120</v>
      </c>
      <c r="K525" s="21"/>
      <c r="L525" s="21" t="s">
        <v>1183</v>
      </c>
      <c r="M525" s="6" t="s">
        <v>260</v>
      </c>
      <c r="N525" s="6" t="s">
        <v>219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55" hidden="1" x14ac:dyDescent="0.3">
      <c r="A526" s="19" t="s">
        <v>1184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1178</v>
      </c>
      <c r="G526" s="20" t="s">
        <v>1185</v>
      </c>
      <c r="H526" s="6"/>
      <c r="I526" s="6" t="s">
        <v>1116</v>
      </c>
      <c r="J526" s="6">
        <v>69</v>
      </c>
      <c r="K526" s="21">
        <v>2</v>
      </c>
      <c r="L526" s="21" t="s">
        <v>1105</v>
      </c>
      <c r="M526" s="6" t="s">
        <v>260</v>
      </c>
      <c r="N526" s="6" t="s">
        <v>219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1186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55" hidden="1" x14ac:dyDescent="0.3">
      <c r="A527" s="19" t="s">
        <v>1187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1188</v>
      </c>
      <c r="G527" s="20" t="s">
        <v>1115</v>
      </c>
      <c r="H527" s="6"/>
      <c r="I527" s="6" t="s">
        <v>1116</v>
      </c>
      <c r="J527" s="6">
        <v>69</v>
      </c>
      <c r="K527" s="21">
        <v>1.8</v>
      </c>
      <c r="L527" s="21" t="s">
        <v>1105</v>
      </c>
      <c r="M527" s="6" t="s">
        <v>260</v>
      </c>
      <c r="N527" s="6" t="s">
        <v>1123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1189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55" hidden="1" x14ac:dyDescent="0.3">
      <c r="A528" s="19" t="s">
        <v>1190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733</v>
      </c>
      <c r="H528" s="6"/>
      <c r="I528" s="6" t="s">
        <v>1111</v>
      </c>
      <c r="J528" s="6">
        <v>59</v>
      </c>
      <c r="K528" s="21">
        <v>1.6</v>
      </c>
      <c r="L528" s="21" t="s">
        <v>1105</v>
      </c>
      <c r="M528" s="6" t="s">
        <v>260</v>
      </c>
      <c r="N528" s="6" t="s">
        <v>1123</v>
      </c>
      <c r="O528" s="6" t="s">
        <v>262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1191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95" hidden="1" x14ac:dyDescent="0.3">
      <c r="A529" s="19" t="s">
        <v>1192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1175</v>
      </c>
      <c r="H529" s="6"/>
      <c r="I529" s="6" t="s">
        <v>1111</v>
      </c>
      <c r="J529" s="6">
        <v>59</v>
      </c>
      <c r="K529" s="21">
        <v>24</v>
      </c>
      <c r="L529" s="21" t="s">
        <v>58</v>
      </c>
      <c r="M529" s="6" t="s">
        <v>225</v>
      </c>
      <c r="N529" s="6" t="s">
        <v>104</v>
      </c>
      <c r="O529" s="6" t="s">
        <v>262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1193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55" hidden="1" x14ac:dyDescent="0.3">
      <c r="A530" s="19" t="s">
        <v>732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1194</v>
      </c>
      <c r="H530" s="6"/>
      <c r="I530" s="6" t="s">
        <v>1116</v>
      </c>
      <c r="J530" s="6">
        <v>60</v>
      </c>
      <c r="K530" s="21"/>
      <c r="L530" s="21" t="s">
        <v>1105</v>
      </c>
      <c r="M530" s="6" t="s">
        <v>260</v>
      </c>
      <c r="N530" s="6" t="s">
        <v>219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55" hidden="1" x14ac:dyDescent="0.3">
      <c r="A531" s="19" t="s">
        <v>1195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1188</v>
      </c>
      <c r="G531" s="20" t="s">
        <v>1196</v>
      </c>
      <c r="H531" s="6"/>
      <c r="I531" s="6" t="s">
        <v>1116</v>
      </c>
      <c r="J531" s="6">
        <v>60</v>
      </c>
      <c r="K531" s="21"/>
      <c r="L531" s="21" t="s">
        <v>850</v>
      </c>
      <c r="M531" s="6" t="s">
        <v>260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1197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55" hidden="1" x14ac:dyDescent="0.3">
      <c r="A532" s="19" t="s">
        <v>1198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1199</v>
      </c>
      <c r="H532" s="6"/>
      <c r="I532" s="6" t="s">
        <v>1111</v>
      </c>
      <c r="J532" s="6">
        <v>59</v>
      </c>
      <c r="K532" s="21">
        <v>20</v>
      </c>
      <c r="L532" s="21" t="s">
        <v>58</v>
      </c>
      <c r="M532" s="6" t="s">
        <v>225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55" hidden="1" x14ac:dyDescent="0.3">
      <c r="A533" s="19" t="s">
        <v>1200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1175</v>
      </c>
      <c r="H533" s="6"/>
      <c r="I533" s="6" t="s">
        <v>1116</v>
      </c>
      <c r="J533" s="6">
        <v>69</v>
      </c>
      <c r="K533" s="21">
        <v>26</v>
      </c>
      <c r="L533" s="21" t="s">
        <v>58</v>
      </c>
      <c r="M533" s="6" t="s">
        <v>1176</v>
      </c>
      <c r="N533" s="6" t="s">
        <v>1201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55" hidden="1" x14ac:dyDescent="0.3">
      <c r="A534" s="19" t="s">
        <v>1202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1203</v>
      </c>
      <c r="G534" s="20" t="s">
        <v>1204</v>
      </c>
      <c r="H534" s="6"/>
      <c r="I534" s="6" t="s">
        <v>1116</v>
      </c>
      <c r="J534" s="6">
        <v>69</v>
      </c>
      <c r="K534" s="21">
        <v>2</v>
      </c>
      <c r="L534" s="21" t="s">
        <v>1105</v>
      </c>
      <c r="M534" s="6" t="s">
        <v>260</v>
      </c>
      <c r="N534" s="6" t="s">
        <v>219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1205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55" hidden="1" x14ac:dyDescent="0.3">
      <c r="A535" s="19" t="s">
        <v>1206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1188</v>
      </c>
      <c r="G535" s="20" t="s">
        <v>1196</v>
      </c>
      <c r="H535" s="6"/>
      <c r="I535" s="6" t="s">
        <v>1116</v>
      </c>
      <c r="J535" s="6">
        <v>60</v>
      </c>
      <c r="K535" s="21"/>
      <c r="L535" s="21" t="s">
        <v>850</v>
      </c>
      <c r="M535" s="6" t="s">
        <v>260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55" hidden="1" x14ac:dyDescent="0.3">
      <c r="A536" s="19" t="s">
        <v>1207</v>
      </c>
      <c r="B536" s="21" t="s">
        <v>81</v>
      </c>
      <c r="C536" s="21">
        <v>2.5</v>
      </c>
      <c r="D536" s="23">
        <v>1000</v>
      </c>
      <c r="E536" s="23"/>
      <c r="F536" s="23" t="s">
        <v>1203</v>
      </c>
      <c r="G536" s="20" t="s">
        <v>1208</v>
      </c>
      <c r="H536" s="6"/>
      <c r="I536" s="6" t="s">
        <v>1116</v>
      </c>
      <c r="J536" s="6">
        <v>69</v>
      </c>
      <c r="K536" s="21">
        <v>1.7</v>
      </c>
      <c r="L536" s="21" t="s">
        <v>1105</v>
      </c>
      <c r="M536" s="6" t="s">
        <v>260</v>
      </c>
      <c r="N536" s="6" t="s">
        <v>219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55" hidden="1" x14ac:dyDescent="0.3">
      <c r="A537" s="19" t="s">
        <v>743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1209</v>
      </c>
      <c r="H537" s="6"/>
      <c r="I537" s="6" t="s">
        <v>1111</v>
      </c>
      <c r="J537" s="6">
        <v>59</v>
      </c>
      <c r="K537" s="21">
        <v>5</v>
      </c>
      <c r="L537" s="21" t="s">
        <v>1105</v>
      </c>
      <c r="M537" s="6" t="s">
        <v>260</v>
      </c>
      <c r="N537" s="6" t="s">
        <v>219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1210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55" hidden="1" x14ac:dyDescent="0.3">
      <c r="A538" s="19" t="s">
        <v>1211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1171</v>
      </c>
      <c r="H538" s="6"/>
      <c r="I538" s="6" t="s">
        <v>1116</v>
      </c>
      <c r="J538" s="6">
        <v>60</v>
      </c>
      <c r="K538" s="21"/>
      <c r="L538" s="21" t="s">
        <v>850</v>
      </c>
      <c r="M538" s="6" t="s">
        <v>260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1212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55" hidden="1" x14ac:dyDescent="0.3">
      <c r="A539" s="19" t="s">
        <v>1213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1214</v>
      </c>
      <c r="H539" s="6"/>
      <c r="I539" s="6" t="s">
        <v>1116</v>
      </c>
      <c r="J539" s="6">
        <v>69</v>
      </c>
      <c r="K539" s="21">
        <v>2</v>
      </c>
      <c r="L539" s="21" t="s">
        <v>1105</v>
      </c>
      <c r="M539" s="6" t="s">
        <v>260</v>
      </c>
      <c r="N539" s="6" t="s">
        <v>1123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1215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55" hidden="1" x14ac:dyDescent="0.3">
      <c r="A540" s="19" t="s">
        <v>1216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1217</v>
      </c>
      <c r="H540" s="6"/>
      <c r="I540" s="6" t="s">
        <v>1111</v>
      </c>
      <c r="J540" s="6">
        <v>59</v>
      </c>
      <c r="K540" s="21">
        <v>28</v>
      </c>
      <c r="L540" s="21" t="s">
        <v>58</v>
      </c>
      <c r="M540" s="6" t="s">
        <v>1176</v>
      </c>
      <c r="N540" s="6" t="s">
        <v>1218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55" hidden="1" x14ac:dyDescent="0.3">
      <c r="A541" s="19" t="s">
        <v>728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1194</v>
      </c>
      <c r="H541" s="6"/>
      <c r="I541" s="6" t="s">
        <v>1116</v>
      </c>
      <c r="J541" s="6">
        <v>60</v>
      </c>
      <c r="K541" s="21"/>
      <c r="L541" s="21" t="s">
        <v>1105</v>
      </c>
      <c r="M541" s="6" t="s">
        <v>260</v>
      </c>
      <c r="N541" s="6" t="s">
        <v>219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55" hidden="1" x14ac:dyDescent="0.3">
      <c r="A542" s="19" t="s">
        <v>1219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1208</v>
      </c>
      <c r="H542" s="6"/>
      <c r="I542" s="6" t="s">
        <v>1111</v>
      </c>
      <c r="J542" s="6">
        <v>59</v>
      </c>
      <c r="K542" s="21">
        <v>1.9</v>
      </c>
      <c r="L542" s="21" t="s">
        <v>1105</v>
      </c>
      <c r="M542" s="6" t="s">
        <v>260</v>
      </c>
      <c r="N542" s="6">
        <v>246</v>
      </c>
      <c r="O542" s="6" t="s">
        <v>262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1220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55" hidden="1" x14ac:dyDescent="0.3">
      <c r="A543" s="19" t="s">
        <v>1221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1222</v>
      </c>
      <c r="H543" s="6"/>
      <c r="I543" s="6" t="s">
        <v>1111</v>
      </c>
      <c r="J543" s="6">
        <v>59</v>
      </c>
      <c r="K543" s="21">
        <v>30</v>
      </c>
      <c r="L543" s="21" t="s">
        <v>58</v>
      </c>
      <c r="M543" s="6" t="s">
        <v>225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55" hidden="1" x14ac:dyDescent="0.3">
      <c r="A544" s="19" t="s">
        <v>1223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1178</v>
      </c>
      <c r="G544" s="20" t="s">
        <v>1224</v>
      </c>
      <c r="H544" s="6"/>
      <c r="I544" s="6" t="s">
        <v>1116</v>
      </c>
      <c r="J544" s="6">
        <v>69</v>
      </c>
      <c r="K544" s="21">
        <v>1.1000000000000001</v>
      </c>
      <c r="L544" s="21" t="s">
        <v>1105</v>
      </c>
      <c r="M544" s="6" t="s">
        <v>260</v>
      </c>
      <c r="N544" s="6" t="s">
        <v>219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1225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55" hidden="1" x14ac:dyDescent="0.3">
      <c r="A545" s="19" t="s">
        <v>1226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733</v>
      </c>
      <c r="H545" s="6"/>
      <c r="I545" s="6" t="s">
        <v>1116</v>
      </c>
      <c r="J545" s="6">
        <v>69</v>
      </c>
      <c r="K545" s="21">
        <v>1.3</v>
      </c>
      <c r="L545" s="21" t="s">
        <v>1105</v>
      </c>
      <c r="M545" s="6" t="s">
        <v>260</v>
      </c>
      <c r="N545" s="6" t="s">
        <v>1123</v>
      </c>
      <c r="O545" s="6" t="s">
        <v>262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1227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55" hidden="1" x14ac:dyDescent="0.3">
      <c r="A546" s="19" t="s">
        <v>1228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1178</v>
      </c>
      <c r="G546" s="20" t="s">
        <v>1224</v>
      </c>
      <c r="H546" s="6"/>
      <c r="I546" s="6" t="s">
        <v>1116</v>
      </c>
      <c r="J546" s="6">
        <v>69</v>
      </c>
      <c r="K546" s="21">
        <v>1.1000000000000001</v>
      </c>
      <c r="L546" s="21" t="s">
        <v>1105</v>
      </c>
      <c r="M546" s="6" t="s">
        <v>260</v>
      </c>
      <c r="N546" s="6" t="s">
        <v>219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1229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55" hidden="1" x14ac:dyDescent="0.3">
      <c r="A547" s="19" t="s">
        <v>1230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1199</v>
      </c>
      <c r="H547" s="6"/>
      <c r="I547" s="6" t="s">
        <v>1116</v>
      </c>
      <c r="J547" s="6">
        <v>69</v>
      </c>
      <c r="K547" s="21">
        <v>24</v>
      </c>
      <c r="L547" s="21" t="s">
        <v>58</v>
      </c>
      <c r="M547" s="6" t="s">
        <v>225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55" hidden="1" x14ac:dyDescent="0.3">
      <c r="A548" s="19" t="s">
        <v>1231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1178</v>
      </c>
      <c r="G548" s="20" t="s">
        <v>1232</v>
      </c>
      <c r="H548" s="6"/>
      <c r="I548" s="6" t="s">
        <v>1116</v>
      </c>
      <c r="J548" s="6">
        <v>69</v>
      </c>
      <c r="K548" s="21">
        <v>1.5</v>
      </c>
      <c r="L548" s="21" t="s">
        <v>1105</v>
      </c>
      <c r="M548" s="6" t="s">
        <v>260</v>
      </c>
      <c r="N548" s="6" t="s">
        <v>219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1233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55" hidden="1" x14ac:dyDescent="0.3">
      <c r="A549" s="19" t="s">
        <v>1234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1175</v>
      </c>
      <c r="H549" s="6"/>
      <c r="I549" s="6" t="s">
        <v>1116</v>
      </c>
      <c r="J549" s="6">
        <v>69</v>
      </c>
      <c r="K549" s="21">
        <v>24</v>
      </c>
      <c r="L549" s="21" t="s">
        <v>58</v>
      </c>
      <c r="M549" s="6" t="s">
        <v>225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55" hidden="1" x14ac:dyDescent="0.3">
      <c r="A550" s="19" t="s">
        <v>1235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1236</v>
      </c>
      <c r="H550" s="6"/>
      <c r="I550" s="6" t="s">
        <v>1116</v>
      </c>
      <c r="J550" s="6">
        <v>69</v>
      </c>
      <c r="K550" s="21">
        <v>18</v>
      </c>
      <c r="L550" s="21" t="s">
        <v>58</v>
      </c>
      <c r="M550" s="6" t="s">
        <v>225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55" hidden="1" x14ac:dyDescent="0.3">
      <c r="A551" s="19" t="s">
        <v>1237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452</v>
      </c>
      <c r="H551" s="6"/>
      <c r="I551" s="6" t="s">
        <v>1116</v>
      </c>
      <c r="J551" s="6">
        <v>69</v>
      </c>
      <c r="K551" s="21">
        <v>22</v>
      </c>
      <c r="L551" s="21" t="s">
        <v>58</v>
      </c>
      <c r="M551" s="6" t="s">
        <v>225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55" hidden="1" x14ac:dyDescent="0.3">
      <c r="A552" s="19" t="s">
        <v>747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1116</v>
      </c>
      <c r="J552" s="6">
        <v>69</v>
      </c>
      <c r="K552" s="21">
        <v>1</v>
      </c>
      <c r="L552" s="21" t="s">
        <v>1105</v>
      </c>
      <c r="M552" s="6" t="s">
        <v>260</v>
      </c>
      <c r="N552" s="6" t="s">
        <v>219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55" hidden="1" x14ac:dyDescent="0.3">
      <c r="A553" s="19" t="s">
        <v>1238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1239</v>
      </c>
      <c r="G553" s="20" t="s">
        <v>1240</v>
      </c>
      <c r="H553" s="6"/>
      <c r="I553" s="6" t="s">
        <v>1116</v>
      </c>
      <c r="J553" s="6">
        <v>69</v>
      </c>
      <c r="K553" s="21">
        <v>1.6</v>
      </c>
      <c r="L553" s="21" t="s">
        <v>1105</v>
      </c>
      <c r="M553" s="6" t="s">
        <v>260</v>
      </c>
      <c r="N553" s="6" t="s">
        <v>1123</v>
      </c>
      <c r="O553" s="6" t="s">
        <v>262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1241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55" hidden="1" x14ac:dyDescent="0.3">
      <c r="A554" s="19" t="s">
        <v>1242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1175</v>
      </c>
      <c r="H554" s="6"/>
      <c r="I554" s="6" t="s">
        <v>1111</v>
      </c>
      <c r="J554" s="6">
        <v>59</v>
      </c>
      <c r="K554" s="21">
        <v>26</v>
      </c>
      <c r="L554" s="21" t="s">
        <v>58</v>
      </c>
      <c r="M554" s="6" t="s">
        <v>225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55" hidden="1" x14ac:dyDescent="0.3">
      <c r="A555" s="19" t="s">
        <v>1243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1232</v>
      </c>
      <c r="H555" s="6"/>
      <c r="I555" s="6" t="s">
        <v>1116</v>
      </c>
      <c r="J555" s="6">
        <v>69</v>
      </c>
      <c r="K555" s="21">
        <v>1.5</v>
      </c>
      <c r="L555" s="21" t="s">
        <v>1105</v>
      </c>
      <c r="M555" s="6" t="s">
        <v>260</v>
      </c>
      <c r="N555" s="6" t="s">
        <v>219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55" hidden="1" x14ac:dyDescent="0.3">
      <c r="A556" s="19" t="s">
        <v>1244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1245</v>
      </c>
      <c r="H556" s="6"/>
      <c r="I556" s="6" t="s">
        <v>1116</v>
      </c>
      <c r="J556" s="6">
        <v>60</v>
      </c>
      <c r="K556" s="21">
        <v>2.5</v>
      </c>
      <c r="L556" s="21" t="s">
        <v>1105</v>
      </c>
      <c r="M556" s="6" t="s">
        <v>260</v>
      </c>
      <c r="N556" s="6">
        <v>246</v>
      </c>
      <c r="O556" s="6" t="s">
        <v>262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1246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55" hidden="1" x14ac:dyDescent="0.3">
      <c r="A557" s="19" t="s">
        <v>1247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1236</v>
      </c>
      <c r="H557" s="6"/>
      <c r="I557" s="6" t="s">
        <v>1111</v>
      </c>
      <c r="J557" s="6">
        <v>59</v>
      </c>
      <c r="K557" s="21">
        <v>28</v>
      </c>
      <c r="L557" s="21" t="s">
        <v>58</v>
      </c>
      <c r="M557" s="6" t="s">
        <v>225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55" hidden="1" x14ac:dyDescent="0.3">
      <c r="A558" s="19" t="s">
        <v>1248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1249</v>
      </c>
      <c r="H558" s="6"/>
      <c r="I558" s="6" t="s">
        <v>1116</v>
      </c>
      <c r="J558" s="6">
        <v>69</v>
      </c>
      <c r="K558" s="21">
        <v>1.3</v>
      </c>
      <c r="L558" s="21" t="s">
        <v>1105</v>
      </c>
      <c r="M558" s="6" t="s">
        <v>260</v>
      </c>
      <c r="N558" s="6" t="s">
        <v>1123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55" hidden="1" x14ac:dyDescent="0.3">
      <c r="A559" s="19" t="s">
        <v>1250</v>
      </c>
      <c r="B559" s="21" t="s">
        <v>42</v>
      </c>
      <c r="C559" s="21">
        <v>2</v>
      </c>
      <c r="D559" s="23"/>
      <c r="E559" s="23"/>
      <c r="F559" s="23" t="s">
        <v>1178</v>
      </c>
      <c r="G559" s="20" t="s">
        <v>1140</v>
      </c>
      <c r="H559" s="6"/>
      <c r="I559" s="6" t="s">
        <v>1116</v>
      </c>
      <c r="J559" s="6">
        <v>69</v>
      </c>
      <c r="K559" s="21">
        <v>1.1000000000000001</v>
      </c>
      <c r="L559" s="21" t="s">
        <v>1105</v>
      </c>
      <c r="M559" s="6" t="s">
        <v>260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55" hidden="1" x14ac:dyDescent="0.3">
      <c r="A560" s="19" t="s">
        <v>1251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1239</v>
      </c>
      <c r="G560" s="20" t="s">
        <v>1252</v>
      </c>
      <c r="H560" s="6"/>
      <c r="I560" s="6" t="s">
        <v>1116</v>
      </c>
      <c r="J560" s="6">
        <v>60</v>
      </c>
      <c r="K560" s="21"/>
      <c r="L560" s="21" t="s">
        <v>850</v>
      </c>
      <c r="M560" s="6" t="s">
        <v>260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1253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55" hidden="1" x14ac:dyDescent="0.3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1111</v>
      </c>
      <c r="J561" s="6">
        <v>59</v>
      </c>
      <c r="K561" s="21">
        <v>28</v>
      </c>
      <c r="L561" s="21" t="s">
        <v>58</v>
      </c>
      <c r="M561" s="6" t="s">
        <v>1176</v>
      </c>
      <c r="N561" s="6" t="s">
        <v>1218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55" hidden="1" x14ac:dyDescent="0.3">
      <c r="A562" s="19" t="s">
        <v>1254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733</v>
      </c>
      <c r="H562" s="6"/>
      <c r="I562" s="6" t="s">
        <v>1111</v>
      </c>
      <c r="J562" s="6">
        <v>59</v>
      </c>
      <c r="K562" s="21">
        <v>1.5</v>
      </c>
      <c r="L562" s="21" t="s">
        <v>1105</v>
      </c>
      <c r="M562" s="6" t="s">
        <v>260</v>
      </c>
      <c r="N562" s="6" t="s">
        <v>1123</v>
      </c>
      <c r="O562" s="6" t="s">
        <v>262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1255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55" hidden="1" x14ac:dyDescent="0.3">
      <c r="A563" s="19" t="s">
        <v>1256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1257</v>
      </c>
      <c r="H563" s="6"/>
      <c r="I563" s="6" t="s">
        <v>1116</v>
      </c>
      <c r="J563" s="6">
        <v>60</v>
      </c>
      <c r="K563" s="21">
        <v>2</v>
      </c>
      <c r="L563" s="21" t="s">
        <v>1105</v>
      </c>
      <c r="M563" s="6" t="s">
        <v>260</v>
      </c>
      <c r="N563" s="6" t="s">
        <v>1258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1256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55" hidden="1" x14ac:dyDescent="0.3">
      <c r="A564" s="19" t="s">
        <v>1259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1260</v>
      </c>
      <c r="H564" s="6"/>
      <c r="I564" s="6" t="s">
        <v>1116</v>
      </c>
      <c r="J564" s="6">
        <v>60</v>
      </c>
      <c r="K564" s="21"/>
      <c r="L564" s="21" t="s">
        <v>1105</v>
      </c>
      <c r="M564" s="6" t="s">
        <v>260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1261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55" hidden="1" x14ac:dyDescent="0.3">
      <c r="A565" s="19" t="s">
        <v>1262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1263</v>
      </c>
      <c r="H565" s="6"/>
      <c r="I565" s="6" t="s">
        <v>1116</v>
      </c>
      <c r="J565" s="6">
        <v>60</v>
      </c>
      <c r="K565" s="21"/>
      <c r="L565" s="21" t="s">
        <v>850</v>
      </c>
      <c r="M565" s="6" t="s">
        <v>260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55" hidden="1" x14ac:dyDescent="0.3">
      <c r="A566" s="19" t="s">
        <v>1264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1265</v>
      </c>
      <c r="H566" s="6"/>
      <c r="I566" s="6" t="s">
        <v>1116</v>
      </c>
      <c r="J566" s="6">
        <v>69</v>
      </c>
      <c r="K566" s="21">
        <v>26</v>
      </c>
      <c r="L566" s="21" t="s">
        <v>58</v>
      </c>
      <c r="M566" s="6" t="s">
        <v>225</v>
      </c>
      <c r="N566" s="6" t="s">
        <v>1201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55" hidden="1" x14ac:dyDescent="0.3">
      <c r="A567" s="32" t="s">
        <v>1266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1267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225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55" hidden="1" x14ac:dyDescent="0.3">
      <c r="A568" s="19" t="s">
        <v>1268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1269</v>
      </c>
      <c r="H568" s="6"/>
      <c r="I568" s="6" t="s">
        <v>1116</v>
      </c>
      <c r="J568" s="6">
        <v>69</v>
      </c>
      <c r="K568" s="21">
        <v>1</v>
      </c>
      <c r="L568" s="21" t="s">
        <v>1105</v>
      </c>
      <c r="M568" s="6" t="s">
        <v>260</v>
      </c>
      <c r="N568" s="6" t="s">
        <v>219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55" hidden="1" x14ac:dyDescent="0.3">
      <c r="A569" s="19" t="s">
        <v>1270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1178</v>
      </c>
      <c r="G569" s="20" t="s">
        <v>1271</v>
      </c>
      <c r="H569" s="6"/>
      <c r="I569" s="6" t="s">
        <v>1116</v>
      </c>
      <c r="J569" s="6">
        <v>69</v>
      </c>
      <c r="K569" s="21">
        <v>0.5</v>
      </c>
      <c r="L569" s="21" t="s">
        <v>1105</v>
      </c>
      <c r="M569" s="6" t="s">
        <v>260</v>
      </c>
      <c r="N569" s="6" t="s">
        <v>219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1272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55" hidden="1" x14ac:dyDescent="0.3">
      <c r="A570" s="19" t="s">
        <v>1273</v>
      </c>
      <c r="B570" s="21" t="s">
        <v>42</v>
      </c>
      <c r="C570" s="21">
        <v>1.5</v>
      </c>
      <c r="D570" s="23">
        <v>157</v>
      </c>
      <c r="E570" s="23"/>
      <c r="F570" s="23" t="s">
        <v>1239</v>
      </c>
      <c r="G570" s="20" t="s">
        <v>1263</v>
      </c>
      <c r="H570" s="6"/>
      <c r="I570" s="6" t="s">
        <v>1116</v>
      </c>
      <c r="J570" s="6">
        <v>60</v>
      </c>
      <c r="K570" s="21"/>
      <c r="L570" s="21" t="s">
        <v>850</v>
      </c>
      <c r="M570" s="6" t="s">
        <v>260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55" hidden="1" x14ac:dyDescent="0.3">
      <c r="A571" s="19" t="s">
        <v>1274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1140</v>
      </c>
      <c r="H571" s="6"/>
      <c r="I571" s="6" t="s">
        <v>1111</v>
      </c>
      <c r="J571" s="6">
        <v>59</v>
      </c>
      <c r="K571" s="21">
        <v>1</v>
      </c>
      <c r="L571" s="21" t="s">
        <v>1105</v>
      </c>
      <c r="M571" s="6" t="s">
        <v>260</v>
      </c>
      <c r="N571" s="6" t="s">
        <v>219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55" hidden="1" x14ac:dyDescent="0.3">
      <c r="A572" s="19" t="s">
        <v>1275</v>
      </c>
      <c r="B572" s="21" t="s">
        <v>42</v>
      </c>
      <c r="C572" s="21">
        <v>1.2</v>
      </c>
      <c r="D572" s="23">
        <v>325</v>
      </c>
      <c r="E572" s="23"/>
      <c r="F572" s="23" t="s">
        <v>1239</v>
      </c>
      <c r="G572" s="20" t="s">
        <v>1276</v>
      </c>
      <c r="H572" s="6"/>
      <c r="I572" s="6" t="s">
        <v>1116</v>
      </c>
      <c r="J572" s="6">
        <v>60</v>
      </c>
      <c r="K572" s="21"/>
      <c r="L572" s="21" t="s">
        <v>1117</v>
      </c>
      <c r="M572" s="6" t="s">
        <v>260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55" hidden="1" x14ac:dyDescent="0.3">
      <c r="A573" s="19" t="s">
        <v>1277</v>
      </c>
      <c r="B573" s="21" t="s">
        <v>42</v>
      </c>
      <c r="C573" s="21">
        <v>2</v>
      </c>
      <c r="D573" s="23">
        <v>1000</v>
      </c>
      <c r="E573" s="23"/>
      <c r="F573" s="23" t="s">
        <v>1178</v>
      </c>
      <c r="G573" s="20" t="s">
        <v>1278</v>
      </c>
      <c r="H573" s="6"/>
      <c r="I573" s="6" t="s">
        <v>1116</v>
      </c>
      <c r="J573" s="6">
        <v>69</v>
      </c>
      <c r="K573" s="21">
        <v>0.5</v>
      </c>
      <c r="L573" s="21" t="s">
        <v>1105</v>
      </c>
      <c r="M573" s="6" t="s">
        <v>260</v>
      </c>
      <c r="N573" s="6" t="s">
        <v>219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55" hidden="1" x14ac:dyDescent="0.3">
      <c r="A574" s="19" t="s">
        <v>1279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1280</v>
      </c>
      <c r="H574" s="6"/>
      <c r="I574" s="6" t="s">
        <v>1111</v>
      </c>
      <c r="J574" s="6">
        <v>59</v>
      </c>
      <c r="K574" s="21">
        <v>32</v>
      </c>
      <c r="L574" s="21" t="s">
        <v>58</v>
      </c>
      <c r="M574" s="6" t="s">
        <v>1176</v>
      </c>
      <c r="N574" s="6" t="s">
        <v>1281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55" hidden="1" x14ac:dyDescent="0.3">
      <c r="A575" s="19" t="s">
        <v>1282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1283</v>
      </c>
      <c r="H575" s="6"/>
      <c r="I575" s="6" t="s">
        <v>1111</v>
      </c>
      <c r="J575" s="6">
        <v>69</v>
      </c>
      <c r="K575" s="21">
        <v>26</v>
      </c>
      <c r="L575" s="21" t="s">
        <v>58</v>
      </c>
      <c r="M575" s="6" t="s">
        <v>1176</v>
      </c>
      <c r="N575" s="6" t="s">
        <v>1281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55" hidden="1" x14ac:dyDescent="0.3">
      <c r="A576" s="19" t="s">
        <v>1284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1285</v>
      </c>
      <c r="H576" s="6"/>
      <c r="I576" s="6" t="s">
        <v>1116</v>
      </c>
      <c r="J576" s="6">
        <v>60</v>
      </c>
      <c r="K576" s="21">
        <v>0.5</v>
      </c>
      <c r="L576" s="21" t="s">
        <v>1105</v>
      </c>
      <c r="M576" s="6" t="s">
        <v>260</v>
      </c>
      <c r="N576" s="6" t="s">
        <v>219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55" hidden="1" x14ac:dyDescent="0.3">
      <c r="A577" s="19" t="s">
        <v>1286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1287</v>
      </c>
      <c r="H577" s="6"/>
      <c r="I577" s="6" t="s">
        <v>1116</v>
      </c>
      <c r="J577" s="6">
        <v>60</v>
      </c>
      <c r="K577" s="21">
        <v>0.5</v>
      </c>
      <c r="L577" s="21" t="s">
        <v>1105</v>
      </c>
      <c r="M577" s="6" t="s">
        <v>260</v>
      </c>
      <c r="N577" s="6" t="s">
        <v>1258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55" hidden="1" x14ac:dyDescent="0.3">
      <c r="A578" s="19" t="s">
        <v>1288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1137</v>
      </c>
      <c r="H578" s="6"/>
      <c r="I578" s="6" t="s">
        <v>1116</v>
      </c>
      <c r="J578" s="6">
        <v>69</v>
      </c>
      <c r="K578" s="21">
        <v>0.5</v>
      </c>
      <c r="L578" s="21" t="s">
        <v>1105</v>
      </c>
      <c r="M578" s="6" t="s">
        <v>260</v>
      </c>
      <c r="N578" s="6" t="s">
        <v>219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55" hidden="1" x14ac:dyDescent="0.3">
      <c r="A579" s="19" t="s">
        <v>1289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1290</v>
      </c>
      <c r="H579" s="6"/>
      <c r="I579" s="6" t="s">
        <v>1111</v>
      </c>
      <c r="J579" s="6">
        <v>59</v>
      </c>
      <c r="K579" s="21">
        <v>1</v>
      </c>
      <c r="L579" s="21" t="s">
        <v>1105</v>
      </c>
      <c r="M579" s="6" t="s">
        <v>260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55" hidden="1" x14ac:dyDescent="0.3">
      <c r="A580" s="19" t="s">
        <v>1291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1171</v>
      </c>
      <c r="H580" s="6"/>
      <c r="I580" s="6" t="s">
        <v>1111</v>
      </c>
      <c r="J580" s="6">
        <v>59</v>
      </c>
      <c r="K580" s="21">
        <v>0.6</v>
      </c>
      <c r="L580" s="21" t="s">
        <v>1105</v>
      </c>
      <c r="M580" s="6" t="s">
        <v>260</v>
      </c>
      <c r="N580" s="6" t="s">
        <v>219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55" hidden="1" x14ac:dyDescent="0.3">
      <c r="A581" s="19" t="s">
        <v>1292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1293</v>
      </c>
      <c r="H581" s="6"/>
      <c r="I581" s="6" t="s">
        <v>1111</v>
      </c>
      <c r="J581" s="6">
        <v>59</v>
      </c>
      <c r="K581" s="21">
        <v>22</v>
      </c>
      <c r="L581" s="21" t="s">
        <v>58</v>
      </c>
      <c r="M581" s="6" t="s">
        <v>225</v>
      </c>
      <c r="N581" s="6" t="s">
        <v>1201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55" hidden="1" x14ac:dyDescent="0.3">
      <c r="A582" s="19" t="s">
        <v>1294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1295</v>
      </c>
      <c r="H582" s="6"/>
      <c r="I582" s="6" t="s">
        <v>1116</v>
      </c>
      <c r="J582" s="6">
        <v>69</v>
      </c>
      <c r="K582" s="21">
        <v>32</v>
      </c>
      <c r="L582" s="21" t="s">
        <v>58</v>
      </c>
      <c r="M582" s="6" t="s">
        <v>225</v>
      </c>
      <c r="N582" s="6" t="s">
        <v>1201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1296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55" hidden="1" x14ac:dyDescent="0.3">
      <c r="A584" s="19" t="s">
        <v>1297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1298</v>
      </c>
      <c r="H584" s="6"/>
      <c r="I584" s="6" t="s">
        <v>772</v>
      </c>
      <c r="J584" s="6">
        <v>60</v>
      </c>
      <c r="K584" s="21">
        <v>24</v>
      </c>
      <c r="L584" s="21" t="s">
        <v>376</v>
      </c>
      <c r="M584" s="6" t="s">
        <v>225</v>
      </c>
      <c r="N584" s="6" t="s">
        <v>1201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55" hidden="1" x14ac:dyDescent="0.3">
      <c r="A585" s="19" t="s">
        <v>1299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452</v>
      </c>
      <c r="H585" s="6"/>
      <c r="I585" s="6" t="s">
        <v>1116</v>
      </c>
      <c r="J585" s="6">
        <v>69</v>
      </c>
      <c r="K585" s="21">
        <v>20</v>
      </c>
      <c r="L585" s="21" t="s">
        <v>58</v>
      </c>
      <c r="M585" s="6" t="s">
        <v>225</v>
      </c>
      <c r="N585" s="6" t="s">
        <v>1201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55" hidden="1" x14ac:dyDescent="0.3">
      <c r="A586" s="19" t="s">
        <v>1300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1301</v>
      </c>
      <c r="H586" s="6"/>
      <c r="I586" s="6" t="s">
        <v>1116</v>
      </c>
      <c r="J586" s="6">
        <v>69</v>
      </c>
      <c r="K586" s="21" t="s">
        <v>43</v>
      </c>
      <c r="L586" s="21" t="s">
        <v>58</v>
      </c>
      <c r="M586" s="6" t="s">
        <v>225</v>
      </c>
      <c r="N586" s="6" t="s">
        <v>1201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55" hidden="1" x14ac:dyDescent="0.3">
      <c r="A587" s="19" t="s">
        <v>1302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1303</v>
      </c>
      <c r="H587" s="6"/>
      <c r="I587" s="6"/>
      <c r="J587" s="6">
        <v>30</v>
      </c>
      <c r="K587" s="21"/>
      <c r="L587" s="21" t="s">
        <v>376</v>
      </c>
      <c r="M587" s="6" t="s">
        <v>225</v>
      </c>
      <c r="N587" s="6" t="s">
        <v>1201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55" hidden="1" x14ac:dyDescent="0.3">
      <c r="A588" s="19" t="s">
        <v>320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1304</v>
      </c>
      <c r="H588" s="6"/>
      <c r="I588" s="6" t="s">
        <v>772</v>
      </c>
      <c r="J588" s="6">
        <v>60</v>
      </c>
      <c r="K588" s="21"/>
      <c r="L588" s="21" t="s">
        <v>376</v>
      </c>
      <c r="M588" s="6" t="s">
        <v>225</v>
      </c>
      <c r="N588" s="6" t="s">
        <v>1201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55" hidden="1" x14ac:dyDescent="0.3">
      <c r="A589" s="19" t="s">
        <v>1305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1306</v>
      </c>
      <c r="H589" s="6"/>
      <c r="I589" s="6" t="s">
        <v>1116</v>
      </c>
      <c r="J589" s="6">
        <v>69</v>
      </c>
      <c r="K589" s="21">
        <v>26</v>
      </c>
      <c r="L589" s="21" t="s">
        <v>58</v>
      </c>
      <c r="M589" s="6" t="s">
        <v>225</v>
      </c>
      <c r="N589" s="6" t="s">
        <v>1201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55" hidden="1" x14ac:dyDescent="0.3">
      <c r="A590" s="19" t="s">
        <v>1307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1308</v>
      </c>
      <c r="H590" s="6"/>
      <c r="I590" s="6" t="s">
        <v>1116</v>
      </c>
      <c r="J590" s="6">
        <v>69</v>
      </c>
      <c r="K590" s="21">
        <v>26</v>
      </c>
      <c r="L590" s="21" t="s">
        <v>58</v>
      </c>
      <c r="M590" s="6" t="s">
        <v>225</v>
      </c>
      <c r="N590" s="6" t="s">
        <v>1201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1309</v>
      </c>
      <c r="B591" s="2"/>
      <c r="C591" s="21">
        <v>15</v>
      </c>
      <c r="D591" s="23"/>
      <c r="E591" s="23"/>
      <c r="F591" s="23"/>
      <c r="G591" s="3" t="s">
        <v>1310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1311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1312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1313</v>
      </c>
      <c r="B592" s="2"/>
      <c r="C592" s="21">
        <v>4</v>
      </c>
      <c r="D592" s="23"/>
      <c r="E592" s="23"/>
      <c r="F592" s="23"/>
      <c r="G592" s="3" t="s">
        <v>286</v>
      </c>
      <c r="H592" s="6"/>
      <c r="I592" s="6"/>
      <c r="J592" s="6"/>
      <c r="K592" s="21"/>
      <c r="L592" s="21" t="s">
        <v>1314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1315</v>
      </c>
      <c r="B593" s="2"/>
      <c r="C593" s="21">
        <v>35</v>
      </c>
      <c r="D593" s="23"/>
      <c r="E593" s="23"/>
      <c r="F593" s="23"/>
      <c r="G593" s="3" t="s">
        <v>1310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1316</v>
      </c>
      <c r="B594" s="2"/>
      <c r="C594" s="21">
        <v>3</v>
      </c>
      <c r="D594" s="23"/>
      <c r="E594" s="23"/>
      <c r="F594" s="23"/>
      <c r="G594" s="3" t="s">
        <v>286</v>
      </c>
      <c r="H594" s="4"/>
      <c r="I594" s="6"/>
      <c r="J594" s="4"/>
      <c r="K594" s="5"/>
      <c r="L594" s="5" t="s">
        <v>1314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657</v>
      </c>
      <c r="B595" s="2"/>
      <c r="C595" s="21">
        <v>2</v>
      </c>
      <c r="D595" s="23"/>
      <c r="E595" s="23"/>
      <c r="F595" s="23"/>
      <c r="G595" s="3" t="s">
        <v>1317</v>
      </c>
      <c r="H595" s="6"/>
      <c r="I595" s="6"/>
      <c r="J595" s="6"/>
      <c r="K595" s="21"/>
      <c r="L595" s="5" t="s">
        <v>1318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1319</v>
      </c>
      <c r="B596" s="2"/>
      <c r="C596" s="21">
        <v>10</v>
      </c>
      <c r="D596" s="23"/>
      <c r="E596" s="23"/>
      <c r="F596" s="23"/>
      <c r="G596" s="3" t="s">
        <v>771</v>
      </c>
      <c r="H596" s="6"/>
      <c r="I596" s="6"/>
      <c r="J596" s="6"/>
      <c r="K596" s="21"/>
      <c r="L596" s="21" t="s">
        <v>1318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1320</v>
      </c>
      <c r="B597" s="2"/>
      <c r="C597" s="21">
        <v>3</v>
      </c>
      <c r="D597" s="23"/>
      <c r="E597" s="23"/>
      <c r="F597" s="23"/>
      <c r="G597" s="3" t="s">
        <v>286</v>
      </c>
      <c r="H597" s="4"/>
      <c r="I597" s="6"/>
      <c r="J597" s="4"/>
      <c r="K597" s="5"/>
      <c r="L597" s="5" t="s">
        <v>1314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1321</v>
      </c>
      <c r="B598" s="2"/>
      <c r="C598" s="21">
        <v>12.5</v>
      </c>
      <c r="D598" s="23"/>
      <c r="E598" s="23"/>
      <c r="F598" s="23"/>
      <c r="G598" s="3" t="s">
        <v>829</v>
      </c>
      <c r="H598" s="6"/>
      <c r="I598" s="6"/>
      <c r="J598" s="6"/>
      <c r="K598" s="21"/>
      <c r="L598" s="21" t="s">
        <v>1322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1323</v>
      </c>
      <c r="B599" s="2"/>
      <c r="C599" s="21">
        <v>40</v>
      </c>
      <c r="D599" s="23"/>
      <c r="E599" s="23"/>
      <c r="F599" s="23"/>
      <c r="G599" s="3" t="s">
        <v>1310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1324</v>
      </c>
      <c r="B600" s="2"/>
      <c r="C600" s="21">
        <v>4.75</v>
      </c>
      <c r="D600" s="23"/>
      <c r="E600" s="23"/>
      <c r="F600" s="23"/>
      <c r="G600" s="3" t="s">
        <v>829</v>
      </c>
      <c r="H600" s="6"/>
      <c r="I600" s="6"/>
      <c r="J600" s="6"/>
      <c r="K600" s="21"/>
      <c r="L600" s="21" t="s">
        <v>1325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1326</v>
      </c>
      <c r="B601" s="2"/>
      <c r="C601" s="21">
        <v>6</v>
      </c>
      <c r="D601" s="23"/>
      <c r="E601" s="23"/>
      <c r="F601" s="23"/>
      <c r="G601" s="3" t="s">
        <v>829</v>
      </c>
      <c r="H601" s="6"/>
      <c r="I601" s="6"/>
      <c r="J601" s="6"/>
      <c r="K601" s="21"/>
      <c r="L601" s="21" t="s">
        <v>1318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876</v>
      </c>
      <c r="B602" s="2"/>
      <c r="C602" s="21">
        <v>3.5</v>
      </c>
      <c r="D602" s="23"/>
      <c r="E602" s="23"/>
      <c r="F602" s="23"/>
      <c r="G602" s="3" t="s">
        <v>350</v>
      </c>
      <c r="H602" s="4"/>
      <c r="I602" s="6"/>
      <c r="J602" s="4"/>
      <c r="K602" s="5"/>
      <c r="L602" s="5" t="s">
        <v>1325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1327</v>
      </c>
      <c r="B603" s="2"/>
      <c r="C603" s="21">
        <v>6</v>
      </c>
      <c r="D603" s="23"/>
      <c r="E603" s="23"/>
      <c r="F603" s="23"/>
      <c r="G603" s="3" t="s">
        <v>829</v>
      </c>
      <c r="H603" s="6"/>
      <c r="I603" s="6"/>
      <c r="J603" s="6"/>
      <c r="K603" s="21"/>
      <c r="L603" s="21" t="s">
        <v>1318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1328</v>
      </c>
      <c r="B604" s="2"/>
      <c r="C604" s="21">
        <v>2</v>
      </c>
      <c r="D604" s="23"/>
      <c r="E604" s="23"/>
      <c r="F604" s="23"/>
      <c r="G604" s="3" t="s">
        <v>1329</v>
      </c>
      <c r="H604" s="4"/>
      <c r="I604" s="6"/>
      <c r="J604" s="4"/>
      <c r="K604" s="5"/>
      <c r="L604" s="5" t="s">
        <v>1325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665</v>
      </c>
      <c r="B605" s="2"/>
      <c r="C605" s="21">
        <v>3</v>
      </c>
      <c r="D605" s="23"/>
      <c r="E605" s="23"/>
      <c r="F605" s="23"/>
      <c r="G605" s="3" t="s">
        <v>829</v>
      </c>
      <c r="H605" s="4"/>
      <c r="I605" s="6"/>
      <c r="J605" s="4"/>
      <c r="K605" s="5"/>
      <c r="L605" s="5" t="s">
        <v>1325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297</v>
      </c>
      <c r="B606" s="2"/>
      <c r="C606" s="21">
        <v>3</v>
      </c>
      <c r="D606" s="23"/>
      <c r="E606" s="23"/>
      <c r="F606" s="23" t="s">
        <v>299</v>
      </c>
      <c r="G606" s="3" t="s">
        <v>1330</v>
      </c>
      <c r="H606" s="6"/>
      <c r="I606" s="6"/>
      <c r="J606" s="6"/>
      <c r="K606" s="21"/>
      <c r="L606" s="21" t="s">
        <v>1325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1331</v>
      </c>
      <c r="B607" s="2"/>
      <c r="C607" s="21">
        <v>25</v>
      </c>
      <c r="D607" s="23"/>
      <c r="E607" s="23"/>
      <c r="F607" s="23"/>
      <c r="G607" s="3" t="s">
        <v>1310</v>
      </c>
      <c r="H607" s="6"/>
      <c r="I607" s="6"/>
      <c r="J607" s="6"/>
      <c r="K607" s="21"/>
      <c r="L607" s="21" t="s">
        <v>1325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1332</v>
      </c>
      <c r="B608" s="2"/>
      <c r="C608" s="21">
        <v>6.3</v>
      </c>
      <c r="D608" s="23"/>
      <c r="E608" s="23"/>
      <c r="F608" s="23"/>
      <c r="G608" s="3" t="s">
        <v>829</v>
      </c>
      <c r="H608" s="6"/>
      <c r="I608" s="6"/>
      <c r="J608" s="6"/>
      <c r="K608" s="21"/>
      <c r="L608" s="21" t="s">
        <v>1318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398</v>
      </c>
      <c r="B609" s="2"/>
      <c r="C609" s="21">
        <v>4</v>
      </c>
      <c r="D609" s="23"/>
      <c r="E609" s="23"/>
      <c r="F609" s="23"/>
      <c r="G609" s="3" t="s">
        <v>829</v>
      </c>
      <c r="H609" s="4"/>
      <c r="I609" s="6"/>
      <c r="J609" s="4"/>
      <c r="K609" s="5"/>
      <c r="L609" s="5" t="s">
        <v>1318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390</v>
      </c>
      <c r="B610" s="2"/>
      <c r="C610" s="21">
        <v>4.75</v>
      </c>
      <c r="D610" s="23"/>
      <c r="E610" s="23"/>
      <c r="F610" s="23"/>
      <c r="G610" s="3" t="s">
        <v>350</v>
      </c>
      <c r="H610" s="6"/>
      <c r="I610" s="6"/>
      <c r="J610" s="6"/>
      <c r="K610" s="21"/>
      <c r="L610" s="21" t="s">
        <v>1325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1333</v>
      </c>
      <c r="B611" s="2"/>
      <c r="C611" s="21">
        <v>8</v>
      </c>
      <c r="D611" s="23"/>
      <c r="E611" s="23"/>
      <c r="F611" s="23"/>
      <c r="G611" s="3" t="s">
        <v>829</v>
      </c>
      <c r="H611" s="4"/>
      <c r="I611" s="4"/>
      <c r="J611" s="4"/>
      <c r="K611" s="5"/>
      <c r="L611" s="5" t="s">
        <v>1322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1334</v>
      </c>
      <c r="B612" s="2"/>
      <c r="C612" s="21">
        <v>6</v>
      </c>
      <c r="D612" s="23"/>
      <c r="E612" s="23"/>
      <c r="F612" s="23"/>
      <c r="G612" s="3" t="s">
        <v>829</v>
      </c>
      <c r="H612" s="6"/>
      <c r="I612" s="6"/>
      <c r="J612" s="6"/>
      <c r="K612" s="21"/>
      <c r="L612" s="21" t="s">
        <v>1322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1335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1325</v>
      </c>
      <c r="M613" s="4" t="s">
        <v>1336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1337</v>
      </c>
      <c r="B614" s="2"/>
      <c r="C614" s="21">
        <v>9.5</v>
      </c>
      <c r="D614" s="23"/>
      <c r="E614" s="23"/>
      <c r="F614" s="23"/>
      <c r="G614" s="3" t="s">
        <v>829</v>
      </c>
      <c r="H614" s="6"/>
      <c r="I614" s="6"/>
      <c r="J614" s="6"/>
      <c r="K614" s="21"/>
      <c r="L614" s="21" t="s">
        <v>1322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682</v>
      </c>
      <c r="B615" s="2"/>
      <c r="C615" s="21">
        <v>5</v>
      </c>
      <c r="D615" s="23"/>
      <c r="E615" s="23"/>
      <c r="F615" s="23"/>
      <c r="G615" s="3" t="s">
        <v>350</v>
      </c>
      <c r="H615" s="6"/>
      <c r="I615" s="6"/>
      <c r="J615" s="6"/>
      <c r="K615" s="21"/>
      <c r="L615" s="21" t="s">
        <v>1325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1338</v>
      </c>
      <c r="B616" s="2"/>
      <c r="C616" s="21">
        <v>15.75</v>
      </c>
      <c r="D616" s="23"/>
      <c r="E616" s="23"/>
      <c r="F616" s="23"/>
      <c r="G616" s="3" t="s">
        <v>1339</v>
      </c>
      <c r="H616" s="6"/>
      <c r="I616" s="6"/>
      <c r="J616" s="6"/>
      <c r="K616" s="21"/>
      <c r="L616" s="21" t="s">
        <v>1318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1340</v>
      </c>
      <c r="B617" s="2"/>
      <c r="C617" s="21">
        <v>4.75</v>
      </c>
      <c r="D617" s="23"/>
      <c r="E617" s="23"/>
      <c r="F617" s="23"/>
      <c r="G617" s="3" t="s">
        <v>1341</v>
      </c>
      <c r="H617" s="6"/>
      <c r="I617" s="6"/>
      <c r="J617" s="6"/>
      <c r="K617" s="21"/>
      <c r="L617" s="21" t="s">
        <v>1318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888</v>
      </c>
      <c r="B618" s="2"/>
      <c r="C618" s="21">
        <v>3</v>
      </c>
      <c r="D618" s="23"/>
      <c r="E618" s="23"/>
      <c r="F618" s="23"/>
      <c r="G618" s="3" t="s">
        <v>1342</v>
      </c>
      <c r="H618" s="6"/>
      <c r="I618" s="6"/>
      <c r="J618" s="6"/>
      <c r="K618" s="21"/>
      <c r="L618" s="21" t="s">
        <v>1325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913</v>
      </c>
      <c r="B619" s="2"/>
      <c r="C619" s="21">
        <v>9.5</v>
      </c>
      <c r="D619" s="23"/>
      <c r="E619" s="23"/>
      <c r="F619" s="23"/>
      <c r="G619" s="3" t="s">
        <v>829</v>
      </c>
      <c r="H619" s="4"/>
      <c r="I619" s="4"/>
      <c r="J619" s="4"/>
      <c r="K619" s="5"/>
      <c r="L619" s="5" t="s">
        <v>1318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885</v>
      </c>
      <c r="B620" s="2"/>
      <c r="C620" s="21">
        <v>8</v>
      </c>
      <c r="D620" s="23"/>
      <c r="E620" s="23"/>
      <c r="F620" s="23"/>
      <c r="G620" s="3" t="s">
        <v>829</v>
      </c>
      <c r="H620" s="6"/>
      <c r="I620" s="6"/>
      <c r="J620" s="6"/>
      <c r="K620" s="21"/>
      <c r="L620" s="21" t="s">
        <v>1318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1343</v>
      </c>
      <c r="B621" s="2"/>
      <c r="C621" s="21">
        <v>4.75</v>
      </c>
      <c r="D621" s="23"/>
      <c r="E621" s="23"/>
      <c r="F621" s="23"/>
      <c r="G621" s="3" t="s">
        <v>829</v>
      </c>
      <c r="H621" s="6"/>
      <c r="I621" s="6"/>
      <c r="J621" s="6"/>
      <c r="K621" s="21"/>
      <c r="L621" s="21" t="s">
        <v>1318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1344</v>
      </c>
      <c r="B622" s="2"/>
      <c r="C622" s="21">
        <v>3.75</v>
      </c>
      <c r="D622" s="23"/>
      <c r="E622" s="23"/>
      <c r="F622" s="23"/>
      <c r="G622" s="3" t="s">
        <v>1345</v>
      </c>
      <c r="H622" s="6"/>
      <c r="I622" s="6"/>
      <c r="J622" s="6"/>
      <c r="K622" s="21"/>
      <c r="L622" s="21" t="s">
        <v>1325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867</v>
      </c>
      <c r="B623" s="2"/>
      <c r="C623" s="21">
        <v>8</v>
      </c>
      <c r="D623" s="23"/>
      <c r="E623" s="23"/>
      <c r="F623" s="23"/>
      <c r="G623" s="3" t="s">
        <v>350</v>
      </c>
      <c r="H623" s="6"/>
      <c r="I623" s="6"/>
      <c r="J623" s="6"/>
      <c r="K623" s="21"/>
      <c r="L623" s="21" t="s">
        <v>1318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1346</v>
      </c>
      <c r="B624" s="2"/>
      <c r="C624" s="21">
        <v>2</v>
      </c>
      <c r="D624" s="23"/>
      <c r="E624" s="23"/>
      <c r="F624" s="23"/>
      <c r="G624" s="3" t="s">
        <v>1329</v>
      </c>
      <c r="H624" s="6"/>
      <c r="I624" s="6"/>
      <c r="J624" s="6"/>
      <c r="K624" s="21"/>
      <c r="L624" s="5" t="s">
        <v>1318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1347</v>
      </c>
      <c r="B625" s="2"/>
      <c r="C625" s="21">
        <v>3.75</v>
      </c>
      <c r="D625" s="23"/>
      <c r="E625" s="23"/>
      <c r="F625" s="23"/>
      <c r="G625" s="3" t="s">
        <v>1348</v>
      </c>
      <c r="H625" s="4"/>
      <c r="I625" s="6"/>
      <c r="J625" s="4"/>
      <c r="K625" s="5"/>
      <c r="L625" s="5" t="s">
        <v>1349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425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1325</v>
      </c>
      <c r="M626" s="4" t="s">
        <v>1336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1350</v>
      </c>
      <c r="B627" s="2"/>
      <c r="C627" s="21">
        <v>30</v>
      </c>
      <c r="D627" s="23"/>
      <c r="E627" s="23"/>
      <c r="F627" s="23"/>
      <c r="G627" s="3" t="s">
        <v>1310</v>
      </c>
      <c r="H627" s="6"/>
      <c r="I627" s="6"/>
      <c r="J627" s="6"/>
      <c r="K627" s="21"/>
      <c r="L627" s="21" t="s">
        <v>1325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923</v>
      </c>
      <c r="B628" s="2"/>
      <c r="C628" s="21">
        <v>4</v>
      </c>
      <c r="D628" s="23"/>
      <c r="E628" s="23"/>
      <c r="F628" s="23"/>
      <c r="G628" s="3" t="s">
        <v>1351</v>
      </c>
      <c r="H628" s="4"/>
      <c r="I628" s="6"/>
      <c r="J628" s="4"/>
      <c r="K628" s="5"/>
      <c r="L628" s="5" t="s">
        <v>1325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1352</v>
      </c>
      <c r="B629" s="2"/>
      <c r="C629" s="21">
        <v>2</v>
      </c>
      <c r="D629" s="23"/>
      <c r="E629" s="23"/>
      <c r="F629" s="23"/>
      <c r="G629" s="3" t="s">
        <v>829</v>
      </c>
      <c r="H629" s="6"/>
      <c r="I629" s="6"/>
      <c r="J629" s="6"/>
      <c r="K629" s="21"/>
      <c r="L629" s="21" t="s">
        <v>1325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900</v>
      </c>
      <c r="B630" s="2"/>
      <c r="C630" s="21">
        <v>1.5</v>
      </c>
      <c r="D630" s="23"/>
      <c r="E630" s="23"/>
      <c r="F630" s="23"/>
      <c r="G630" s="3" t="s">
        <v>1353</v>
      </c>
      <c r="H630" s="6"/>
      <c r="I630" s="6"/>
      <c r="J630" s="6"/>
      <c r="K630" s="21"/>
      <c r="L630" s="5" t="s">
        <v>1318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1354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1325</v>
      </c>
      <c r="M631" s="4" t="s">
        <v>1336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1355</v>
      </c>
      <c r="B632" s="2"/>
      <c r="C632" s="21">
        <v>4</v>
      </c>
      <c r="D632" s="23"/>
      <c r="E632" s="23"/>
      <c r="F632" s="23"/>
      <c r="G632" s="3" t="s">
        <v>1356</v>
      </c>
      <c r="H632" s="6"/>
      <c r="I632" s="6"/>
      <c r="J632" s="6"/>
      <c r="K632" s="21"/>
      <c r="L632" s="21" t="s">
        <v>1325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1357</v>
      </c>
      <c r="B633" s="2"/>
      <c r="C633" s="21">
        <v>9.5</v>
      </c>
      <c r="D633" s="23"/>
      <c r="E633" s="23"/>
      <c r="F633" s="23"/>
      <c r="G633" s="3" t="s">
        <v>829</v>
      </c>
      <c r="H633" s="6"/>
      <c r="I633" s="6"/>
      <c r="J633" s="6"/>
      <c r="K633" s="21"/>
      <c r="L633" s="21" t="s">
        <v>1322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1358</v>
      </c>
      <c r="B634" s="2"/>
      <c r="C634" s="21">
        <v>45</v>
      </c>
      <c r="D634" s="23"/>
      <c r="E634" s="23"/>
      <c r="F634" s="23"/>
      <c r="G634" s="3" t="s">
        <v>1310</v>
      </c>
      <c r="H634" s="6"/>
      <c r="I634" s="6"/>
      <c r="J634" s="6"/>
      <c r="K634" s="21"/>
      <c r="L634" s="5" t="s">
        <v>1325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1359</v>
      </c>
      <c r="B635" s="2"/>
      <c r="C635" s="21">
        <v>4.75</v>
      </c>
      <c r="D635" s="23"/>
      <c r="E635" s="23"/>
      <c r="F635" s="23"/>
      <c r="G635" s="3" t="s">
        <v>829</v>
      </c>
      <c r="H635" s="6"/>
      <c r="I635" s="6"/>
      <c r="J635" s="6"/>
      <c r="K635" s="21"/>
      <c r="L635" s="21" t="s">
        <v>1318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1360</v>
      </c>
      <c r="B636" s="2"/>
      <c r="C636" s="21">
        <v>3</v>
      </c>
      <c r="D636" s="23"/>
      <c r="E636" s="23"/>
      <c r="F636" s="23"/>
      <c r="G636" s="3" t="s">
        <v>1317</v>
      </c>
      <c r="H636" s="6"/>
      <c r="I636" s="6"/>
      <c r="J636" s="6"/>
      <c r="K636" s="21"/>
      <c r="L636" s="21" t="s">
        <v>1318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1361</v>
      </c>
      <c r="B637" s="2"/>
      <c r="C637" s="21">
        <v>9.75</v>
      </c>
      <c r="D637" s="23"/>
      <c r="E637" s="23"/>
      <c r="F637" s="23"/>
      <c r="G637" s="3" t="s">
        <v>1362</v>
      </c>
      <c r="H637" s="6"/>
      <c r="I637" s="6"/>
      <c r="J637" s="6"/>
      <c r="K637" s="21"/>
      <c r="L637" s="21" t="s">
        <v>1318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1363</v>
      </c>
      <c r="B638" s="2"/>
      <c r="C638" s="21">
        <v>12.25</v>
      </c>
      <c r="D638" s="23"/>
      <c r="E638" s="23"/>
      <c r="F638" s="23"/>
      <c r="G638" s="3" t="s">
        <v>1339</v>
      </c>
      <c r="H638" s="6"/>
      <c r="I638" s="6"/>
      <c r="J638" s="6"/>
      <c r="K638" s="21"/>
      <c r="L638" s="21" t="s">
        <v>1318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1364</v>
      </c>
      <c r="B639" s="2"/>
      <c r="C639" s="21">
        <v>1.9</v>
      </c>
      <c r="D639" s="23"/>
      <c r="E639" s="23"/>
      <c r="F639" s="23"/>
      <c r="G639" s="3" t="s">
        <v>1329</v>
      </c>
      <c r="H639" s="4"/>
      <c r="I639" s="6"/>
      <c r="J639" s="4"/>
      <c r="K639" s="5"/>
      <c r="L639" s="5" t="s">
        <v>1325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1365</v>
      </c>
      <c r="B640" s="2"/>
      <c r="C640" s="21">
        <v>2</v>
      </c>
      <c r="D640" s="23"/>
      <c r="E640" s="23"/>
      <c r="F640" s="23"/>
      <c r="G640" s="3" t="s">
        <v>829</v>
      </c>
      <c r="H640" s="6"/>
      <c r="I640" s="6"/>
      <c r="J640" s="6"/>
      <c r="K640" s="21"/>
      <c r="L640" s="21" t="s">
        <v>1325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905</v>
      </c>
      <c r="B641" s="2"/>
      <c r="C641" s="21">
        <v>6</v>
      </c>
      <c r="D641" s="23"/>
      <c r="E641" s="23"/>
      <c r="F641" s="23"/>
      <c r="G641" s="3" t="s">
        <v>1351</v>
      </c>
      <c r="H641" s="4"/>
      <c r="I641" s="6"/>
      <c r="J641" s="4"/>
      <c r="K641" s="5"/>
      <c r="L641" s="5" t="s">
        <v>1325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964</v>
      </c>
      <c r="B642" s="2"/>
      <c r="C642" s="21">
        <v>3</v>
      </c>
      <c r="D642" s="23"/>
      <c r="E642" s="23"/>
      <c r="F642" s="23"/>
      <c r="G642" s="3" t="s">
        <v>829</v>
      </c>
      <c r="H642" s="6"/>
      <c r="I642" s="6"/>
      <c r="J642" s="6"/>
      <c r="K642" s="21"/>
      <c r="L642" s="21" t="s">
        <v>1325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1366</v>
      </c>
      <c r="B643" s="2"/>
      <c r="C643" s="21">
        <v>5</v>
      </c>
      <c r="D643" s="23"/>
      <c r="E643" s="23"/>
      <c r="F643" s="23"/>
      <c r="G643" s="3" t="s">
        <v>1367</v>
      </c>
      <c r="H643" s="4"/>
      <c r="I643" s="6"/>
      <c r="J643" s="4"/>
      <c r="K643" s="5"/>
      <c r="L643" s="5" t="s">
        <v>1325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1368</v>
      </c>
      <c r="B644" s="2"/>
      <c r="C644" s="21">
        <v>12.5</v>
      </c>
      <c r="D644" s="23"/>
      <c r="E644" s="23"/>
      <c r="F644" s="23"/>
      <c r="G644" s="3" t="s">
        <v>829</v>
      </c>
      <c r="H644" s="6"/>
      <c r="I644" s="6"/>
      <c r="J644" s="6"/>
      <c r="K644" s="21"/>
      <c r="L644" s="21" t="s">
        <v>1322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882</v>
      </c>
      <c r="B645" s="2"/>
      <c r="C645" s="21">
        <v>4</v>
      </c>
      <c r="D645" s="23"/>
      <c r="E645" s="23"/>
      <c r="F645" s="23"/>
      <c r="G645" s="3" t="s">
        <v>1317</v>
      </c>
      <c r="H645" s="4"/>
      <c r="I645" s="4"/>
      <c r="J645" s="4"/>
      <c r="K645" s="5"/>
      <c r="L645" s="5" t="s">
        <v>1325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1369</v>
      </c>
      <c r="B646" s="2"/>
      <c r="C646" s="21">
        <v>4</v>
      </c>
      <c r="D646" s="23"/>
      <c r="E646" s="23"/>
      <c r="F646" s="23"/>
      <c r="G646" s="3" t="s">
        <v>829</v>
      </c>
      <c r="H646" s="6"/>
      <c r="I646" s="6"/>
      <c r="J646" s="6"/>
      <c r="K646" s="21"/>
      <c r="L646" s="21" t="s">
        <v>1318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947</v>
      </c>
      <c r="B647" s="2"/>
      <c r="C647" s="21">
        <v>4.75</v>
      </c>
      <c r="D647" s="23"/>
      <c r="E647" s="23"/>
      <c r="F647" s="23"/>
      <c r="G647" s="3" t="s">
        <v>1351</v>
      </c>
      <c r="H647" s="4"/>
      <c r="I647" s="6"/>
      <c r="J647" s="4"/>
      <c r="K647" s="5"/>
      <c r="L647" s="5" t="s">
        <v>1325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1370</v>
      </c>
      <c r="B648" s="2"/>
      <c r="C648" s="21">
        <v>3</v>
      </c>
      <c r="D648" s="23"/>
      <c r="E648" s="23"/>
      <c r="F648" s="23"/>
      <c r="G648" s="3" t="s">
        <v>1356</v>
      </c>
      <c r="H648" s="6"/>
      <c r="I648" s="6"/>
      <c r="J648" s="6"/>
      <c r="K648" s="21"/>
      <c r="L648" s="5" t="s">
        <v>1371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1372</v>
      </c>
      <c r="H649" s="4"/>
      <c r="I649" s="4"/>
      <c r="J649" s="4"/>
      <c r="K649" s="5"/>
      <c r="L649" s="5" t="s">
        <v>1371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1373</v>
      </c>
      <c r="B650" s="2"/>
      <c r="C650" s="21">
        <v>2</v>
      </c>
      <c r="D650" s="23"/>
      <c r="E650" s="23"/>
      <c r="F650" s="23"/>
      <c r="G650" s="3" t="s">
        <v>1367</v>
      </c>
      <c r="H650" s="4"/>
      <c r="I650" s="6"/>
      <c r="J650" s="4"/>
      <c r="K650" s="5"/>
      <c r="L650" s="5" t="s">
        <v>1325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1374</v>
      </c>
      <c r="B651" s="2"/>
      <c r="C651" s="21">
        <v>4</v>
      </c>
      <c r="D651" s="23"/>
      <c r="E651" s="23"/>
      <c r="F651" s="23"/>
      <c r="G651" s="3" t="s">
        <v>1317</v>
      </c>
      <c r="H651" s="4"/>
      <c r="I651" s="6"/>
      <c r="J651" s="4"/>
      <c r="K651" s="5"/>
      <c r="L651" s="5" t="s">
        <v>1325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660</v>
      </c>
      <c r="B652" s="2"/>
      <c r="C652" s="21">
        <v>2.5</v>
      </c>
      <c r="D652" s="23"/>
      <c r="E652" s="23"/>
      <c r="F652" s="23"/>
      <c r="G652" s="3" t="s">
        <v>1317</v>
      </c>
      <c r="H652" s="4"/>
      <c r="I652" s="6"/>
      <c r="J652" s="4"/>
      <c r="K652" s="5"/>
      <c r="L652" s="5" t="s">
        <v>1318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1375</v>
      </c>
      <c r="B653" s="2"/>
      <c r="C653" s="21">
        <v>1.2</v>
      </c>
      <c r="D653" s="23"/>
      <c r="E653" s="23"/>
      <c r="F653" s="23"/>
      <c r="G653" s="3" t="s">
        <v>1376</v>
      </c>
      <c r="H653" s="4"/>
      <c r="I653" s="6"/>
      <c r="J653" s="4"/>
      <c r="K653" s="5"/>
      <c r="L653" s="5" t="s">
        <v>1371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1377</v>
      </c>
      <c r="B654" s="2"/>
      <c r="C654" s="21">
        <v>6</v>
      </c>
      <c r="D654" s="23"/>
      <c r="E654" s="23"/>
      <c r="F654" s="23"/>
      <c r="G654" s="3" t="s">
        <v>1341</v>
      </c>
      <c r="H654" s="6"/>
      <c r="I654" s="6"/>
      <c r="J654" s="6"/>
      <c r="K654" s="21"/>
      <c r="L654" s="21" t="s">
        <v>1318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1378</v>
      </c>
      <c r="B655" s="2"/>
      <c r="C655" s="21">
        <v>3.75</v>
      </c>
      <c r="D655" s="23"/>
      <c r="E655" s="23"/>
      <c r="F655" s="23"/>
      <c r="G655" s="3" t="s">
        <v>1379</v>
      </c>
      <c r="H655" s="4"/>
      <c r="I655" s="6"/>
      <c r="J655" s="4"/>
      <c r="K655" s="5"/>
      <c r="L655" s="5" t="s">
        <v>1325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1380</v>
      </c>
      <c r="B656" s="2"/>
      <c r="C656" s="21">
        <v>4</v>
      </c>
      <c r="D656" s="23"/>
      <c r="E656" s="23"/>
      <c r="F656" s="23"/>
      <c r="G656" s="3" t="s">
        <v>829</v>
      </c>
      <c r="H656" s="6"/>
      <c r="I656" s="6"/>
      <c r="J656" s="6"/>
      <c r="K656" s="21"/>
      <c r="L656" s="21" t="s">
        <v>1318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1381</v>
      </c>
      <c r="B657" s="2"/>
      <c r="C657" s="21">
        <v>4</v>
      </c>
      <c r="D657" s="23"/>
      <c r="E657" s="23"/>
      <c r="F657" s="23"/>
      <c r="G657" s="3" t="s">
        <v>829</v>
      </c>
      <c r="H657" s="6"/>
      <c r="I657" s="6"/>
      <c r="J657" s="6"/>
      <c r="K657" s="21"/>
      <c r="L657" s="21" t="s">
        <v>1318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1382</v>
      </c>
      <c r="B658" s="2"/>
      <c r="C658" s="21">
        <v>8</v>
      </c>
      <c r="D658" s="23"/>
      <c r="E658" s="23"/>
      <c r="F658" s="23"/>
      <c r="G658" s="3" t="s">
        <v>1341</v>
      </c>
      <c r="H658" s="4"/>
      <c r="I658" s="4"/>
      <c r="J658" s="4"/>
      <c r="K658" s="5"/>
      <c r="L658" s="5" t="s">
        <v>1318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1383</v>
      </c>
      <c r="B659" s="2"/>
      <c r="C659" s="21">
        <v>2</v>
      </c>
      <c r="D659" s="23"/>
      <c r="E659" s="23"/>
      <c r="F659" s="77"/>
      <c r="G659" s="3" t="s">
        <v>829</v>
      </c>
      <c r="H659" s="4"/>
      <c r="I659" s="4"/>
      <c r="J659" s="4"/>
      <c r="K659" s="5"/>
      <c r="L659" s="5" t="s">
        <v>1318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1384</v>
      </c>
      <c r="B660" s="2"/>
      <c r="C660" s="21">
        <v>0.7</v>
      </c>
      <c r="D660" s="23"/>
      <c r="E660" s="23"/>
      <c r="F660" s="77"/>
      <c r="G660" s="3" t="s">
        <v>1341</v>
      </c>
      <c r="H660" s="4"/>
      <c r="I660" s="4"/>
      <c r="J660" s="4"/>
      <c r="K660" s="5"/>
      <c r="L660" s="5" t="s">
        <v>1318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1385</v>
      </c>
      <c r="B661" s="2"/>
      <c r="C661" s="21">
        <v>1</v>
      </c>
      <c r="D661" s="23"/>
      <c r="E661" s="23"/>
      <c r="F661" s="77"/>
      <c r="G661" s="3" t="s">
        <v>1353</v>
      </c>
      <c r="H661" s="6"/>
      <c r="I661" s="6"/>
      <c r="J661" s="6"/>
      <c r="K661" s="21"/>
      <c r="L661" s="21" t="s">
        <v>1371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1386</v>
      </c>
      <c r="B662" s="2"/>
      <c r="C662" s="21">
        <v>1</v>
      </c>
      <c r="D662" s="23"/>
      <c r="E662" s="23"/>
      <c r="F662" s="77"/>
      <c r="G662" s="3" t="s">
        <v>829</v>
      </c>
      <c r="H662" s="6"/>
      <c r="I662" s="6"/>
      <c r="J662" s="6"/>
      <c r="K662" s="21"/>
      <c r="L662" s="21" t="s">
        <v>1318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963</v>
      </c>
      <c r="B663" s="2"/>
      <c r="C663" s="21">
        <v>0.8</v>
      </c>
      <c r="D663" s="23"/>
      <c r="E663" s="23"/>
      <c r="F663" s="77"/>
      <c r="G663" s="3" t="s">
        <v>829</v>
      </c>
      <c r="H663" s="4"/>
      <c r="I663" s="4"/>
      <c r="J663" s="4"/>
      <c r="K663" s="5"/>
      <c r="L663" s="5" t="s">
        <v>1325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592</v>
      </c>
      <c r="B664" s="2" t="s">
        <v>1387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1388</v>
      </c>
      <c r="M664" s="4" t="s">
        <v>1336</v>
      </c>
      <c r="N664" s="4"/>
      <c r="O664" s="4"/>
      <c r="P664" s="4"/>
      <c r="Q664" s="24"/>
      <c r="R664" s="24" t="s">
        <v>90</v>
      </c>
      <c r="S664" s="6" t="s">
        <v>1389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1390</v>
      </c>
      <c r="B665" s="2"/>
      <c r="C665" s="21">
        <v>18</v>
      </c>
      <c r="D665" s="23"/>
      <c r="E665" s="23"/>
      <c r="F665" s="23"/>
      <c r="G665" s="3" t="s">
        <v>847</v>
      </c>
      <c r="H665" s="4"/>
      <c r="I665" s="6"/>
      <c r="J665" s="4"/>
      <c r="K665" s="5"/>
      <c r="L665" s="5" t="s">
        <v>1318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1391</v>
      </c>
      <c r="B666" s="2"/>
      <c r="C666" s="21">
        <v>1</v>
      </c>
      <c r="D666" s="23"/>
      <c r="E666" s="23"/>
      <c r="F666" s="23"/>
      <c r="G666" s="3" t="s">
        <v>1392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1393</v>
      </c>
      <c r="B667" s="2"/>
      <c r="C667" s="21">
        <v>7.75</v>
      </c>
      <c r="D667" s="23"/>
      <c r="E667" s="23"/>
      <c r="F667" s="23"/>
      <c r="G667" s="3" t="s">
        <v>1040</v>
      </c>
      <c r="H667" s="4"/>
      <c r="I667" s="6"/>
      <c r="J667" s="4"/>
      <c r="K667" s="5"/>
      <c r="L667" s="5" t="s">
        <v>1318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1394</v>
      </c>
      <c r="B668" s="2"/>
      <c r="C668" s="21">
        <v>2</v>
      </c>
      <c r="D668" s="23"/>
      <c r="E668" s="23"/>
      <c r="F668" s="23"/>
      <c r="G668" s="3" t="s">
        <v>1367</v>
      </c>
      <c r="H668" s="6"/>
      <c r="I668" s="6"/>
      <c r="J668" s="6"/>
      <c r="K668" s="21"/>
      <c r="L668" s="21" t="s">
        <v>1325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1395</v>
      </c>
      <c r="B669" s="2"/>
      <c r="C669" s="21">
        <v>5</v>
      </c>
      <c r="D669" s="23"/>
      <c r="E669" s="23"/>
      <c r="F669" s="23"/>
      <c r="G669" s="3" t="s">
        <v>1367</v>
      </c>
      <c r="H669" s="6"/>
      <c r="I669" s="6"/>
      <c r="J669" s="6"/>
      <c r="K669" s="21"/>
      <c r="L669" s="21" t="s">
        <v>1325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1396</v>
      </c>
      <c r="B670" s="2"/>
      <c r="C670" s="21">
        <v>1.9</v>
      </c>
      <c r="D670" s="23"/>
      <c r="E670" s="23"/>
      <c r="F670" s="23"/>
      <c r="G670" s="3" t="s">
        <v>1397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1398</v>
      </c>
      <c r="B671" s="2"/>
      <c r="C671" s="21">
        <v>3</v>
      </c>
      <c r="D671" s="23"/>
      <c r="E671" s="23"/>
      <c r="F671" s="23"/>
      <c r="G671" s="3" t="s">
        <v>1399</v>
      </c>
      <c r="H671" s="6"/>
      <c r="I671" s="6"/>
      <c r="J671" s="6"/>
      <c r="K671" s="21"/>
      <c r="L671" s="5" t="s">
        <v>1325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1400</v>
      </c>
      <c r="B672" s="2"/>
      <c r="C672" s="21">
        <v>5</v>
      </c>
      <c r="D672" s="23"/>
      <c r="E672" s="23"/>
      <c r="F672" s="23"/>
      <c r="G672" s="3" t="s">
        <v>1399</v>
      </c>
      <c r="H672" s="4"/>
      <c r="I672" s="6"/>
      <c r="J672" s="4"/>
      <c r="K672" s="5"/>
      <c r="L672" s="5" t="s">
        <v>1325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1401</v>
      </c>
      <c r="B673" s="2"/>
      <c r="C673" s="21">
        <v>15.88</v>
      </c>
      <c r="D673" s="23"/>
      <c r="E673" s="23"/>
      <c r="F673" s="23"/>
      <c r="G673" s="3" t="s">
        <v>847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1402</v>
      </c>
      <c r="B674" s="2"/>
      <c r="C674" s="21">
        <v>16</v>
      </c>
      <c r="D674" s="23"/>
      <c r="E674" s="23"/>
      <c r="F674" s="23"/>
      <c r="G674" s="3" t="s">
        <v>847</v>
      </c>
      <c r="H674" s="4"/>
      <c r="I674" s="6"/>
      <c r="J674" s="4"/>
      <c r="K674" s="5"/>
      <c r="L674" s="5" t="s">
        <v>1325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1403</v>
      </c>
      <c r="B675" s="2"/>
      <c r="C675" s="21">
        <v>10</v>
      </c>
      <c r="D675" s="23"/>
      <c r="E675" s="23"/>
      <c r="F675" s="23"/>
      <c r="G675" s="3" t="s">
        <v>829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1404</v>
      </c>
      <c r="B676" s="2"/>
      <c r="C676" s="21">
        <v>1.5</v>
      </c>
      <c r="D676" s="23"/>
      <c r="E676" s="23"/>
      <c r="F676" s="23"/>
      <c r="G676" s="3" t="s">
        <v>829</v>
      </c>
      <c r="H676" s="6"/>
      <c r="I676" s="6"/>
      <c r="J676" s="6"/>
      <c r="K676" s="21"/>
      <c r="L676" s="5" t="s">
        <v>1325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1405</v>
      </c>
      <c r="B677" s="2"/>
      <c r="C677" s="21">
        <v>2</v>
      </c>
      <c r="D677" s="23"/>
      <c r="E677" s="23"/>
      <c r="F677" s="23"/>
      <c r="G677" s="3" t="s">
        <v>829</v>
      </c>
      <c r="H677" s="6"/>
      <c r="I677" s="6"/>
      <c r="J677" s="6"/>
      <c r="K677" s="21"/>
      <c r="L677" s="21" t="s">
        <v>1325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1406</v>
      </c>
      <c r="B678" s="2"/>
      <c r="C678" s="21">
        <v>2</v>
      </c>
      <c r="D678" s="23"/>
      <c r="E678" s="23"/>
      <c r="F678" s="23"/>
      <c r="G678" s="3" t="s">
        <v>829</v>
      </c>
      <c r="H678" s="4"/>
      <c r="I678" s="6"/>
      <c r="J678" s="4"/>
      <c r="K678" s="5"/>
      <c r="L678" s="5" t="s">
        <v>1325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1407</v>
      </c>
      <c r="B679" s="2"/>
      <c r="C679" s="21">
        <v>2.5</v>
      </c>
      <c r="D679" s="23"/>
      <c r="E679" s="23"/>
      <c r="F679" s="23"/>
      <c r="G679" s="3" t="s">
        <v>1317</v>
      </c>
      <c r="H679" s="4"/>
      <c r="I679" s="4"/>
      <c r="J679" s="4"/>
      <c r="K679" s="5"/>
      <c r="L679" s="5" t="s">
        <v>1318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1408</v>
      </c>
      <c r="B680" s="2"/>
      <c r="C680" s="21">
        <v>3</v>
      </c>
      <c r="D680" s="23"/>
      <c r="E680" s="23"/>
      <c r="F680" s="23"/>
      <c r="G680" s="3" t="s">
        <v>1356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878</v>
      </c>
      <c r="B681" s="2"/>
      <c r="C681" s="21">
        <v>3</v>
      </c>
      <c r="D681" s="23"/>
      <c r="E681" s="23"/>
      <c r="F681" s="23"/>
      <c r="G681" s="3" t="s">
        <v>1356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1409</v>
      </c>
      <c r="B682" s="2"/>
      <c r="C682" s="21">
        <v>3</v>
      </c>
      <c r="D682" s="23"/>
      <c r="E682" s="23"/>
      <c r="F682" s="23"/>
      <c r="G682" s="3" t="s">
        <v>829</v>
      </c>
      <c r="H682" s="6"/>
      <c r="I682" s="6"/>
      <c r="J682" s="6"/>
      <c r="K682" s="21"/>
      <c r="L682" s="21" t="s">
        <v>1325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1410</v>
      </c>
      <c r="B683" s="2"/>
      <c r="C683" s="21">
        <v>3</v>
      </c>
      <c r="D683" s="23"/>
      <c r="E683" s="23"/>
      <c r="F683" s="23"/>
      <c r="G683" s="3" t="s">
        <v>1317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1411</v>
      </c>
      <c r="B684" s="2"/>
      <c r="C684" s="21">
        <v>3</v>
      </c>
      <c r="D684" s="23"/>
      <c r="E684" s="23"/>
      <c r="F684" s="23"/>
      <c r="G684" s="3" t="s">
        <v>1317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1412</v>
      </c>
      <c r="B685" s="2"/>
      <c r="C685" s="21">
        <v>4</v>
      </c>
      <c r="D685" s="23"/>
      <c r="E685" s="23"/>
      <c r="F685" s="23"/>
      <c r="G685" s="3" t="s">
        <v>1330</v>
      </c>
      <c r="H685" s="6"/>
      <c r="I685" s="6"/>
      <c r="J685" s="6"/>
      <c r="K685" s="21"/>
      <c r="L685" s="21" t="s">
        <v>1371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1413</v>
      </c>
      <c r="B686" s="2"/>
      <c r="C686" s="21">
        <v>4</v>
      </c>
      <c r="D686" s="23"/>
      <c r="E686" s="23"/>
      <c r="F686" s="23"/>
      <c r="G686" s="3" t="s">
        <v>829</v>
      </c>
      <c r="H686" s="6"/>
      <c r="I686" s="6"/>
      <c r="J686" s="6"/>
      <c r="K686" s="21"/>
      <c r="L686" s="21" t="s">
        <v>1318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1414</v>
      </c>
      <c r="B687" s="2"/>
      <c r="C687" s="21">
        <v>4</v>
      </c>
      <c r="D687" s="23"/>
      <c r="E687" s="23"/>
      <c r="F687" s="23"/>
      <c r="G687" s="3" t="s">
        <v>829</v>
      </c>
      <c r="H687" s="4"/>
      <c r="I687" s="4"/>
      <c r="J687" s="4"/>
      <c r="K687" s="5"/>
      <c r="L687" s="5" t="s">
        <v>1318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1415</v>
      </c>
      <c r="B688" s="2"/>
      <c r="C688" s="21">
        <v>4</v>
      </c>
      <c r="D688" s="23"/>
      <c r="E688" s="23"/>
      <c r="F688" s="23"/>
      <c r="G688" s="3" t="s">
        <v>829</v>
      </c>
      <c r="H688" s="4"/>
      <c r="I688" s="4"/>
      <c r="J688" s="4"/>
      <c r="K688" s="5"/>
      <c r="L688" s="5" t="s">
        <v>1318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1416</v>
      </c>
      <c r="B689" s="2"/>
      <c r="C689" s="21">
        <v>4</v>
      </c>
      <c r="D689" s="23"/>
      <c r="E689" s="23"/>
      <c r="F689" s="23"/>
      <c r="G689" s="3" t="s">
        <v>829</v>
      </c>
      <c r="H689" s="6"/>
      <c r="I689" s="6"/>
      <c r="J689" s="6"/>
      <c r="K689" s="21"/>
      <c r="L689" s="21" t="s">
        <v>1318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1417</v>
      </c>
      <c r="B690" s="2"/>
      <c r="C690" s="21">
        <v>4.75</v>
      </c>
      <c r="D690" s="23"/>
      <c r="E690" s="23"/>
      <c r="F690" s="23"/>
      <c r="G690" s="3" t="s">
        <v>829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1418</v>
      </c>
      <c r="B691" s="2"/>
      <c r="C691" s="21">
        <v>4.75</v>
      </c>
      <c r="D691" s="23"/>
      <c r="E691" s="23"/>
      <c r="F691" s="23"/>
      <c r="G691" s="3" t="s">
        <v>829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1419</v>
      </c>
      <c r="B692" s="2"/>
      <c r="C692" s="21">
        <v>4.75</v>
      </c>
      <c r="D692" s="23"/>
      <c r="E692" s="23"/>
      <c r="F692" s="23"/>
      <c r="G692" s="3" t="s">
        <v>829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1420</v>
      </c>
      <c r="B693" s="2"/>
      <c r="C693" s="21">
        <v>4.75</v>
      </c>
      <c r="D693" s="23"/>
      <c r="E693" s="23"/>
      <c r="F693" s="23"/>
      <c r="G693" s="3" t="s">
        <v>1341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1421</v>
      </c>
      <c r="B694" s="2"/>
      <c r="C694" s="21">
        <v>4.75</v>
      </c>
      <c r="D694" s="23"/>
      <c r="E694" s="23"/>
      <c r="F694" s="23"/>
      <c r="G694" s="3" t="s">
        <v>1317</v>
      </c>
      <c r="H694" s="6"/>
      <c r="I694" s="6"/>
      <c r="J694" s="6"/>
      <c r="K694" s="21"/>
      <c r="L694" s="21" t="s">
        <v>1318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1422</v>
      </c>
      <c r="B695" s="2"/>
      <c r="C695" s="21">
        <v>4.75</v>
      </c>
      <c r="D695" s="23"/>
      <c r="E695" s="23"/>
      <c r="F695" s="23"/>
      <c r="G695" s="3" t="s">
        <v>1317</v>
      </c>
      <c r="H695" s="6"/>
      <c r="I695" s="6"/>
      <c r="J695" s="6"/>
      <c r="K695" s="21"/>
      <c r="L695" s="21" t="s">
        <v>1318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1423</v>
      </c>
      <c r="B696" s="2"/>
      <c r="C696" s="21">
        <v>4.75</v>
      </c>
      <c r="D696" s="23"/>
      <c r="E696" s="23"/>
      <c r="F696" s="23"/>
      <c r="G696" s="3" t="s">
        <v>1317</v>
      </c>
      <c r="H696" s="6"/>
      <c r="I696" s="6"/>
      <c r="J696" s="6"/>
      <c r="K696" s="21"/>
      <c r="L696" s="21" t="s">
        <v>1318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1059</v>
      </c>
      <c r="B697" s="2"/>
      <c r="C697" s="21">
        <v>5</v>
      </c>
      <c r="D697" s="23"/>
      <c r="E697" s="23"/>
      <c r="F697" s="23"/>
      <c r="G697" s="3" t="s">
        <v>1424</v>
      </c>
      <c r="H697" s="6"/>
      <c r="I697" s="6"/>
      <c r="J697" s="6"/>
      <c r="K697" s="21"/>
      <c r="L697" s="21" t="s">
        <v>1318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1425</v>
      </c>
      <c r="B698" s="2"/>
      <c r="C698" s="21">
        <v>5.75</v>
      </c>
      <c r="D698" s="23"/>
      <c r="E698" s="23"/>
      <c r="F698" s="23"/>
      <c r="G698" s="3" t="s">
        <v>1348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1426</v>
      </c>
      <c r="B699" s="2"/>
      <c r="C699" s="21">
        <v>6</v>
      </c>
      <c r="D699" s="23"/>
      <c r="E699" s="23"/>
      <c r="F699" s="23"/>
      <c r="G699" s="3" t="s">
        <v>1424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1427</v>
      </c>
      <c r="B700" s="2"/>
      <c r="C700" s="21">
        <v>6</v>
      </c>
      <c r="D700" s="23"/>
      <c r="E700" s="23"/>
      <c r="F700" s="23"/>
      <c r="G700" s="3" t="s">
        <v>829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1428</v>
      </c>
      <c r="B701" s="2"/>
      <c r="C701" s="21">
        <v>6</v>
      </c>
      <c r="D701" s="23"/>
      <c r="E701" s="23"/>
      <c r="F701" s="23"/>
      <c r="G701" s="3" t="s">
        <v>829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1429</v>
      </c>
      <c r="B702" s="2"/>
      <c r="C702" s="21">
        <v>6.3</v>
      </c>
      <c r="D702" s="23"/>
      <c r="E702" s="23"/>
      <c r="F702" s="23"/>
      <c r="G702" s="3" t="s">
        <v>829</v>
      </c>
      <c r="H702" s="4"/>
      <c r="I702" s="4"/>
      <c r="J702" s="4"/>
      <c r="K702" s="5"/>
      <c r="L702" s="5" t="s">
        <v>1318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1430</v>
      </c>
      <c r="B703" s="2"/>
      <c r="C703" s="21">
        <v>8</v>
      </c>
      <c r="D703" s="23"/>
      <c r="E703" s="23"/>
      <c r="F703" s="23"/>
      <c r="G703" s="3" t="s">
        <v>829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1082</v>
      </c>
      <c r="B704" s="2"/>
      <c r="C704" s="21">
        <v>9.5</v>
      </c>
      <c r="D704" s="23"/>
      <c r="E704" s="23"/>
      <c r="F704" s="23"/>
      <c r="G704" s="3" t="s">
        <v>1329</v>
      </c>
      <c r="H704" s="6"/>
      <c r="I704" s="6"/>
      <c r="J704" s="6"/>
      <c r="K704" s="21"/>
      <c r="L704" s="21" t="s">
        <v>1325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1431</v>
      </c>
      <c r="B705" s="2"/>
      <c r="C705" s="21">
        <v>9.75</v>
      </c>
      <c r="D705" s="23"/>
      <c r="E705" s="23"/>
      <c r="F705" s="23"/>
      <c r="G705" s="3" t="s">
        <v>1362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1432</v>
      </c>
      <c r="B706" s="2"/>
      <c r="C706" s="21">
        <v>9.75</v>
      </c>
      <c r="D706" s="23"/>
      <c r="E706" s="23"/>
      <c r="F706" s="23"/>
      <c r="G706" s="3" t="s">
        <v>1362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1433</v>
      </c>
      <c r="B707" s="2"/>
      <c r="C707" s="21">
        <v>11.75</v>
      </c>
      <c r="D707" s="23"/>
      <c r="E707" s="23"/>
      <c r="F707" s="23"/>
      <c r="G707" s="3" t="s">
        <v>771</v>
      </c>
      <c r="H707" s="6"/>
      <c r="I707" s="6"/>
      <c r="J707" s="6"/>
      <c r="K707" s="21"/>
      <c r="L707" s="21" t="s">
        <v>1318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1434</v>
      </c>
      <c r="B708" s="2"/>
      <c r="C708" s="21">
        <v>12</v>
      </c>
      <c r="D708" s="23"/>
      <c r="E708" s="23"/>
      <c r="F708" s="23"/>
      <c r="G708" s="3" t="s">
        <v>847</v>
      </c>
      <c r="H708" s="6"/>
      <c r="I708" s="6"/>
      <c r="J708" s="6"/>
      <c r="K708" s="21"/>
      <c r="L708" s="21" t="s">
        <v>1314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1435</v>
      </c>
      <c r="B709" s="2"/>
      <c r="C709" s="21">
        <v>1.4</v>
      </c>
      <c r="D709" s="23"/>
      <c r="E709" s="23"/>
      <c r="F709" s="23"/>
      <c r="G709" s="3" t="s">
        <v>539</v>
      </c>
      <c r="H709" s="6"/>
      <c r="I709" s="6"/>
      <c r="J709" s="6"/>
      <c r="K709" s="21"/>
      <c r="L709" s="21" t="s">
        <v>1388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1436</v>
      </c>
      <c r="B710" s="2"/>
      <c r="C710" s="21">
        <v>1.4</v>
      </c>
      <c r="D710" s="23"/>
      <c r="E710" s="23"/>
      <c r="F710" s="23"/>
      <c r="G710" s="3" t="s">
        <v>539</v>
      </c>
      <c r="H710" s="6"/>
      <c r="I710" s="6"/>
      <c r="J710" s="6"/>
      <c r="K710" s="21"/>
      <c r="L710" s="21" t="s">
        <v>1388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1437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dimension ref="A1:AH120"/>
  <sheetViews>
    <sheetView showGridLines="0" tabSelected="1" zoomScale="55" zoomScaleNormal="55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W7" sqref="W7:W78"/>
    </sheetView>
  </sheetViews>
  <sheetFormatPr defaultRowHeight="15" customHeight="1" outlineLevelCol="1" x14ac:dyDescent="0.3"/>
  <cols>
    <col min="1" max="1" width="22.5546875" customWidth="1"/>
    <col min="2" max="2" width="44.44140625" customWidth="1"/>
    <col min="3" max="3" width="14.21875" customWidth="1"/>
    <col min="4" max="4" width="21.44140625" customWidth="1"/>
    <col min="5" max="5" width="17.44140625" customWidth="1"/>
    <col min="6" max="6" width="16.5546875" customWidth="1"/>
    <col min="7" max="7" width="2.44140625" customWidth="1"/>
    <col min="8" max="8" width="15.77734375" customWidth="1" outlineLevel="1"/>
    <col min="9" max="9" width="18.77734375" customWidth="1" outlineLevel="1"/>
    <col min="10" max="10" width="32.77734375" customWidth="1" outlineLevel="1"/>
    <col min="11" max="11" width="3" customWidth="1"/>
    <col min="12" max="12" width="23.77734375" hidden="1" customWidth="1" outlineLevel="1"/>
    <col min="13" max="13" width="30.5546875" hidden="1" customWidth="1" outlineLevel="1"/>
    <col min="14" max="14" width="3" customWidth="1" collapsed="1"/>
    <col min="15" max="15" width="22.44140625" hidden="1" customWidth="1" outlineLevel="1"/>
    <col min="16" max="16" width="27" hidden="1" customWidth="1" outlineLevel="1"/>
    <col min="17" max="17" width="3" customWidth="1" collapsed="1"/>
    <col min="18" max="18" width="20.77734375" customWidth="1" outlineLevel="1"/>
    <col min="19" max="19" width="22.5546875" customWidth="1" outlineLevel="1"/>
    <col min="20" max="20" width="25.5546875" customWidth="1" outlineLevel="1"/>
    <col min="21" max="21" width="34.44140625" customWidth="1" outlineLevel="1"/>
    <col min="22" max="22" width="3.5546875" customWidth="1"/>
    <col min="23" max="24" width="30.6640625" style="96" customWidth="1" outlineLevel="1"/>
    <col min="25" max="25" width="27.44140625" customWidth="1" outlineLevel="1"/>
    <col min="26" max="29" width="26.5546875" style="96" customWidth="1" outlineLevel="1"/>
    <col min="30" max="30" width="31.109375" style="96" customWidth="1" outlineLevel="1"/>
    <col min="31" max="32" width="32.5546875" style="96" customWidth="1" outlineLevel="1"/>
    <col min="34" max="34" width="21.44140625" hidden="1" customWidth="1"/>
  </cols>
  <sheetData>
    <row r="1" spans="1:34" thickBot="1" x14ac:dyDescent="0.35">
      <c r="AH1" t="s">
        <v>1453</v>
      </c>
    </row>
    <row r="2" spans="1:34" ht="14.85" customHeight="1" x14ac:dyDescent="0.3">
      <c r="A2" s="142" t="s">
        <v>1454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 x14ac:dyDescent="0.35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1455</v>
      </c>
    </row>
    <row r="4" spans="1:34" s="98" customFormat="1" ht="24" thickBot="1" x14ac:dyDescent="0.5">
      <c r="A4" s="151" t="s">
        <v>1456</v>
      </c>
      <c r="B4" s="152"/>
      <c r="C4" s="152"/>
      <c r="D4" s="152"/>
      <c r="E4" s="152"/>
      <c r="F4" s="153"/>
      <c r="G4" s="97"/>
      <c r="H4" s="154" t="s">
        <v>1457</v>
      </c>
      <c r="I4" s="155"/>
      <c r="J4" s="156"/>
      <c r="K4" s="97"/>
      <c r="L4" s="155" t="s">
        <v>1458</v>
      </c>
      <c r="M4" s="156"/>
      <c r="N4" s="97"/>
      <c r="O4" s="154" t="s">
        <v>1459</v>
      </c>
      <c r="P4" s="156"/>
      <c r="Q4" s="97"/>
      <c r="R4" s="154" t="s">
        <v>1460</v>
      </c>
      <c r="S4" s="157"/>
      <c r="T4" s="155"/>
      <c r="U4" s="156"/>
      <c r="V4" s="97"/>
      <c r="W4" s="158"/>
      <c r="X4" s="158" t="s">
        <v>1461</v>
      </c>
      <c r="Y4" s="159"/>
      <c r="Z4" s="159"/>
      <c r="AA4" s="159"/>
      <c r="AB4" s="159"/>
      <c r="AC4" s="159"/>
      <c r="AD4" s="159"/>
      <c r="AE4" s="159"/>
      <c r="AF4" s="160"/>
      <c r="AH4" t="s">
        <v>1462</v>
      </c>
    </row>
    <row r="5" spans="1:34" ht="78.45" customHeight="1" x14ac:dyDescent="0.3">
      <c r="A5" s="99" t="s">
        <v>1463</v>
      </c>
      <c r="B5" s="100" t="s">
        <v>1464</v>
      </c>
      <c r="C5" s="101" t="s">
        <v>1465</v>
      </c>
      <c r="D5" s="102" t="s">
        <v>1466</v>
      </c>
      <c r="E5" s="102" t="s">
        <v>1467</v>
      </c>
      <c r="F5" s="103" t="s">
        <v>1468</v>
      </c>
      <c r="H5" s="104" t="s">
        <v>1469</v>
      </c>
      <c r="I5" s="101" t="s">
        <v>1470</v>
      </c>
      <c r="J5" s="105" t="s">
        <v>1471</v>
      </c>
      <c r="L5" s="101" t="s">
        <v>1472</v>
      </c>
      <c r="M5" s="105" t="s">
        <v>1473</v>
      </c>
      <c r="O5" s="104" t="s">
        <v>1474</v>
      </c>
      <c r="P5" s="105" t="s">
        <v>1475</v>
      </c>
      <c r="R5" s="104" t="s">
        <v>1476</v>
      </c>
      <c r="S5" s="106" t="s">
        <v>1477</v>
      </c>
      <c r="T5" s="101" t="s">
        <v>1478</v>
      </c>
      <c r="U5" s="105" t="s">
        <v>1479</v>
      </c>
      <c r="W5" s="161" t="s">
        <v>1605</v>
      </c>
      <c r="X5" s="107" t="s">
        <v>1480</v>
      </c>
      <c r="Y5" s="107" t="s">
        <v>1481</v>
      </c>
      <c r="Z5" s="107" t="s">
        <v>1482</v>
      </c>
      <c r="AA5" s="107" t="s">
        <v>1483</v>
      </c>
      <c r="AB5" s="107" t="s">
        <v>1484</v>
      </c>
      <c r="AC5" s="107" t="s">
        <v>1485</v>
      </c>
      <c r="AD5" s="107" t="s">
        <v>1486</v>
      </c>
      <c r="AE5" s="107" t="s">
        <v>1487</v>
      </c>
      <c r="AF5" s="107" t="s">
        <v>1488</v>
      </c>
    </row>
    <row r="6" spans="1:34" ht="44.1" customHeight="1" x14ac:dyDescent="0.3">
      <c r="A6" s="108" t="s">
        <v>757</v>
      </c>
      <c r="B6" s="109" t="s">
        <v>1489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758</v>
      </c>
      <c r="J6" s="115" t="s">
        <v>758</v>
      </c>
      <c r="L6" s="114" t="s">
        <v>1490</v>
      </c>
      <c r="M6" s="116" t="s">
        <v>1491</v>
      </c>
      <c r="O6" s="108" t="s">
        <v>1339</v>
      </c>
      <c r="P6" s="117" t="s">
        <v>621</v>
      </c>
      <c r="R6" s="113">
        <v>1250</v>
      </c>
      <c r="S6" s="118" t="s">
        <v>621</v>
      </c>
      <c r="T6" s="113" t="s">
        <v>621</v>
      </c>
      <c r="U6" s="118" t="s">
        <v>621</v>
      </c>
      <c r="W6" s="119" t="s">
        <v>1606</v>
      </c>
      <c r="X6" s="119" t="s">
        <v>1453</v>
      </c>
      <c r="Y6" s="120">
        <v>45722</v>
      </c>
      <c r="Z6" s="120">
        <v>46118</v>
      </c>
      <c r="AA6" s="120">
        <v>46140</v>
      </c>
      <c r="AB6" s="119" t="s">
        <v>621</v>
      </c>
      <c r="AC6" s="119" t="s">
        <v>621</v>
      </c>
      <c r="AD6" s="120">
        <v>46203</v>
      </c>
      <c r="AE6" s="119" t="s">
        <v>1492</v>
      </c>
      <c r="AF6" s="119" t="s">
        <v>1493</v>
      </c>
    </row>
    <row r="7" spans="1:34" ht="44.1" customHeight="1" x14ac:dyDescent="0.3">
      <c r="A7" s="108" t="s">
        <v>767</v>
      </c>
      <c r="B7" s="109" t="s">
        <v>1494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758</v>
      </c>
      <c r="J7" s="115" t="s">
        <v>758</v>
      </c>
      <c r="L7" s="114" t="s">
        <v>1490</v>
      </c>
      <c r="M7" s="116" t="s">
        <v>1491</v>
      </c>
      <c r="O7" s="108" t="s">
        <v>1339</v>
      </c>
      <c r="P7" s="117" t="s">
        <v>621</v>
      </c>
      <c r="R7" s="113">
        <v>1250</v>
      </c>
      <c r="S7" s="118" t="s">
        <v>621</v>
      </c>
      <c r="T7" s="113" t="s">
        <v>621</v>
      </c>
      <c r="U7" s="118" t="s">
        <v>621</v>
      </c>
      <c r="W7" s="119" t="s">
        <v>1606</v>
      </c>
      <c r="X7" s="119" t="s">
        <v>1453</v>
      </c>
      <c r="Y7" s="120">
        <v>45722</v>
      </c>
      <c r="Z7" s="120">
        <v>46118</v>
      </c>
      <c r="AA7" s="120">
        <v>46140</v>
      </c>
      <c r="AB7" s="119" t="s">
        <v>621</v>
      </c>
      <c r="AC7" s="119" t="s">
        <v>621</v>
      </c>
      <c r="AD7" s="120">
        <v>46203</v>
      </c>
      <c r="AE7" s="119" t="s">
        <v>1492</v>
      </c>
      <c r="AF7" s="122" t="s">
        <v>1495</v>
      </c>
    </row>
    <row r="8" spans="1:34" ht="44.1" customHeight="1" x14ac:dyDescent="0.3">
      <c r="A8" s="108" t="s">
        <v>769</v>
      </c>
      <c r="B8" s="109" t="s">
        <v>1496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770</v>
      </c>
      <c r="J8" s="115" t="s">
        <v>782</v>
      </c>
      <c r="L8" s="114" t="s">
        <v>1497</v>
      </c>
      <c r="M8" s="116" t="s">
        <v>1491</v>
      </c>
      <c r="O8" s="108" t="s">
        <v>771</v>
      </c>
      <c r="P8" s="117" t="s">
        <v>621</v>
      </c>
      <c r="R8" s="113">
        <v>1050</v>
      </c>
      <c r="S8" s="118" t="s">
        <v>621</v>
      </c>
      <c r="T8" s="113" t="s">
        <v>621</v>
      </c>
      <c r="U8" s="118" t="s">
        <v>621</v>
      </c>
      <c r="W8" s="119" t="s">
        <v>1606</v>
      </c>
      <c r="X8" s="119" t="s">
        <v>1453</v>
      </c>
      <c r="Y8" s="120">
        <v>45722</v>
      </c>
      <c r="Z8" s="120">
        <v>46118</v>
      </c>
      <c r="AA8" s="120">
        <v>46140</v>
      </c>
      <c r="AB8" s="119" t="s">
        <v>621</v>
      </c>
      <c r="AC8" s="119" t="s">
        <v>621</v>
      </c>
      <c r="AD8" s="120">
        <v>46203</v>
      </c>
      <c r="AE8" s="119" t="s">
        <v>1492</v>
      </c>
      <c r="AF8" s="119" t="s">
        <v>1493</v>
      </c>
    </row>
    <row r="9" spans="1:34" ht="44.1" customHeight="1" x14ac:dyDescent="0.3">
      <c r="A9" s="108" t="s">
        <v>1108</v>
      </c>
      <c r="B9" s="112" t="s">
        <v>1498</v>
      </c>
      <c r="C9" s="108">
        <v>87.74</v>
      </c>
      <c r="D9" s="123">
        <v>168140.89131840027</v>
      </c>
      <c r="E9" s="108" t="s">
        <v>137</v>
      </c>
      <c r="F9" s="112" t="s">
        <v>1499</v>
      </c>
      <c r="H9" s="113">
        <f>MID(A9,4,4)/100</f>
        <v>1.8</v>
      </c>
      <c r="I9" s="124" t="s">
        <v>1109</v>
      </c>
      <c r="J9" s="125" t="s">
        <v>1500</v>
      </c>
      <c r="L9" s="126" t="s">
        <v>621</v>
      </c>
      <c r="M9" s="116" t="s">
        <v>621</v>
      </c>
      <c r="N9" s="50"/>
      <c r="O9" s="108" t="s">
        <v>621</v>
      </c>
      <c r="P9" s="117" t="s">
        <v>621</v>
      </c>
      <c r="Q9" s="50"/>
      <c r="R9" s="113" t="s">
        <v>621</v>
      </c>
      <c r="S9" s="118" t="s">
        <v>621</v>
      </c>
      <c r="T9" s="113" t="s">
        <v>621</v>
      </c>
      <c r="U9" s="118" t="s">
        <v>621</v>
      </c>
      <c r="W9" s="119" t="s">
        <v>1606</v>
      </c>
      <c r="X9" s="119" t="s">
        <v>1453</v>
      </c>
      <c r="Y9" s="120">
        <v>46093</v>
      </c>
      <c r="Z9" s="120">
        <v>46108</v>
      </c>
      <c r="AA9" s="120">
        <v>46155</v>
      </c>
      <c r="AB9" s="119" t="s">
        <v>1501</v>
      </c>
      <c r="AC9" s="119" t="s">
        <v>1501</v>
      </c>
      <c r="AD9" s="119" t="s">
        <v>621</v>
      </c>
      <c r="AE9" s="120">
        <v>46285</v>
      </c>
      <c r="AF9" s="127" t="s">
        <v>1502</v>
      </c>
    </row>
    <row r="10" spans="1:34" ht="44.1" customHeight="1" x14ac:dyDescent="0.3">
      <c r="A10" s="108" t="s">
        <v>1142</v>
      </c>
      <c r="B10" s="128" t="s">
        <v>1503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259</v>
      </c>
      <c r="H10" s="113">
        <f>MID(A10,4,4)/100</f>
        <v>1.4</v>
      </c>
      <c r="I10" s="124" t="s">
        <v>1143</v>
      </c>
      <c r="J10" s="117" t="s">
        <v>1504</v>
      </c>
      <c r="L10" s="126" t="s">
        <v>621</v>
      </c>
      <c r="M10" s="116" t="s">
        <v>621</v>
      </c>
      <c r="N10" s="50"/>
      <c r="O10" s="108" t="s">
        <v>621</v>
      </c>
      <c r="P10" s="117" t="s">
        <v>621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1606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" customHeight="1" x14ac:dyDescent="0.3">
      <c r="A11" s="108" t="s">
        <v>576</v>
      </c>
      <c r="B11" s="109" t="s">
        <v>783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782</v>
      </c>
      <c r="J11" s="118" t="s">
        <v>782</v>
      </c>
      <c r="L11" s="130" t="s">
        <v>621</v>
      </c>
      <c r="M11" s="116" t="s">
        <v>621</v>
      </c>
      <c r="O11" s="108" t="s">
        <v>621</v>
      </c>
      <c r="P11" s="117" t="s">
        <v>621</v>
      </c>
      <c r="R11" s="108">
        <v>1200</v>
      </c>
      <c r="S11" s="131" t="s">
        <v>1505</v>
      </c>
      <c r="T11" s="108" t="s">
        <v>1506</v>
      </c>
      <c r="U11" s="131" t="s">
        <v>1507</v>
      </c>
      <c r="W11" s="119" t="s">
        <v>1606</v>
      </c>
      <c r="X11" s="119" t="s">
        <v>1462</v>
      </c>
      <c r="Y11" s="119" t="s">
        <v>621</v>
      </c>
      <c r="Z11" s="119" t="s">
        <v>621</v>
      </c>
      <c r="AA11" s="119" t="s">
        <v>621</v>
      </c>
      <c r="AB11" s="119" t="s">
        <v>621</v>
      </c>
      <c r="AC11" s="119" t="s">
        <v>621</v>
      </c>
      <c r="AD11" s="119" t="s">
        <v>621</v>
      </c>
      <c r="AE11" s="119" t="s">
        <v>621</v>
      </c>
      <c r="AF11" s="119"/>
    </row>
    <row r="12" spans="1:34" ht="44.1" customHeight="1" x14ac:dyDescent="0.3">
      <c r="A12" s="108" t="s">
        <v>787</v>
      </c>
      <c r="B12" s="109" t="s">
        <v>771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782</v>
      </c>
      <c r="J12" s="118" t="s">
        <v>782</v>
      </c>
      <c r="L12" s="130" t="s">
        <v>1497</v>
      </c>
      <c r="M12" s="116" t="s">
        <v>1508</v>
      </c>
      <c r="O12" s="108" t="s">
        <v>621</v>
      </c>
      <c r="P12" s="117" t="s">
        <v>621</v>
      </c>
      <c r="R12" s="108">
        <v>1050</v>
      </c>
      <c r="S12" s="118" t="s">
        <v>621</v>
      </c>
      <c r="T12" s="113" t="s">
        <v>621</v>
      </c>
      <c r="U12" s="118" t="s">
        <v>621</v>
      </c>
      <c r="W12" s="108" t="s">
        <v>1606</v>
      </c>
      <c r="X12" s="108" t="s">
        <v>1453</v>
      </c>
      <c r="Y12" s="132">
        <v>46136</v>
      </c>
      <c r="Z12" s="132">
        <v>46166</v>
      </c>
      <c r="AA12" s="132"/>
      <c r="AB12" s="108" t="s">
        <v>621</v>
      </c>
      <c r="AC12" s="108" t="s">
        <v>621</v>
      </c>
      <c r="AD12" s="108"/>
      <c r="AE12" s="108"/>
      <c r="AF12" s="108"/>
    </row>
    <row r="13" spans="1:34" ht="44.1" customHeight="1" x14ac:dyDescent="0.3">
      <c r="A13" s="108" t="s">
        <v>798</v>
      </c>
      <c r="B13" s="109" t="s">
        <v>1509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758</v>
      </c>
      <c r="J13" s="115" t="s">
        <v>782</v>
      </c>
      <c r="L13" s="130" t="s">
        <v>1490</v>
      </c>
      <c r="M13" s="116" t="s">
        <v>1491</v>
      </c>
      <c r="O13" s="108" t="s">
        <v>1339</v>
      </c>
      <c r="P13" s="117" t="s">
        <v>621</v>
      </c>
      <c r="R13" s="113">
        <v>1250</v>
      </c>
      <c r="S13" s="118" t="s">
        <v>621</v>
      </c>
      <c r="T13" s="113" t="s">
        <v>621</v>
      </c>
      <c r="U13" s="118" t="s">
        <v>621</v>
      </c>
      <c r="W13" s="108" t="s">
        <v>1606</v>
      </c>
      <c r="X13" s="108" t="s">
        <v>1453</v>
      </c>
      <c r="Y13" s="132">
        <v>46136</v>
      </c>
      <c r="Z13" s="132">
        <v>46166</v>
      </c>
      <c r="AA13" s="132"/>
      <c r="AB13" s="108" t="s">
        <v>621</v>
      </c>
      <c r="AC13" s="108" t="s">
        <v>621</v>
      </c>
      <c r="AD13" s="108"/>
      <c r="AE13" s="108"/>
      <c r="AF13" s="108"/>
    </row>
    <row r="14" spans="1:34" ht="44.1" customHeight="1" x14ac:dyDescent="0.3">
      <c r="A14" s="108" t="s">
        <v>1119</v>
      </c>
      <c r="B14" s="112" t="s">
        <v>1510</v>
      </c>
      <c r="C14" s="108">
        <v>59.67</v>
      </c>
      <c r="D14" s="123">
        <v>113701.83224399976</v>
      </c>
      <c r="E14" s="108" t="s">
        <v>137</v>
      </c>
      <c r="F14" s="112" t="s">
        <v>1499</v>
      </c>
      <c r="H14" s="113">
        <f>MID(A14,4,4)/100</f>
        <v>1.8</v>
      </c>
      <c r="I14" s="124" t="s">
        <v>1120</v>
      </c>
      <c r="J14" s="125" t="s">
        <v>1500</v>
      </c>
      <c r="L14" s="126" t="s">
        <v>621</v>
      </c>
      <c r="M14" s="116" t="s">
        <v>621</v>
      </c>
      <c r="N14" s="50"/>
      <c r="O14" s="108" t="s">
        <v>621</v>
      </c>
      <c r="P14" s="117" t="s">
        <v>621</v>
      </c>
      <c r="Q14" s="50"/>
      <c r="R14" s="113" t="s">
        <v>621</v>
      </c>
      <c r="S14" s="118" t="s">
        <v>621</v>
      </c>
      <c r="T14" s="113" t="s">
        <v>621</v>
      </c>
      <c r="U14" s="118" t="s">
        <v>621</v>
      </c>
      <c r="W14" s="119" t="s">
        <v>1606</v>
      </c>
      <c r="X14" s="119" t="s">
        <v>1453</v>
      </c>
      <c r="Y14" s="120">
        <v>46093</v>
      </c>
      <c r="Z14" s="120">
        <v>46108</v>
      </c>
      <c r="AA14" s="120">
        <v>46155</v>
      </c>
      <c r="AB14" s="119" t="s">
        <v>1501</v>
      </c>
      <c r="AC14" s="119" t="s">
        <v>1501</v>
      </c>
      <c r="AD14" s="119"/>
      <c r="AE14" s="120">
        <v>46285</v>
      </c>
      <c r="AF14" s="127" t="s">
        <v>1502</v>
      </c>
    </row>
    <row r="15" spans="1:34" ht="44.1" customHeight="1" x14ac:dyDescent="0.3">
      <c r="A15" s="108" t="s">
        <v>1129</v>
      </c>
      <c r="B15" s="128" t="s">
        <v>1511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850</v>
      </c>
      <c r="H15" s="113">
        <f>MID(A15,4,4)/100</f>
        <v>1.4</v>
      </c>
      <c r="I15" s="124" t="s">
        <v>1130</v>
      </c>
      <c r="J15" s="117" t="s">
        <v>1512</v>
      </c>
      <c r="L15" s="126" t="s">
        <v>621</v>
      </c>
      <c r="M15" s="116" t="s">
        <v>621</v>
      </c>
      <c r="N15" s="50"/>
      <c r="O15" s="108" t="s">
        <v>621</v>
      </c>
      <c r="P15" s="117" t="s">
        <v>621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1606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" customHeight="1" x14ac:dyDescent="0.3">
      <c r="A16" s="108" t="s">
        <v>1147</v>
      </c>
      <c r="B16" s="112" t="s">
        <v>1513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1499</v>
      </c>
      <c r="H16" s="113">
        <f>MID(A16,4,4)/100</f>
        <v>1.8</v>
      </c>
      <c r="I16" s="124" t="s">
        <v>1120</v>
      </c>
      <c r="J16" s="125" t="s">
        <v>1514</v>
      </c>
      <c r="L16" s="126" t="s">
        <v>621</v>
      </c>
      <c r="M16" s="116" t="s">
        <v>621</v>
      </c>
      <c r="N16" s="50"/>
      <c r="O16" s="108" t="s">
        <v>621</v>
      </c>
      <c r="P16" s="117" t="s">
        <v>621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1606</v>
      </c>
      <c r="X16" s="119" t="s">
        <v>1453</v>
      </c>
      <c r="Y16" s="120">
        <v>46093</v>
      </c>
      <c r="Z16" s="120">
        <v>46108</v>
      </c>
      <c r="AA16" s="120">
        <v>46155</v>
      </c>
      <c r="AB16" s="119" t="s">
        <v>1501</v>
      </c>
      <c r="AC16" s="119" t="s">
        <v>1501</v>
      </c>
      <c r="AD16" s="119"/>
      <c r="AE16" s="120">
        <v>46285</v>
      </c>
      <c r="AF16" s="127" t="s">
        <v>1502</v>
      </c>
    </row>
    <row r="17" spans="1:32" ht="44.1" customHeight="1" x14ac:dyDescent="0.3">
      <c r="A17" s="108" t="s">
        <v>803</v>
      </c>
      <c r="B17" s="109" t="s">
        <v>680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804</v>
      </c>
      <c r="J17" s="118" t="s">
        <v>782</v>
      </c>
      <c r="L17" s="130" t="s">
        <v>1515</v>
      </c>
      <c r="M17" s="116" t="s">
        <v>1508</v>
      </c>
      <c r="O17" s="108" t="s">
        <v>621</v>
      </c>
      <c r="P17" s="117" t="s">
        <v>621</v>
      </c>
      <c r="R17" s="113" t="s">
        <v>621</v>
      </c>
      <c r="S17" s="118" t="s">
        <v>621</v>
      </c>
      <c r="T17" s="113" t="s">
        <v>621</v>
      </c>
      <c r="U17" s="118" t="s">
        <v>621</v>
      </c>
      <c r="W17" s="108" t="s">
        <v>1606</v>
      </c>
      <c r="X17" s="108" t="s">
        <v>1453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" customHeight="1" x14ac:dyDescent="0.3">
      <c r="A18" s="108" t="s">
        <v>810</v>
      </c>
      <c r="B18" s="109" t="s">
        <v>811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621</v>
      </c>
      <c r="J18" s="118" t="s">
        <v>621</v>
      </c>
      <c r="L18" s="130" t="s">
        <v>621</v>
      </c>
      <c r="M18" s="116" t="s">
        <v>621</v>
      </c>
      <c r="O18" s="108" t="s">
        <v>621</v>
      </c>
      <c r="P18" s="117" t="s">
        <v>621</v>
      </c>
      <c r="R18" s="108">
        <v>1500</v>
      </c>
      <c r="S18" s="118" t="s">
        <v>621</v>
      </c>
      <c r="T18" s="133" t="s">
        <v>1516</v>
      </c>
      <c r="U18" s="131" t="s">
        <v>1517</v>
      </c>
      <c r="W18" s="119" t="s">
        <v>1606</v>
      </c>
      <c r="X18" s="119" t="s">
        <v>1462</v>
      </c>
      <c r="Y18" s="119" t="s">
        <v>621</v>
      </c>
      <c r="Z18" s="119" t="s">
        <v>621</v>
      </c>
      <c r="AA18" s="119" t="s">
        <v>621</v>
      </c>
      <c r="AB18" s="119" t="s">
        <v>621</v>
      </c>
      <c r="AC18" s="119" t="s">
        <v>621</v>
      </c>
      <c r="AD18" s="119"/>
      <c r="AE18" s="119" t="s">
        <v>621</v>
      </c>
      <c r="AF18" s="119"/>
    </row>
    <row r="19" spans="1:32" ht="44.1" customHeight="1" x14ac:dyDescent="0.3">
      <c r="A19" s="108" t="s">
        <v>815</v>
      </c>
      <c r="B19" s="109" t="s">
        <v>811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816</v>
      </c>
      <c r="J19" s="117" t="s">
        <v>621</v>
      </c>
      <c r="L19" s="130" t="s">
        <v>1490</v>
      </c>
      <c r="M19" s="116" t="s">
        <v>621</v>
      </c>
      <c r="O19" s="108" t="s">
        <v>621</v>
      </c>
      <c r="P19" s="117" t="s">
        <v>621</v>
      </c>
      <c r="R19" s="113">
        <v>1500</v>
      </c>
      <c r="S19" s="118" t="s">
        <v>621</v>
      </c>
      <c r="T19" s="113" t="s">
        <v>1518</v>
      </c>
      <c r="U19" s="131" t="s">
        <v>1519</v>
      </c>
      <c r="W19" s="119" t="s">
        <v>1606</v>
      </c>
      <c r="X19" s="119" t="s">
        <v>1462</v>
      </c>
      <c r="Y19" s="119" t="s">
        <v>621</v>
      </c>
      <c r="Z19" s="119" t="s">
        <v>621</v>
      </c>
      <c r="AA19" s="119" t="s">
        <v>621</v>
      </c>
      <c r="AB19" s="119" t="s">
        <v>621</v>
      </c>
      <c r="AC19" s="119" t="s">
        <v>621</v>
      </c>
      <c r="AD19" s="119"/>
      <c r="AE19" s="119" t="s">
        <v>621</v>
      </c>
      <c r="AF19" s="119"/>
    </row>
    <row r="20" spans="1:32" ht="44.1" customHeight="1" x14ac:dyDescent="0.3">
      <c r="A20" s="108" t="s">
        <v>815</v>
      </c>
      <c r="B20" s="109" t="s">
        <v>811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816</v>
      </c>
      <c r="J20" s="118" t="s">
        <v>1520</v>
      </c>
      <c r="L20" s="130" t="s">
        <v>1490</v>
      </c>
      <c r="M20" s="116" t="s">
        <v>1491</v>
      </c>
      <c r="O20" s="108" t="s">
        <v>621</v>
      </c>
      <c r="P20" s="117" t="s">
        <v>621</v>
      </c>
      <c r="R20" s="113">
        <v>1500</v>
      </c>
      <c r="S20" s="118" t="s">
        <v>621</v>
      </c>
      <c r="T20" s="113" t="s">
        <v>621</v>
      </c>
      <c r="U20" s="118" t="s">
        <v>621</v>
      </c>
      <c r="W20" s="108" t="s">
        <v>1606</v>
      </c>
      <c r="X20" s="108" t="s">
        <v>1453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" customHeight="1" x14ac:dyDescent="0.3">
      <c r="A21" s="108" t="s">
        <v>1101</v>
      </c>
      <c r="B21" s="109" t="s">
        <v>1521</v>
      </c>
      <c r="C21" s="129">
        <v>171.51</v>
      </c>
      <c r="D21" s="123">
        <v>96985.81</v>
      </c>
      <c r="E21" s="108" t="s">
        <v>137</v>
      </c>
      <c r="F21" s="112" t="s">
        <v>1499</v>
      </c>
      <c r="H21" s="113">
        <v>1</v>
      </c>
      <c r="I21" s="113" t="s">
        <v>621</v>
      </c>
      <c r="J21" s="118" t="s">
        <v>621</v>
      </c>
      <c r="L21" s="126" t="s">
        <v>621</v>
      </c>
      <c r="M21" s="116" t="s">
        <v>621</v>
      </c>
      <c r="O21" s="126" t="s">
        <v>621</v>
      </c>
      <c r="P21" s="116" t="s">
        <v>621</v>
      </c>
      <c r="R21" s="113">
        <v>1350</v>
      </c>
      <c r="S21" s="118">
        <v>1340</v>
      </c>
      <c r="T21" s="113">
        <v>315</v>
      </c>
      <c r="U21" s="118" t="s">
        <v>621</v>
      </c>
      <c r="W21" s="108" t="s">
        <v>1606</v>
      </c>
      <c r="X21" s="108" t="s">
        <v>1453</v>
      </c>
      <c r="Y21" s="132">
        <v>46093</v>
      </c>
      <c r="Z21" s="108"/>
      <c r="AA21" s="108"/>
      <c r="AB21" s="108"/>
      <c r="AC21" s="108"/>
      <c r="AD21" s="108"/>
      <c r="AE21" s="108"/>
      <c r="AF21" s="108"/>
    </row>
    <row r="22" spans="1:32" ht="44.1" customHeight="1" x14ac:dyDescent="0.3">
      <c r="A22" s="108" t="s">
        <v>1136</v>
      </c>
      <c r="B22" s="109" t="s">
        <v>1522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1499</v>
      </c>
      <c r="H22" s="113">
        <v>1.2</v>
      </c>
      <c r="I22" s="124" t="s">
        <v>1114</v>
      </c>
      <c r="J22" s="135" t="s">
        <v>1523</v>
      </c>
      <c r="L22" s="130" t="s">
        <v>1524</v>
      </c>
      <c r="M22" s="116" t="s">
        <v>1525</v>
      </c>
      <c r="O22" s="108" t="s">
        <v>621</v>
      </c>
      <c r="P22" s="117" t="s">
        <v>621</v>
      </c>
      <c r="R22" s="113" t="s">
        <v>621</v>
      </c>
      <c r="S22" s="118" t="s">
        <v>621</v>
      </c>
      <c r="T22" s="113" t="s">
        <v>621</v>
      </c>
      <c r="U22" s="118" t="s">
        <v>621</v>
      </c>
      <c r="W22" s="108" t="s">
        <v>1606</v>
      </c>
      <c r="X22" s="108" t="s">
        <v>1453</v>
      </c>
      <c r="Y22" s="132">
        <v>46184</v>
      </c>
      <c r="Z22" s="132">
        <v>46214</v>
      </c>
      <c r="AA22" s="132"/>
      <c r="AB22" s="108"/>
      <c r="AC22" s="108"/>
      <c r="AD22" s="108"/>
      <c r="AE22" s="108"/>
      <c r="AF22" s="112" t="s">
        <v>1526</v>
      </c>
    </row>
    <row r="23" spans="1:32" ht="44.1" customHeight="1" x14ac:dyDescent="0.3">
      <c r="A23" s="108" t="s">
        <v>1144</v>
      </c>
      <c r="B23" s="136" t="s">
        <v>1527</v>
      </c>
      <c r="C23" s="108">
        <v>24.12</v>
      </c>
      <c r="D23" s="123">
        <v>80839.72780537518</v>
      </c>
      <c r="E23" s="108" t="s">
        <v>137</v>
      </c>
      <c r="F23" s="112" t="s">
        <v>1499</v>
      </c>
      <c r="H23" s="113">
        <f>MID(A23,4,4)/100</f>
        <v>0.7</v>
      </c>
      <c r="I23" s="124" t="s">
        <v>1145</v>
      </c>
      <c r="J23" s="135" t="s">
        <v>1528</v>
      </c>
      <c r="L23" s="126" t="s">
        <v>621</v>
      </c>
      <c r="M23" s="116" t="s">
        <v>621</v>
      </c>
      <c r="N23" s="50"/>
      <c r="O23" s="108" t="s">
        <v>621</v>
      </c>
      <c r="P23" s="117" t="s">
        <v>621</v>
      </c>
      <c r="Q23" s="50"/>
      <c r="R23" s="113" t="s">
        <v>621</v>
      </c>
      <c r="S23" s="118" t="s">
        <v>621</v>
      </c>
      <c r="T23" s="113" t="s">
        <v>621</v>
      </c>
      <c r="U23" s="118" t="s">
        <v>621</v>
      </c>
      <c r="W23" s="108" t="s">
        <v>1606</v>
      </c>
      <c r="X23" s="108" t="s">
        <v>1453</v>
      </c>
      <c r="Y23" s="132">
        <v>46184</v>
      </c>
      <c r="Z23" s="132">
        <v>46214</v>
      </c>
      <c r="AA23" s="132"/>
      <c r="AB23" s="108"/>
      <c r="AC23" s="108"/>
      <c r="AD23" s="108"/>
      <c r="AE23" s="108"/>
      <c r="AF23" s="112" t="s">
        <v>1526</v>
      </c>
    </row>
    <row r="24" spans="1:32" ht="44.1" customHeight="1" x14ac:dyDescent="0.3">
      <c r="A24" s="108" t="s">
        <v>1122</v>
      </c>
      <c r="B24" s="136" t="s">
        <v>1529</v>
      </c>
      <c r="C24" s="108">
        <v>58.78</v>
      </c>
      <c r="D24" s="123">
        <v>77871.275812968932</v>
      </c>
      <c r="E24" s="108" t="s">
        <v>137</v>
      </c>
      <c r="F24" s="112" t="s">
        <v>1499</v>
      </c>
      <c r="H24" s="113">
        <f>MID(A24,4,4)/100</f>
        <v>1.5</v>
      </c>
      <c r="I24" s="124" t="s">
        <v>1109</v>
      </c>
      <c r="J24" s="125" t="s">
        <v>1530</v>
      </c>
      <c r="L24" s="126" t="s">
        <v>621</v>
      </c>
      <c r="M24" s="116" t="s">
        <v>621</v>
      </c>
      <c r="N24" s="50"/>
      <c r="O24" s="108" t="s">
        <v>621</v>
      </c>
      <c r="P24" s="117" t="s">
        <v>621</v>
      </c>
      <c r="Q24" s="50"/>
      <c r="R24" s="108" t="s">
        <v>621</v>
      </c>
      <c r="S24" s="117" t="s">
        <v>621</v>
      </c>
      <c r="T24" s="108" t="s">
        <v>621</v>
      </c>
      <c r="U24" s="117" t="s">
        <v>621</v>
      </c>
      <c r="W24" s="119" t="s">
        <v>1606</v>
      </c>
      <c r="X24" s="119" t="s">
        <v>1453</v>
      </c>
      <c r="Y24" s="120">
        <v>46093</v>
      </c>
      <c r="Z24" s="120">
        <v>46108</v>
      </c>
      <c r="AA24" s="120">
        <v>46155</v>
      </c>
      <c r="AB24" s="119" t="s">
        <v>1501</v>
      </c>
      <c r="AC24" s="119" t="s">
        <v>1501</v>
      </c>
      <c r="AD24" s="119"/>
      <c r="AE24" s="120">
        <v>46285</v>
      </c>
      <c r="AF24" s="127" t="s">
        <v>1502</v>
      </c>
    </row>
    <row r="25" spans="1:32" ht="44.1" customHeight="1" x14ac:dyDescent="0.3">
      <c r="A25" s="108" t="s">
        <v>1152</v>
      </c>
      <c r="B25" s="136" t="s">
        <v>1531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1499</v>
      </c>
      <c r="H25" s="113">
        <f>MID(A25,4,4)/100</f>
        <v>1.2</v>
      </c>
      <c r="I25" s="124" t="s">
        <v>1145</v>
      </c>
      <c r="J25" s="135" t="s">
        <v>1532</v>
      </c>
      <c r="L25" s="126" t="s">
        <v>1524</v>
      </c>
      <c r="M25" s="116" t="s">
        <v>1525</v>
      </c>
      <c r="N25" s="50"/>
      <c r="O25" s="108" t="s">
        <v>621</v>
      </c>
      <c r="P25" s="117" t="s">
        <v>621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1606</v>
      </c>
      <c r="X25" s="108" t="s">
        <v>1453</v>
      </c>
      <c r="Y25" s="132">
        <v>46184</v>
      </c>
      <c r="Z25" s="132">
        <v>46214</v>
      </c>
      <c r="AA25" s="108"/>
      <c r="AB25" s="108"/>
      <c r="AC25" s="108"/>
      <c r="AD25" s="108"/>
      <c r="AE25" s="108"/>
      <c r="AF25" s="112" t="s">
        <v>1526</v>
      </c>
    </row>
    <row r="26" spans="1:32" ht="44.1" customHeight="1" x14ac:dyDescent="0.3">
      <c r="A26" s="108" t="s">
        <v>1154</v>
      </c>
      <c r="B26" s="136" t="s">
        <v>1533</v>
      </c>
      <c r="C26" s="108">
        <v>19.170000000000002</v>
      </c>
      <c r="D26" s="123">
        <v>43204.421619449888</v>
      </c>
      <c r="E26" s="108" t="s">
        <v>137</v>
      </c>
      <c r="F26" s="112" t="s">
        <v>1499</v>
      </c>
      <c r="H26" s="113">
        <f>MID(A26,4,4)/100</f>
        <v>0.7</v>
      </c>
      <c r="I26" s="124" t="s">
        <v>1145</v>
      </c>
      <c r="J26" s="135" t="s">
        <v>1528</v>
      </c>
      <c r="L26" s="126" t="s">
        <v>621</v>
      </c>
      <c r="M26" s="116" t="s">
        <v>621</v>
      </c>
      <c r="N26" s="50"/>
      <c r="O26" s="108" t="s">
        <v>621</v>
      </c>
      <c r="P26" s="117" t="s">
        <v>621</v>
      </c>
      <c r="Q26" s="50"/>
      <c r="R26" s="113" t="s">
        <v>621</v>
      </c>
      <c r="S26" s="118" t="s">
        <v>621</v>
      </c>
      <c r="T26" s="113" t="s">
        <v>621</v>
      </c>
      <c r="U26" s="118" t="s">
        <v>621</v>
      </c>
      <c r="W26" s="108" t="s">
        <v>1606</v>
      </c>
      <c r="X26" s="108" t="s">
        <v>1453</v>
      </c>
      <c r="Y26" s="132">
        <v>46184</v>
      </c>
      <c r="Z26" s="132">
        <v>46214</v>
      </c>
      <c r="AA26" s="108"/>
      <c r="AB26" s="108"/>
      <c r="AC26" s="108"/>
      <c r="AD26" s="108"/>
      <c r="AE26" s="108"/>
      <c r="AF26" s="112" t="s">
        <v>1526</v>
      </c>
    </row>
    <row r="27" spans="1:32" ht="44.1" customHeight="1" x14ac:dyDescent="0.3">
      <c r="A27" s="108" t="s">
        <v>1149</v>
      </c>
      <c r="B27" s="136" t="s">
        <v>1534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1499</v>
      </c>
      <c r="H27" s="113">
        <f>MID(A27,4,4)/100</f>
        <v>1.2</v>
      </c>
      <c r="I27" s="124" t="s">
        <v>1145</v>
      </c>
      <c r="J27" s="125" t="s">
        <v>1535</v>
      </c>
      <c r="L27" s="126" t="s">
        <v>1524</v>
      </c>
      <c r="M27" s="116" t="s">
        <v>1525</v>
      </c>
      <c r="N27" s="50"/>
      <c r="O27" s="108" t="s">
        <v>621</v>
      </c>
      <c r="P27" s="117" t="s">
        <v>621</v>
      </c>
      <c r="Q27" s="50"/>
      <c r="R27" s="113" t="s">
        <v>621</v>
      </c>
      <c r="S27" s="118" t="s">
        <v>621</v>
      </c>
      <c r="T27" s="113" t="s">
        <v>621</v>
      </c>
      <c r="U27" s="118" t="s">
        <v>621</v>
      </c>
      <c r="W27" s="119" t="s">
        <v>1606</v>
      </c>
      <c r="X27" s="119" t="s">
        <v>1453</v>
      </c>
      <c r="Y27" s="120">
        <v>46093</v>
      </c>
      <c r="Z27" s="120">
        <v>46108</v>
      </c>
      <c r="AA27" s="120">
        <v>46155</v>
      </c>
      <c r="AB27" s="119" t="s">
        <v>1501</v>
      </c>
      <c r="AC27" s="119" t="s">
        <v>1501</v>
      </c>
      <c r="AD27" s="119"/>
      <c r="AE27" s="120">
        <v>46285</v>
      </c>
      <c r="AF27" s="127" t="s">
        <v>1502</v>
      </c>
    </row>
    <row r="28" spans="1:32" ht="44.1" customHeight="1" x14ac:dyDescent="0.3">
      <c r="A28" s="108" t="s">
        <v>1159</v>
      </c>
      <c r="B28" s="109" t="s">
        <v>1140</v>
      </c>
      <c r="C28" s="110">
        <v>16.028320000000001</v>
      </c>
      <c r="D28" s="123">
        <v>42227.410696379688</v>
      </c>
      <c r="E28" s="108" t="s">
        <v>137</v>
      </c>
      <c r="F28" s="112" t="s">
        <v>1499</v>
      </c>
      <c r="H28" s="113">
        <v>0.65</v>
      </c>
      <c r="I28" s="124" t="s">
        <v>101</v>
      </c>
      <c r="J28" s="135" t="s">
        <v>1536</v>
      </c>
      <c r="L28" s="126" t="s">
        <v>621</v>
      </c>
      <c r="M28" s="116" t="s">
        <v>621</v>
      </c>
      <c r="O28" s="126" t="s">
        <v>621</v>
      </c>
      <c r="P28" s="116" t="s">
        <v>621</v>
      </c>
      <c r="R28" s="113" t="s">
        <v>621</v>
      </c>
      <c r="S28" s="118" t="s">
        <v>621</v>
      </c>
      <c r="T28" s="113" t="s">
        <v>621</v>
      </c>
      <c r="U28" s="118" t="s">
        <v>621</v>
      </c>
      <c r="W28" s="108" t="s">
        <v>1606</v>
      </c>
      <c r="X28" s="108" t="s">
        <v>1453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1526</v>
      </c>
    </row>
    <row r="29" spans="1:32" ht="44.1" customHeight="1" x14ac:dyDescent="0.3">
      <c r="A29" s="108" t="s">
        <v>1139</v>
      </c>
      <c r="B29" s="109" t="s">
        <v>1140</v>
      </c>
      <c r="C29" s="129">
        <v>35.130000000000003</v>
      </c>
      <c r="D29" s="123">
        <v>35917.449999999997</v>
      </c>
      <c r="E29" s="108" t="s">
        <v>137</v>
      </c>
      <c r="F29" s="112" t="s">
        <v>1499</v>
      </c>
      <c r="H29" s="113">
        <v>0.7</v>
      </c>
      <c r="I29" s="113" t="s">
        <v>621</v>
      </c>
      <c r="J29" s="118" t="s">
        <v>621</v>
      </c>
      <c r="L29" s="126" t="s">
        <v>1537</v>
      </c>
      <c r="M29" s="116" t="s">
        <v>1525</v>
      </c>
      <c r="O29" s="108" t="s">
        <v>621</v>
      </c>
      <c r="P29" s="117" t="s">
        <v>621</v>
      </c>
      <c r="R29" s="113" t="s">
        <v>621</v>
      </c>
      <c r="S29" s="118" t="s">
        <v>621</v>
      </c>
      <c r="T29" s="113" t="s">
        <v>621</v>
      </c>
      <c r="U29" s="118" t="s">
        <v>621</v>
      </c>
      <c r="W29" s="108" t="s">
        <v>1606</v>
      </c>
      <c r="X29" s="108" t="s">
        <v>1453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" customHeight="1" x14ac:dyDescent="0.3">
      <c r="A30" s="108" t="s">
        <v>204</v>
      </c>
      <c r="B30" s="109" t="s">
        <v>1538</v>
      </c>
      <c r="C30" s="129">
        <v>22.5</v>
      </c>
      <c r="D30" s="123"/>
      <c r="E30" s="108" t="s">
        <v>1539</v>
      </c>
      <c r="F30" s="112" t="s">
        <v>58</v>
      </c>
      <c r="H30" s="108">
        <v>1.5</v>
      </c>
      <c r="I30" s="113" t="s">
        <v>621</v>
      </c>
      <c r="J30" s="118" t="s">
        <v>621</v>
      </c>
      <c r="L30" s="130" t="s">
        <v>621</v>
      </c>
      <c r="M30" s="116" t="s">
        <v>621</v>
      </c>
      <c r="O30" s="108" t="s">
        <v>621</v>
      </c>
      <c r="P30" s="117" t="s">
        <v>621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1606</v>
      </c>
      <c r="X30" s="119" t="s">
        <v>1453</v>
      </c>
      <c r="Y30" s="120">
        <v>46120</v>
      </c>
      <c r="Z30" s="119"/>
      <c r="AA30" s="119"/>
      <c r="AB30" s="119"/>
      <c r="AC30" s="119"/>
      <c r="AD30" s="119"/>
      <c r="AE30" s="119"/>
      <c r="AF30" s="119"/>
    </row>
    <row r="31" spans="1:32" ht="44.1" customHeight="1" x14ac:dyDescent="0.3">
      <c r="A31" s="108" t="s">
        <v>1132</v>
      </c>
      <c r="B31" s="136" t="s">
        <v>1540</v>
      </c>
      <c r="C31" s="108">
        <v>36.06</v>
      </c>
      <c r="D31" s="123">
        <v>28224.957600000023</v>
      </c>
      <c r="E31" s="108" t="s">
        <v>137</v>
      </c>
      <c r="F31" s="112" t="s">
        <v>1499</v>
      </c>
      <c r="H31" s="113">
        <f>MID(A31,4,4)/100</f>
        <v>1.75</v>
      </c>
      <c r="I31" s="124" t="s">
        <v>1109</v>
      </c>
      <c r="J31" s="135" t="s">
        <v>1541</v>
      </c>
      <c r="L31" s="126" t="s">
        <v>621</v>
      </c>
      <c r="M31" s="116" t="s">
        <v>621</v>
      </c>
      <c r="N31" s="50"/>
      <c r="O31" s="108" t="s">
        <v>621</v>
      </c>
      <c r="P31" s="117" t="s">
        <v>621</v>
      </c>
      <c r="Q31" s="50"/>
      <c r="R31" s="113" t="s">
        <v>621</v>
      </c>
      <c r="S31" s="118" t="s">
        <v>621</v>
      </c>
      <c r="T31" s="113" t="s">
        <v>621</v>
      </c>
      <c r="U31" s="118" t="s">
        <v>621</v>
      </c>
      <c r="W31" s="108" t="s">
        <v>1606</v>
      </c>
      <c r="X31" s="108" t="s">
        <v>1453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1526</v>
      </c>
    </row>
    <row r="32" spans="1:32" ht="44.1" customHeight="1" x14ac:dyDescent="0.3">
      <c r="A32" s="108" t="s">
        <v>1165</v>
      </c>
      <c r="B32" s="109" t="s">
        <v>1167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1166</v>
      </c>
      <c r="J32" s="117" t="s">
        <v>1504</v>
      </c>
      <c r="L32" s="126" t="s">
        <v>621</v>
      </c>
      <c r="M32" s="116" t="s">
        <v>621</v>
      </c>
      <c r="O32" s="126" t="s">
        <v>621</v>
      </c>
      <c r="P32" s="116" t="s">
        <v>621</v>
      </c>
      <c r="R32" s="113" t="s">
        <v>621</v>
      </c>
      <c r="S32" s="118" t="s">
        <v>621</v>
      </c>
      <c r="T32" s="113" t="s">
        <v>621</v>
      </c>
      <c r="U32" s="118" t="s">
        <v>621</v>
      </c>
      <c r="W32" s="108" t="s">
        <v>1606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" customHeight="1" x14ac:dyDescent="0.3">
      <c r="A33" s="108" t="s">
        <v>1542</v>
      </c>
      <c r="B33" s="109" t="s">
        <v>67</v>
      </c>
      <c r="C33" s="129">
        <v>20</v>
      </c>
      <c r="D33" s="123"/>
      <c r="E33" s="108" t="s">
        <v>1539</v>
      </c>
      <c r="F33" s="112" t="s">
        <v>1543</v>
      </c>
      <c r="H33" s="108">
        <v>5.75</v>
      </c>
      <c r="I33" s="113" t="s">
        <v>1544</v>
      </c>
      <c r="J33" s="118" t="s">
        <v>1545</v>
      </c>
      <c r="L33" s="130" t="s">
        <v>621</v>
      </c>
      <c r="M33" s="116" t="s">
        <v>621</v>
      </c>
      <c r="O33" s="108" t="s">
        <v>621</v>
      </c>
      <c r="P33" s="117" t="s">
        <v>621</v>
      </c>
      <c r="R33" s="108">
        <v>1150</v>
      </c>
      <c r="S33" s="118" t="s">
        <v>621</v>
      </c>
      <c r="T33" s="113" t="s">
        <v>621</v>
      </c>
      <c r="U33" s="118" t="s">
        <v>621</v>
      </c>
      <c r="W33" s="119" t="s">
        <v>1606</v>
      </c>
      <c r="X33" s="119" t="s">
        <v>1453</v>
      </c>
      <c r="Y33" s="119"/>
      <c r="Z33" s="119"/>
      <c r="AA33" s="119"/>
      <c r="AB33" s="119" t="s">
        <v>621</v>
      </c>
      <c r="AC33" s="119"/>
      <c r="AD33" s="119"/>
      <c r="AE33" s="119"/>
      <c r="AF33" s="119"/>
    </row>
    <row r="34" spans="1:32" ht="44.1" customHeight="1" x14ac:dyDescent="0.3">
      <c r="A34" s="108" t="s">
        <v>1157</v>
      </c>
      <c r="B34" s="109" t="s">
        <v>1546</v>
      </c>
      <c r="C34" s="110">
        <v>16.496479999999998</v>
      </c>
      <c r="D34" s="123">
        <v>27611.064772199956</v>
      </c>
      <c r="E34" s="108" t="s">
        <v>137</v>
      </c>
      <c r="F34" s="112" t="s">
        <v>1499</v>
      </c>
      <c r="H34" s="113">
        <v>0.8</v>
      </c>
      <c r="I34" s="124" t="s">
        <v>101</v>
      </c>
      <c r="J34" s="125" t="s">
        <v>1547</v>
      </c>
      <c r="L34" s="126" t="s">
        <v>621</v>
      </c>
      <c r="M34" s="116" t="s">
        <v>621</v>
      </c>
      <c r="O34" s="126" t="s">
        <v>621</v>
      </c>
      <c r="P34" s="116" t="s">
        <v>621</v>
      </c>
      <c r="R34" s="113" t="s">
        <v>621</v>
      </c>
      <c r="S34" s="118" t="s">
        <v>621</v>
      </c>
      <c r="T34" s="113" t="s">
        <v>621</v>
      </c>
      <c r="U34" s="118" t="s">
        <v>621</v>
      </c>
      <c r="W34" s="119" t="s">
        <v>1606</v>
      </c>
      <c r="X34" s="119" t="s">
        <v>1453</v>
      </c>
      <c r="Y34" s="120">
        <v>46093</v>
      </c>
      <c r="Z34" s="120">
        <v>46108</v>
      </c>
      <c r="AA34" s="120">
        <v>46155</v>
      </c>
      <c r="AB34" s="119" t="s">
        <v>1501</v>
      </c>
      <c r="AC34" s="119" t="s">
        <v>1501</v>
      </c>
      <c r="AD34" s="119"/>
      <c r="AE34" s="120">
        <v>46285</v>
      </c>
      <c r="AF34" s="127" t="s">
        <v>1502</v>
      </c>
    </row>
    <row r="35" spans="1:32" ht="44.1" customHeight="1" x14ac:dyDescent="0.3">
      <c r="A35" s="108" t="s">
        <v>1187</v>
      </c>
      <c r="B35" s="109" t="s">
        <v>1115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1499</v>
      </c>
      <c r="H35" s="113">
        <v>1.2</v>
      </c>
      <c r="I35" s="124" t="s">
        <v>1188</v>
      </c>
      <c r="J35" s="117" t="s">
        <v>1548</v>
      </c>
      <c r="L35" s="126" t="s">
        <v>621</v>
      </c>
      <c r="M35" s="116" t="s">
        <v>621</v>
      </c>
      <c r="O35" s="126" t="s">
        <v>621</v>
      </c>
      <c r="P35" s="116" t="s">
        <v>621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1606</v>
      </c>
      <c r="X35" s="108" t="s">
        <v>1453</v>
      </c>
      <c r="Y35" s="132">
        <v>46199</v>
      </c>
      <c r="Z35" s="108"/>
      <c r="AA35" s="108"/>
      <c r="AB35" s="108"/>
      <c r="AC35" s="108"/>
      <c r="AD35" s="108"/>
      <c r="AE35" s="108"/>
      <c r="AF35" s="108"/>
    </row>
    <row r="36" spans="1:32" ht="44.1" customHeight="1" x14ac:dyDescent="0.3">
      <c r="A36" s="108" t="s">
        <v>1170</v>
      </c>
      <c r="B36" s="109" t="s">
        <v>1171</v>
      </c>
      <c r="C36" s="110">
        <v>13.940079999999998</v>
      </c>
      <c r="D36" s="123">
        <v>26601.63473167178</v>
      </c>
      <c r="E36" s="108" t="s">
        <v>137</v>
      </c>
      <c r="F36" s="112" t="s">
        <v>1499</v>
      </c>
      <c r="H36" s="113">
        <v>0.7</v>
      </c>
      <c r="I36" s="124" t="s">
        <v>101</v>
      </c>
      <c r="J36" s="117" t="s">
        <v>1549</v>
      </c>
      <c r="L36" s="126" t="s">
        <v>621</v>
      </c>
      <c r="M36" s="116" t="s">
        <v>621</v>
      </c>
      <c r="O36" s="126" t="s">
        <v>621</v>
      </c>
      <c r="P36" s="116" t="s">
        <v>621</v>
      </c>
      <c r="R36" s="113" t="s">
        <v>621</v>
      </c>
      <c r="S36" s="118" t="s">
        <v>621</v>
      </c>
      <c r="T36" s="113" t="s">
        <v>621</v>
      </c>
      <c r="U36" s="118" t="s">
        <v>621</v>
      </c>
      <c r="W36" s="108" t="s">
        <v>1606</v>
      </c>
      <c r="X36" s="108" t="s">
        <v>1453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" customHeight="1" x14ac:dyDescent="0.3">
      <c r="A37" s="108" t="s">
        <v>1184</v>
      </c>
      <c r="B37" s="109" t="s">
        <v>1185</v>
      </c>
      <c r="C37" s="110">
        <v>10.848305</v>
      </c>
      <c r="D37" s="123">
        <v>20698.992122215666</v>
      </c>
      <c r="E37" s="108" t="s">
        <v>137</v>
      </c>
      <c r="F37" s="112" t="s">
        <v>1499</v>
      </c>
      <c r="H37" s="113">
        <v>1.65</v>
      </c>
      <c r="I37" s="124" t="s">
        <v>1178</v>
      </c>
      <c r="J37" s="117" t="s">
        <v>1550</v>
      </c>
      <c r="L37" s="126" t="s">
        <v>621</v>
      </c>
      <c r="M37" s="116" t="s">
        <v>621</v>
      </c>
      <c r="O37" s="126" t="s">
        <v>621</v>
      </c>
      <c r="P37" s="116" t="s">
        <v>621</v>
      </c>
      <c r="R37" s="113" t="s">
        <v>621</v>
      </c>
      <c r="S37" s="118" t="s">
        <v>621</v>
      </c>
      <c r="T37" s="113" t="s">
        <v>621</v>
      </c>
      <c r="U37" s="118" t="s">
        <v>621</v>
      </c>
      <c r="W37" s="108" t="s">
        <v>1606</v>
      </c>
      <c r="X37" s="108" t="s">
        <v>1453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" customHeight="1" x14ac:dyDescent="0.3">
      <c r="A38" s="108" t="s">
        <v>1211</v>
      </c>
      <c r="B38" s="109" t="s">
        <v>1171</v>
      </c>
      <c r="C38" s="110">
        <v>5.0187400000000002</v>
      </c>
      <c r="D38" s="123">
        <v>25247.000838780237</v>
      </c>
      <c r="E38" s="108" t="s">
        <v>137</v>
      </c>
      <c r="F38" s="112" t="s">
        <v>850</v>
      </c>
      <c r="H38" s="113">
        <v>0.7</v>
      </c>
      <c r="I38" s="124" t="s">
        <v>101</v>
      </c>
      <c r="J38" s="117" t="s">
        <v>1549</v>
      </c>
      <c r="L38" s="126" t="s">
        <v>621</v>
      </c>
      <c r="M38" s="116" t="s">
        <v>621</v>
      </c>
      <c r="O38" s="126" t="s">
        <v>621</v>
      </c>
      <c r="P38" s="116" t="s">
        <v>621</v>
      </c>
      <c r="R38" s="113" t="s">
        <v>621</v>
      </c>
      <c r="S38" s="118" t="s">
        <v>621</v>
      </c>
      <c r="T38" s="113" t="s">
        <v>621</v>
      </c>
      <c r="U38" s="118" t="s">
        <v>621</v>
      </c>
      <c r="W38" s="108" t="s">
        <v>1606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" customHeight="1" x14ac:dyDescent="0.3">
      <c r="A39" s="108" t="s">
        <v>1551</v>
      </c>
      <c r="B39" s="109" t="s">
        <v>601</v>
      </c>
      <c r="C39" s="129">
        <v>1.37</v>
      </c>
      <c r="D39" s="123">
        <v>24586.690002966105</v>
      </c>
      <c r="E39" s="108" t="s">
        <v>137</v>
      </c>
      <c r="F39" s="112" t="s">
        <v>1388</v>
      </c>
      <c r="H39" s="129">
        <v>1</v>
      </c>
      <c r="I39" s="124" t="s">
        <v>101</v>
      </c>
      <c r="J39" s="117" t="s">
        <v>1549</v>
      </c>
      <c r="L39" s="126" t="s">
        <v>621</v>
      </c>
      <c r="M39" s="116" t="s">
        <v>621</v>
      </c>
      <c r="O39" s="126" t="s">
        <v>621</v>
      </c>
      <c r="P39" s="116" t="s">
        <v>621</v>
      </c>
      <c r="R39" s="113" t="s">
        <v>621</v>
      </c>
      <c r="S39" s="118" t="s">
        <v>621</v>
      </c>
      <c r="T39" s="113" t="s">
        <v>621</v>
      </c>
      <c r="U39" s="118" t="s">
        <v>621</v>
      </c>
      <c r="W39" s="108" t="s">
        <v>1606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" customHeight="1" x14ac:dyDescent="0.3">
      <c r="A40" s="108" t="s">
        <v>130</v>
      </c>
      <c r="B40" s="109" t="s">
        <v>132</v>
      </c>
      <c r="C40" s="129">
        <v>15.5</v>
      </c>
      <c r="D40" s="123"/>
      <c r="E40" s="108" t="s">
        <v>1539</v>
      </c>
      <c r="F40" s="112" t="s">
        <v>58</v>
      </c>
      <c r="H40" s="108">
        <v>1.5</v>
      </c>
      <c r="I40" s="113" t="s">
        <v>621</v>
      </c>
      <c r="J40" s="118" t="s">
        <v>621</v>
      </c>
      <c r="L40" s="130" t="s">
        <v>621</v>
      </c>
      <c r="M40" s="116" t="s">
        <v>621</v>
      </c>
      <c r="O40" s="108" t="s">
        <v>621</v>
      </c>
      <c r="P40" s="117" t="s">
        <v>621</v>
      </c>
      <c r="R40" s="108">
        <v>1000</v>
      </c>
      <c r="S40" s="117">
        <v>950</v>
      </c>
      <c r="T40" s="113" t="s">
        <v>621</v>
      </c>
      <c r="U40" s="118" t="s">
        <v>621</v>
      </c>
      <c r="W40" s="119" t="s">
        <v>1606</v>
      </c>
      <c r="X40" s="119" t="s">
        <v>1453</v>
      </c>
      <c r="Y40" s="132">
        <v>46120</v>
      </c>
      <c r="Z40" s="119"/>
      <c r="AA40" s="119"/>
      <c r="AB40" s="119"/>
      <c r="AC40" s="119"/>
      <c r="AD40" s="119"/>
      <c r="AE40" s="119"/>
      <c r="AF40" s="119"/>
    </row>
    <row r="41" spans="1:32" ht="44.1" customHeight="1" x14ac:dyDescent="0.3">
      <c r="A41" s="108" t="s">
        <v>1552</v>
      </c>
      <c r="B41" s="109" t="s">
        <v>1222</v>
      </c>
      <c r="C41" s="129">
        <v>4.6100000000000003</v>
      </c>
      <c r="D41" s="123">
        <v>22999.954309605026</v>
      </c>
      <c r="E41" s="108" t="s">
        <v>137</v>
      </c>
      <c r="F41" s="112" t="s">
        <v>1388</v>
      </c>
      <c r="H41" s="129">
        <v>0.7</v>
      </c>
      <c r="I41" s="124" t="s">
        <v>101</v>
      </c>
      <c r="J41" s="117" t="s">
        <v>1549</v>
      </c>
      <c r="L41" s="126" t="s">
        <v>621</v>
      </c>
      <c r="M41" s="116" t="s">
        <v>621</v>
      </c>
      <c r="O41" s="126" t="s">
        <v>621</v>
      </c>
      <c r="P41" s="116" t="s">
        <v>621</v>
      </c>
      <c r="R41" s="113" t="s">
        <v>621</v>
      </c>
      <c r="S41" s="118" t="s">
        <v>621</v>
      </c>
      <c r="T41" s="113" t="s">
        <v>621</v>
      </c>
      <c r="U41" s="118" t="s">
        <v>621</v>
      </c>
      <c r="W41" s="108" t="s">
        <v>1606</v>
      </c>
      <c r="X41" s="108" t="s">
        <v>131</v>
      </c>
      <c r="Y41" s="108"/>
      <c r="Z41" s="108"/>
      <c r="AA41" s="108"/>
      <c r="AB41" s="108"/>
      <c r="AC41" s="108"/>
      <c r="AD41" s="108"/>
      <c r="AE41" s="108"/>
      <c r="AF41" s="108"/>
    </row>
    <row r="42" spans="1:32" ht="44.1" customHeight="1" x14ac:dyDescent="0.3">
      <c r="A42" s="108" t="s">
        <v>1553</v>
      </c>
      <c r="B42" s="109" t="s">
        <v>1199</v>
      </c>
      <c r="C42" s="129">
        <v>4.1399999999999997</v>
      </c>
      <c r="D42" s="123">
        <v>21941.07309544352</v>
      </c>
      <c r="E42" s="108" t="s">
        <v>137</v>
      </c>
      <c r="F42" s="112" t="s">
        <v>1388</v>
      </c>
      <c r="H42" s="129">
        <v>1.4</v>
      </c>
      <c r="I42" s="124" t="s">
        <v>1239</v>
      </c>
      <c r="J42" s="117" t="s">
        <v>1512</v>
      </c>
      <c r="L42" s="126" t="s">
        <v>621</v>
      </c>
      <c r="M42" s="116" t="s">
        <v>621</v>
      </c>
      <c r="O42" s="126" t="s">
        <v>621</v>
      </c>
      <c r="P42" s="116" t="s">
        <v>621</v>
      </c>
      <c r="R42" s="113" t="s">
        <v>621</v>
      </c>
      <c r="S42" s="118" t="s">
        <v>621</v>
      </c>
      <c r="T42" s="113" t="s">
        <v>621</v>
      </c>
      <c r="U42" s="118" t="s">
        <v>621</v>
      </c>
      <c r="W42" s="108" t="s">
        <v>1606</v>
      </c>
      <c r="X42" s="108" t="s">
        <v>131</v>
      </c>
      <c r="Y42" s="108"/>
      <c r="Z42" s="108"/>
      <c r="AA42" s="108"/>
      <c r="AB42" s="108"/>
      <c r="AC42" s="108"/>
      <c r="AD42" s="108"/>
      <c r="AE42" s="108"/>
      <c r="AF42" s="108"/>
    </row>
    <row r="43" spans="1:32" ht="44.1" customHeight="1" x14ac:dyDescent="0.3">
      <c r="A43" s="108" t="s">
        <v>1554</v>
      </c>
      <c r="B43" s="109" t="s">
        <v>1175</v>
      </c>
      <c r="C43" s="110">
        <v>13.9</v>
      </c>
      <c r="D43" s="123">
        <v>15706.677756106737</v>
      </c>
      <c r="E43" s="108" t="s">
        <v>137</v>
      </c>
      <c r="F43" s="112" t="s">
        <v>1499</v>
      </c>
      <c r="H43" s="113">
        <v>1.5</v>
      </c>
      <c r="I43" s="124" t="s">
        <v>1188</v>
      </c>
      <c r="J43" s="117" t="s">
        <v>1548</v>
      </c>
      <c r="L43" s="126" t="s">
        <v>621</v>
      </c>
      <c r="M43" s="116" t="s">
        <v>621</v>
      </c>
      <c r="O43" s="126" t="s">
        <v>621</v>
      </c>
      <c r="P43" s="116" t="s">
        <v>621</v>
      </c>
      <c r="R43" s="113" t="s">
        <v>621</v>
      </c>
      <c r="S43" s="118" t="s">
        <v>621</v>
      </c>
      <c r="T43" s="113" t="s">
        <v>621</v>
      </c>
      <c r="U43" s="118" t="s">
        <v>621</v>
      </c>
      <c r="W43" s="108" t="s">
        <v>1606</v>
      </c>
      <c r="X43" s="108" t="s">
        <v>1453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" customHeight="1" x14ac:dyDescent="0.3">
      <c r="A44" s="108" t="s">
        <v>1555</v>
      </c>
      <c r="B44" s="109" t="s">
        <v>1236</v>
      </c>
      <c r="C44" s="129">
        <v>4</v>
      </c>
      <c r="D44" s="123">
        <v>18761.627807047204</v>
      </c>
      <c r="E44" s="108" t="s">
        <v>137</v>
      </c>
      <c r="F44" s="112" t="s">
        <v>1388</v>
      </c>
      <c r="H44" s="129">
        <v>1</v>
      </c>
      <c r="I44" s="124" t="s">
        <v>1188</v>
      </c>
      <c r="J44" s="117" t="s">
        <v>1548</v>
      </c>
      <c r="L44" s="126" t="s">
        <v>621</v>
      </c>
      <c r="M44" s="116" t="s">
        <v>621</v>
      </c>
      <c r="O44" s="126" t="s">
        <v>621</v>
      </c>
      <c r="P44" s="116" t="s">
        <v>621</v>
      </c>
      <c r="R44" s="113" t="s">
        <v>621</v>
      </c>
      <c r="S44" s="118" t="s">
        <v>621</v>
      </c>
      <c r="T44" s="113" t="s">
        <v>621</v>
      </c>
      <c r="U44" s="118" t="s">
        <v>621</v>
      </c>
      <c r="W44" s="108" t="s">
        <v>1606</v>
      </c>
      <c r="X44" s="108" t="s">
        <v>131</v>
      </c>
      <c r="Y44" s="108"/>
      <c r="Z44" s="108"/>
      <c r="AA44" s="108"/>
      <c r="AB44" s="108"/>
      <c r="AC44" s="108"/>
      <c r="AD44" s="108"/>
      <c r="AE44" s="108"/>
      <c r="AF44" s="108"/>
    </row>
    <row r="45" spans="1:32" ht="44.1" customHeight="1" x14ac:dyDescent="0.3">
      <c r="A45" s="108" t="s">
        <v>1556</v>
      </c>
      <c r="B45" s="109" t="s">
        <v>1199</v>
      </c>
      <c r="C45" s="129">
        <v>4.1399999999999997</v>
      </c>
      <c r="D45" s="123">
        <v>18138.504719658984</v>
      </c>
      <c r="E45" s="108" t="s">
        <v>137</v>
      </c>
      <c r="F45" s="112" t="s">
        <v>1388</v>
      </c>
      <c r="H45" s="129">
        <v>1.4</v>
      </c>
      <c r="I45" s="124" t="s">
        <v>1239</v>
      </c>
      <c r="J45" s="117" t="s">
        <v>1512</v>
      </c>
      <c r="L45" s="126" t="s">
        <v>621</v>
      </c>
      <c r="M45" s="116" t="s">
        <v>621</v>
      </c>
      <c r="O45" s="126" t="s">
        <v>621</v>
      </c>
      <c r="P45" s="116" t="s">
        <v>621</v>
      </c>
      <c r="R45" s="113" t="s">
        <v>621</v>
      </c>
      <c r="S45" s="118" t="s">
        <v>621</v>
      </c>
      <c r="T45" s="113" t="s">
        <v>621</v>
      </c>
      <c r="U45" s="118" t="s">
        <v>621</v>
      </c>
      <c r="W45" s="108" t="s">
        <v>1606</v>
      </c>
      <c r="X45" s="108" t="s">
        <v>131</v>
      </c>
      <c r="Y45" s="108"/>
      <c r="Z45" s="108"/>
      <c r="AA45" s="108"/>
      <c r="AB45" s="108"/>
      <c r="AC45" s="108"/>
      <c r="AD45" s="108"/>
      <c r="AE45" s="108"/>
      <c r="AF45" s="108"/>
    </row>
    <row r="46" spans="1:32" ht="44.1" customHeight="1" x14ac:dyDescent="0.3">
      <c r="A46" s="108" t="s">
        <v>408</v>
      </c>
      <c r="B46" s="109" t="s">
        <v>1557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1120</v>
      </c>
      <c r="J46" s="117" t="s">
        <v>1550</v>
      </c>
      <c r="L46" s="126" t="s">
        <v>1537</v>
      </c>
      <c r="M46" s="116" t="s">
        <v>1525</v>
      </c>
      <c r="O46" s="108" t="s">
        <v>621</v>
      </c>
      <c r="P46" s="117" t="s">
        <v>621</v>
      </c>
      <c r="R46" s="113" t="s">
        <v>621</v>
      </c>
      <c r="S46" s="118" t="s">
        <v>621</v>
      </c>
      <c r="T46" s="113" t="s">
        <v>621</v>
      </c>
      <c r="U46" s="118" t="s">
        <v>621</v>
      </c>
      <c r="W46" s="108" t="s">
        <v>1606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" customHeight="1" x14ac:dyDescent="0.3">
      <c r="A47" s="108" t="s">
        <v>1172</v>
      </c>
      <c r="B47" s="112" t="s">
        <v>1558</v>
      </c>
      <c r="C47" s="108">
        <v>12.53</v>
      </c>
      <c r="D47" s="123">
        <v>15224.98</v>
      </c>
      <c r="E47" s="108" t="s">
        <v>137</v>
      </c>
      <c r="F47" s="112" t="s">
        <v>1499</v>
      </c>
      <c r="H47" s="113" t="s">
        <v>621</v>
      </c>
      <c r="I47" s="113" t="s">
        <v>621</v>
      </c>
      <c r="J47" s="118" t="s">
        <v>621</v>
      </c>
      <c r="L47" s="130" t="s">
        <v>1524</v>
      </c>
      <c r="M47" s="116" t="s">
        <v>1525</v>
      </c>
      <c r="O47" s="108" t="s">
        <v>621</v>
      </c>
      <c r="P47" s="117" t="s">
        <v>621</v>
      </c>
      <c r="R47" s="113" t="s">
        <v>621</v>
      </c>
      <c r="S47" s="118" t="s">
        <v>621</v>
      </c>
      <c r="T47" s="113" t="s">
        <v>621</v>
      </c>
      <c r="U47" s="118" t="s">
        <v>621</v>
      </c>
      <c r="W47" s="108" t="s">
        <v>1606</v>
      </c>
      <c r="X47" s="108" t="s">
        <v>1453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" customHeight="1" x14ac:dyDescent="0.3">
      <c r="A48" s="108" t="s">
        <v>743</v>
      </c>
      <c r="B48" s="109" t="s">
        <v>1209</v>
      </c>
      <c r="C48" s="110">
        <v>5.6520000000000001</v>
      </c>
      <c r="D48" s="123">
        <v>10239.625233337503</v>
      </c>
      <c r="E48" s="108" t="s">
        <v>137</v>
      </c>
      <c r="F48" s="112" t="s">
        <v>1499</v>
      </c>
      <c r="H48" s="113">
        <v>0.75</v>
      </c>
      <c r="I48" s="124" t="s">
        <v>101</v>
      </c>
      <c r="J48" s="117" t="s">
        <v>1549</v>
      </c>
      <c r="L48" s="126" t="s">
        <v>621</v>
      </c>
      <c r="M48" s="116" t="s">
        <v>621</v>
      </c>
      <c r="O48" s="126" t="s">
        <v>621</v>
      </c>
      <c r="P48" s="116" t="s">
        <v>621</v>
      </c>
      <c r="R48" s="113" t="s">
        <v>621</v>
      </c>
      <c r="S48" s="118" t="s">
        <v>621</v>
      </c>
      <c r="T48" s="113" t="s">
        <v>621</v>
      </c>
      <c r="U48" s="118" t="s">
        <v>621</v>
      </c>
      <c r="W48" s="108" t="s">
        <v>1606</v>
      </c>
      <c r="X48" s="108" t="s">
        <v>1453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" customHeight="1" x14ac:dyDescent="0.3">
      <c r="A49" s="108" t="s">
        <v>1559</v>
      </c>
      <c r="B49" s="109" t="s">
        <v>1560</v>
      </c>
      <c r="C49" s="129">
        <v>5.69</v>
      </c>
      <c r="D49" s="123">
        <v>14582.787749930398</v>
      </c>
      <c r="E49" s="108" t="s">
        <v>137</v>
      </c>
      <c r="F49" s="112" t="s">
        <v>1388</v>
      </c>
      <c r="H49" s="129">
        <v>1.2</v>
      </c>
      <c r="I49" s="124" t="s">
        <v>1188</v>
      </c>
      <c r="J49" s="117" t="s">
        <v>1548</v>
      </c>
      <c r="L49" s="126" t="s">
        <v>621</v>
      </c>
      <c r="M49" s="116" t="s">
        <v>621</v>
      </c>
      <c r="O49" s="126" t="s">
        <v>621</v>
      </c>
      <c r="P49" s="116" t="s">
        <v>621</v>
      </c>
      <c r="R49" s="113" t="s">
        <v>621</v>
      </c>
      <c r="S49" s="118" t="s">
        <v>621</v>
      </c>
      <c r="T49" s="113" t="s">
        <v>621</v>
      </c>
      <c r="U49" s="118" t="s">
        <v>621</v>
      </c>
      <c r="W49" s="108" t="s">
        <v>1606</v>
      </c>
      <c r="X49" s="108" t="s">
        <v>131</v>
      </c>
      <c r="Y49" s="108"/>
      <c r="Z49" s="108"/>
      <c r="AA49" s="108"/>
      <c r="AB49" s="108"/>
      <c r="AC49" s="108"/>
      <c r="AD49" s="108"/>
      <c r="AE49" s="108"/>
      <c r="AF49" s="108"/>
    </row>
    <row r="50" spans="1:32" ht="44.1" customHeight="1" x14ac:dyDescent="0.3">
      <c r="A50" s="119" t="s">
        <v>1192</v>
      </c>
      <c r="B50" s="109" t="s">
        <v>1175</v>
      </c>
      <c r="C50" s="129">
        <v>8.6300000000000008</v>
      </c>
      <c r="D50" s="123">
        <v>12633.085718253134</v>
      </c>
      <c r="E50" s="108" t="s">
        <v>137</v>
      </c>
      <c r="F50" s="112" t="s">
        <v>1388</v>
      </c>
      <c r="H50" s="129">
        <v>1.5</v>
      </c>
      <c r="I50" s="124" t="s">
        <v>101</v>
      </c>
      <c r="J50" s="117" t="s">
        <v>1549</v>
      </c>
      <c r="L50" s="126" t="s">
        <v>621</v>
      </c>
      <c r="M50" s="116" t="s">
        <v>621</v>
      </c>
      <c r="O50" s="126" t="s">
        <v>621</v>
      </c>
      <c r="P50" s="116" t="s">
        <v>621</v>
      </c>
      <c r="R50" s="113" t="s">
        <v>621</v>
      </c>
      <c r="S50" s="118" t="s">
        <v>621</v>
      </c>
      <c r="T50" s="113" t="s">
        <v>621</v>
      </c>
      <c r="U50" s="118" t="s">
        <v>621</v>
      </c>
      <c r="W50" s="108" t="s">
        <v>1606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" customHeight="1" x14ac:dyDescent="0.3">
      <c r="A51" s="108" t="s">
        <v>1561</v>
      </c>
      <c r="B51" s="109" t="s">
        <v>452</v>
      </c>
      <c r="C51" s="129">
        <v>4</v>
      </c>
      <c r="D51" s="123">
        <v>12157.462698176198</v>
      </c>
      <c r="E51" s="108" t="s">
        <v>137</v>
      </c>
      <c r="F51" s="112" t="s">
        <v>1388</v>
      </c>
      <c r="H51" s="129">
        <v>1.2</v>
      </c>
      <c r="I51" s="124" t="s">
        <v>101</v>
      </c>
      <c r="J51" s="117" t="s">
        <v>1549</v>
      </c>
      <c r="L51" s="126" t="s">
        <v>621</v>
      </c>
      <c r="M51" s="116" t="s">
        <v>621</v>
      </c>
      <c r="O51" s="126" t="s">
        <v>621</v>
      </c>
      <c r="P51" s="116" t="s">
        <v>621</v>
      </c>
      <c r="R51" s="113" t="s">
        <v>621</v>
      </c>
      <c r="S51" s="118" t="s">
        <v>621</v>
      </c>
      <c r="T51" s="113" t="s">
        <v>621</v>
      </c>
      <c r="U51" s="118" t="s">
        <v>621</v>
      </c>
      <c r="W51" s="108" t="s">
        <v>1606</v>
      </c>
      <c r="X51" s="108" t="s">
        <v>131</v>
      </c>
      <c r="Y51" s="108"/>
      <c r="Z51" s="108"/>
      <c r="AA51" s="108"/>
      <c r="AB51" s="108"/>
      <c r="AC51" s="108"/>
      <c r="AD51" s="108"/>
      <c r="AE51" s="108"/>
      <c r="AF51" s="108"/>
    </row>
    <row r="52" spans="1:32" ht="44.1" customHeight="1" x14ac:dyDescent="0.3">
      <c r="A52" s="108" t="s">
        <v>1562</v>
      </c>
      <c r="B52" s="109" t="s">
        <v>1236</v>
      </c>
      <c r="C52" s="129">
        <v>2.74</v>
      </c>
      <c r="D52" s="123">
        <v>12062.94014484057</v>
      </c>
      <c r="E52" s="108" t="s">
        <v>137</v>
      </c>
      <c r="F52" s="112" t="s">
        <v>1388</v>
      </c>
      <c r="H52" s="129">
        <v>1</v>
      </c>
      <c r="I52" s="124" t="s">
        <v>1188</v>
      </c>
      <c r="J52" s="117" t="s">
        <v>1548</v>
      </c>
      <c r="L52" s="126" t="s">
        <v>621</v>
      </c>
      <c r="M52" s="116" t="s">
        <v>621</v>
      </c>
      <c r="O52" s="126" t="s">
        <v>621</v>
      </c>
      <c r="P52" s="116" t="s">
        <v>621</v>
      </c>
      <c r="R52" s="113" t="s">
        <v>621</v>
      </c>
      <c r="S52" s="118" t="s">
        <v>621</v>
      </c>
      <c r="T52" s="113" t="s">
        <v>621</v>
      </c>
      <c r="U52" s="118" t="s">
        <v>621</v>
      </c>
      <c r="W52" s="108" t="s">
        <v>1606</v>
      </c>
      <c r="X52" s="108" t="s">
        <v>131</v>
      </c>
      <c r="Y52" s="108"/>
      <c r="Z52" s="108"/>
      <c r="AA52" s="108"/>
      <c r="AB52" s="108"/>
      <c r="AC52" s="108"/>
      <c r="AD52" s="108"/>
      <c r="AE52" s="108"/>
      <c r="AF52" s="108"/>
    </row>
    <row r="53" spans="1:32" ht="44.1" customHeight="1" x14ac:dyDescent="0.3">
      <c r="A53" s="108" t="s">
        <v>1563</v>
      </c>
      <c r="B53" s="109" t="s">
        <v>1175</v>
      </c>
      <c r="C53" s="129">
        <v>4.5999999999999996</v>
      </c>
      <c r="D53" s="123">
        <v>11841.607961308147</v>
      </c>
      <c r="E53" s="108" t="s">
        <v>137</v>
      </c>
      <c r="F53" s="112" t="s">
        <v>1388</v>
      </c>
      <c r="H53" s="129">
        <v>1.5</v>
      </c>
      <c r="I53" s="124" t="s">
        <v>1188</v>
      </c>
      <c r="J53" s="117" t="s">
        <v>1548</v>
      </c>
      <c r="L53" s="126" t="s">
        <v>621</v>
      </c>
      <c r="M53" s="116" t="s">
        <v>621</v>
      </c>
      <c r="O53" s="126" t="s">
        <v>621</v>
      </c>
      <c r="P53" s="116" t="s">
        <v>621</v>
      </c>
      <c r="R53" s="113" t="s">
        <v>621</v>
      </c>
      <c r="S53" s="118" t="s">
        <v>621</v>
      </c>
      <c r="T53" s="113" t="s">
        <v>621</v>
      </c>
      <c r="U53" s="118" t="s">
        <v>621</v>
      </c>
      <c r="W53" s="108" t="s">
        <v>1606</v>
      </c>
      <c r="X53" s="108" t="s">
        <v>131</v>
      </c>
      <c r="Y53" s="108"/>
      <c r="Z53" s="108"/>
      <c r="AA53" s="108"/>
      <c r="AB53" s="108"/>
      <c r="AC53" s="108"/>
      <c r="AD53" s="108"/>
      <c r="AE53" s="108"/>
      <c r="AF53" s="108"/>
    </row>
    <row r="54" spans="1:32" ht="44.1" customHeight="1" x14ac:dyDescent="0.3">
      <c r="A54" s="108" t="s">
        <v>1202</v>
      </c>
      <c r="B54" s="109" t="s">
        <v>1204</v>
      </c>
      <c r="C54" s="110">
        <v>6.4512</v>
      </c>
      <c r="D54" s="123">
        <v>9529.5824094649397</v>
      </c>
      <c r="E54" s="108" t="s">
        <v>137</v>
      </c>
      <c r="F54" s="112" t="s">
        <v>1499</v>
      </c>
      <c r="H54" s="113">
        <v>2.5</v>
      </c>
      <c r="I54" s="138" t="s">
        <v>1203</v>
      </c>
      <c r="J54" s="118" t="s">
        <v>1564</v>
      </c>
      <c r="L54" s="126" t="s">
        <v>621</v>
      </c>
      <c r="M54" s="116" t="s">
        <v>621</v>
      </c>
      <c r="O54" s="126" t="s">
        <v>621</v>
      </c>
      <c r="P54" s="116" t="s">
        <v>621</v>
      </c>
      <c r="R54" s="113" t="s">
        <v>621</v>
      </c>
      <c r="S54" s="118" t="s">
        <v>621</v>
      </c>
      <c r="T54" s="113" t="s">
        <v>621</v>
      </c>
      <c r="U54" s="118" t="s">
        <v>621</v>
      </c>
      <c r="W54" s="108" t="s">
        <v>1606</v>
      </c>
      <c r="X54" s="108" t="s">
        <v>1453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" customHeight="1" x14ac:dyDescent="0.3">
      <c r="A55" s="108" t="s">
        <v>1565</v>
      </c>
      <c r="B55" s="109" t="s">
        <v>1182</v>
      </c>
      <c r="C55" s="110">
        <v>11.65</v>
      </c>
      <c r="D55" s="123">
        <v>10196.017828738581</v>
      </c>
      <c r="E55" s="108" t="s">
        <v>137</v>
      </c>
      <c r="F55" s="112" t="s">
        <v>1566</v>
      </c>
      <c r="H55" s="113">
        <v>4</v>
      </c>
      <c r="I55" s="124" t="s">
        <v>1567</v>
      </c>
      <c r="J55" s="118" t="s">
        <v>1568</v>
      </c>
      <c r="L55" s="126" t="s">
        <v>621</v>
      </c>
      <c r="M55" s="116" t="s">
        <v>621</v>
      </c>
      <c r="O55" s="126" t="s">
        <v>621</v>
      </c>
      <c r="P55" s="116" t="s">
        <v>621</v>
      </c>
      <c r="R55" s="113" t="s">
        <v>621</v>
      </c>
      <c r="S55" s="118" t="s">
        <v>621</v>
      </c>
      <c r="T55" s="113" t="s">
        <v>621</v>
      </c>
      <c r="U55" s="118" t="s">
        <v>621</v>
      </c>
      <c r="W55" s="108" t="s">
        <v>1606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" customHeight="1" x14ac:dyDescent="0.3">
      <c r="A56" s="108" t="s">
        <v>1569</v>
      </c>
      <c r="B56" s="109" t="s">
        <v>1280</v>
      </c>
      <c r="C56" s="129">
        <v>0.66</v>
      </c>
      <c r="D56" s="123">
        <v>9673.2695159100913</v>
      </c>
      <c r="E56" s="108" t="s">
        <v>137</v>
      </c>
      <c r="F56" s="112" t="s">
        <v>1388</v>
      </c>
      <c r="H56" s="129">
        <v>1.2</v>
      </c>
      <c r="I56" s="124" t="s">
        <v>1188</v>
      </c>
      <c r="J56" s="117" t="s">
        <v>1548</v>
      </c>
      <c r="L56" s="126" t="s">
        <v>621</v>
      </c>
      <c r="M56" s="116" t="s">
        <v>621</v>
      </c>
      <c r="O56" s="126" t="s">
        <v>621</v>
      </c>
      <c r="P56" s="116" t="s">
        <v>621</v>
      </c>
      <c r="R56" s="113" t="s">
        <v>621</v>
      </c>
      <c r="S56" s="118" t="s">
        <v>621</v>
      </c>
      <c r="T56" s="113" t="s">
        <v>621</v>
      </c>
      <c r="U56" s="118" t="s">
        <v>621</v>
      </c>
      <c r="W56" s="108" t="s">
        <v>1606</v>
      </c>
      <c r="X56" s="108" t="s">
        <v>131</v>
      </c>
      <c r="Y56" s="108"/>
      <c r="Z56" s="108"/>
      <c r="AA56" s="108"/>
      <c r="AB56" s="108"/>
      <c r="AC56" s="108"/>
      <c r="AD56" s="108"/>
      <c r="AE56" s="108"/>
      <c r="AF56" s="108"/>
    </row>
    <row r="57" spans="1:32" ht="44.1" customHeight="1" x14ac:dyDescent="0.3">
      <c r="A57" s="108" t="s">
        <v>1570</v>
      </c>
      <c r="B57" s="109" t="s">
        <v>1175</v>
      </c>
      <c r="C57" s="129">
        <v>2.89</v>
      </c>
      <c r="D57" s="123">
        <v>9606.0373226999764</v>
      </c>
      <c r="E57" s="108" t="s">
        <v>137</v>
      </c>
      <c r="F57" s="112" t="s">
        <v>1388</v>
      </c>
      <c r="H57" s="129">
        <v>1</v>
      </c>
      <c r="I57" s="124" t="s">
        <v>101</v>
      </c>
      <c r="J57" s="117" t="s">
        <v>1549</v>
      </c>
      <c r="L57" s="126" t="s">
        <v>621</v>
      </c>
      <c r="M57" s="116" t="s">
        <v>621</v>
      </c>
      <c r="O57" s="126" t="s">
        <v>621</v>
      </c>
      <c r="P57" s="116" t="s">
        <v>621</v>
      </c>
      <c r="R57" s="113" t="s">
        <v>621</v>
      </c>
      <c r="S57" s="118" t="s">
        <v>621</v>
      </c>
      <c r="T57" s="113" t="s">
        <v>621</v>
      </c>
      <c r="U57" s="118" t="s">
        <v>621</v>
      </c>
      <c r="W57" s="108" t="s">
        <v>1606</v>
      </c>
      <c r="X57" s="108" t="s">
        <v>131</v>
      </c>
      <c r="Y57" s="108"/>
      <c r="Z57" s="108"/>
      <c r="AA57" s="108"/>
      <c r="AB57" s="108"/>
      <c r="AC57" s="108"/>
      <c r="AD57" s="108"/>
      <c r="AE57" s="108"/>
      <c r="AF57" s="108"/>
    </row>
    <row r="58" spans="1:32" ht="44.1" customHeight="1" x14ac:dyDescent="0.3">
      <c r="A58" s="108" t="s">
        <v>1213</v>
      </c>
      <c r="B58" s="109" t="s">
        <v>1214</v>
      </c>
      <c r="C58" s="110">
        <v>5.1935000000000002</v>
      </c>
      <c r="D58" s="123">
        <v>8902.0294336259212</v>
      </c>
      <c r="E58" s="108" t="s">
        <v>137</v>
      </c>
      <c r="F58" s="112" t="s">
        <v>1499</v>
      </c>
      <c r="H58" s="113">
        <v>0.8</v>
      </c>
      <c r="I58" s="124" t="s">
        <v>101</v>
      </c>
      <c r="J58" s="117" t="s">
        <v>1549</v>
      </c>
      <c r="L58" s="126" t="s">
        <v>621</v>
      </c>
      <c r="M58" s="116" t="s">
        <v>621</v>
      </c>
      <c r="O58" s="126" t="s">
        <v>621</v>
      </c>
      <c r="P58" s="116" t="s">
        <v>621</v>
      </c>
      <c r="R58" s="113" t="s">
        <v>621</v>
      </c>
      <c r="S58" s="118" t="s">
        <v>621</v>
      </c>
      <c r="T58" s="113" t="s">
        <v>621</v>
      </c>
      <c r="U58" s="118" t="s">
        <v>621</v>
      </c>
      <c r="W58" s="108" t="s">
        <v>1606</v>
      </c>
      <c r="X58" s="108" t="s">
        <v>1453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" customHeight="1" x14ac:dyDescent="0.3">
      <c r="A59" s="108" t="s">
        <v>1571</v>
      </c>
      <c r="B59" s="109" t="s">
        <v>1199</v>
      </c>
      <c r="C59" s="129">
        <v>6.84</v>
      </c>
      <c r="D59" s="123">
        <v>8977.6446340546463</v>
      </c>
      <c r="E59" s="108" t="s">
        <v>137</v>
      </c>
      <c r="F59" s="112" t="s">
        <v>1388</v>
      </c>
      <c r="H59" s="129">
        <v>3</v>
      </c>
      <c r="I59" s="124" t="s">
        <v>1178</v>
      </c>
      <c r="J59" s="117" t="s">
        <v>1550</v>
      </c>
      <c r="L59" s="126" t="s">
        <v>621</v>
      </c>
      <c r="M59" s="116" t="s">
        <v>621</v>
      </c>
      <c r="O59" s="126" t="s">
        <v>621</v>
      </c>
      <c r="P59" s="116" t="s">
        <v>621</v>
      </c>
      <c r="R59" s="113" t="s">
        <v>621</v>
      </c>
      <c r="S59" s="118" t="s">
        <v>621</v>
      </c>
      <c r="T59" s="113" t="s">
        <v>621</v>
      </c>
      <c r="U59" s="118" t="s">
        <v>621</v>
      </c>
      <c r="W59" s="108" t="s">
        <v>1606</v>
      </c>
      <c r="X59" s="108" t="s">
        <v>131</v>
      </c>
      <c r="Y59" s="108"/>
      <c r="Z59" s="108"/>
      <c r="AA59" s="108"/>
      <c r="AB59" s="108"/>
      <c r="AC59" s="108"/>
      <c r="AD59" s="108"/>
      <c r="AE59" s="108"/>
      <c r="AF59" s="108"/>
    </row>
    <row r="60" spans="1:32" ht="44.1" customHeight="1" x14ac:dyDescent="0.3">
      <c r="A60" s="108" t="s">
        <v>1177</v>
      </c>
      <c r="B60" s="109" t="s">
        <v>1179</v>
      </c>
      <c r="C60" s="110">
        <v>12.333375</v>
      </c>
      <c r="D60" s="123">
        <v>8426.3931185615984</v>
      </c>
      <c r="E60" s="108" t="s">
        <v>137</v>
      </c>
      <c r="F60" s="112" t="s">
        <v>1499</v>
      </c>
      <c r="H60" s="113">
        <v>1.8</v>
      </c>
      <c r="I60" s="124" t="s">
        <v>1178</v>
      </c>
      <c r="J60" s="117" t="s">
        <v>1550</v>
      </c>
      <c r="L60" s="126" t="s">
        <v>621</v>
      </c>
      <c r="M60" s="116" t="s">
        <v>621</v>
      </c>
      <c r="O60" s="126" t="s">
        <v>621</v>
      </c>
      <c r="P60" s="116" t="s">
        <v>621</v>
      </c>
      <c r="R60" s="113" t="s">
        <v>621</v>
      </c>
      <c r="S60" s="118" t="s">
        <v>621</v>
      </c>
      <c r="T60" s="113" t="s">
        <v>621</v>
      </c>
      <c r="U60" s="118" t="s">
        <v>621</v>
      </c>
      <c r="W60" s="108" t="s">
        <v>1606</v>
      </c>
      <c r="X60" s="108" t="s">
        <v>1453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" customHeight="1" x14ac:dyDescent="0.3">
      <c r="A61" s="108" t="s">
        <v>1270</v>
      </c>
      <c r="B61" s="109" t="s">
        <v>1271</v>
      </c>
      <c r="C61" s="110">
        <v>1.0164</v>
      </c>
      <c r="D61" s="123">
        <v>7591.6560892095195</v>
      </c>
      <c r="E61" s="108" t="s">
        <v>137</v>
      </c>
      <c r="F61" s="112" t="s">
        <v>1499</v>
      </c>
      <c r="H61" s="113">
        <v>1.5</v>
      </c>
      <c r="I61" s="124" t="s">
        <v>1178</v>
      </c>
      <c r="J61" s="117" t="s">
        <v>1550</v>
      </c>
      <c r="L61" s="126" t="s">
        <v>621</v>
      </c>
      <c r="M61" s="116" t="s">
        <v>621</v>
      </c>
      <c r="O61" s="126" t="s">
        <v>621</v>
      </c>
      <c r="P61" s="116" t="s">
        <v>621</v>
      </c>
      <c r="R61" s="113" t="s">
        <v>621</v>
      </c>
      <c r="S61" s="118" t="s">
        <v>621</v>
      </c>
      <c r="T61" s="113" t="s">
        <v>621</v>
      </c>
      <c r="U61" s="118" t="s">
        <v>621</v>
      </c>
      <c r="W61" s="108" t="s">
        <v>1606</v>
      </c>
      <c r="X61" s="108" t="s">
        <v>1453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" customHeight="1" x14ac:dyDescent="0.3">
      <c r="A62" s="108" t="s">
        <v>297</v>
      </c>
      <c r="B62" s="109" t="s">
        <v>1572</v>
      </c>
      <c r="C62" s="129">
        <v>5.6</v>
      </c>
      <c r="D62" s="123"/>
      <c r="E62" s="108" t="s">
        <v>1539</v>
      </c>
      <c r="F62" s="112" t="s">
        <v>259</v>
      </c>
      <c r="H62" s="108">
        <v>3</v>
      </c>
      <c r="I62" s="113" t="s">
        <v>1573</v>
      </c>
      <c r="J62" s="118" t="s">
        <v>621</v>
      </c>
      <c r="L62" s="126" t="s">
        <v>621</v>
      </c>
      <c r="M62" s="116" t="s">
        <v>621</v>
      </c>
      <c r="O62" s="108" t="s">
        <v>621</v>
      </c>
      <c r="P62" s="117" t="s">
        <v>621</v>
      </c>
      <c r="R62" s="113">
        <v>1150</v>
      </c>
      <c r="S62" s="118">
        <v>1000</v>
      </c>
      <c r="T62" s="113">
        <v>1520</v>
      </c>
      <c r="U62" s="118" t="s">
        <v>621</v>
      </c>
      <c r="W62" s="108" t="s">
        <v>1606</v>
      </c>
      <c r="X62" s="108" t="s">
        <v>1453</v>
      </c>
      <c r="Y62" s="132">
        <v>46038</v>
      </c>
      <c r="Z62" s="108"/>
      <c r="AA62" s="108"/>
      <c r="AB62" s="108"/>
      <c r="AC62" s="108"/>
      <c r="AD62" s="108"/>
      <c r="AE62" s="108"/>
      <c r="AF62" s="108"/>
    </row>
    <row r="63" spans="1:32" ht="44.1" customHeight="1" x14ac:dyDescent="0.3">
      <c r="A63" s="108" t="s">
        <v>1251</v>
      </c>
      <c r="B63" s="109" t="s">
        <v>1574</v>
      </c>
      <c r="C63" s="110">
        <v>2.2283600000000003</v>
      </c>
      <c r="D63" s="123">
        <v>8029.7351111249855</v>
      </c>
      <c r="E63" s="108" t="s">
        <v>137</v>
      </c>
      <c r="F63" s="112" t="s">
        <v>850</v>
      </c>
      <c r="H63" s="113">
        <v>1.5</v>
      </c>
      <c r="I63" s="124" t="s">
        <v>1239</v>
      </c>
      <c r="J63" s="117" t="s">
        <v>1512</v>
      </c>
      <c r="L63" s="126" t="s">
        <v>621</v>
      </c>
      <c r="M63" s="116" t="s">
        <v>621</v>
      </c>
      <c r="O63" s="126" t="s">
        <v>621</v>
      </c>
      <c r="P63" s="116" t="s">
        <v>621</v>
      </c>
      <c r="R63" s="113" t="s">
        <v>621</v>
      </c>
      <c r="S63" s="118" t="s">
        <v>621</v>
      </c>
      <c r="T63" s="113" t="s">
        <v>621</v>
      </c>
      <c r="U63" s="118" t="s">
        <v>621</v>
      </c>
      <c r="W63" s="108" t="s">
        <v>1606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" customHeight="1" x14ac:dyDescent="0.3">
      <c r="A64" s="108" t="s">
        <v>1575</v>
      </c>
      <c r="B64" s="109" t="s">
        <v>1175</v>
      </c>
      <c r="C64" s="129">
        <v>4.16</v>
      </c>
      <c r="D64" s="123">
        <v>7989.1897730873443</v>
      </c>
      <c r="E64" s="108" t="s">
        <v>137</v>
      </c>
      <c r="F64" s="112" t="s">
        <v>1388</v>
      </c>
      <c r="H64" s="129">
        <v>1.2</v>
      </c>
      <c r="I64" s="124" t="s">
        <v>101</v>
      </c>
      <c r="J64" s="117" t="s">
        <v>1549</v>
      </c>
      <c r="L64" s="126" t="s">
        <v>621</v>
      </c>
      <c r="M64" s="116" t="s">
        <v>621</v>
      </c>
      <c r="O64" s="126" t="s">
        <v>621</v>
      </c>
      <c r="P64" s="116" t="s">
        <v>621</v>
      </c>
      <c r="R64" s="113" t="s">
        <v>621</v>
      </c>
      <c r="S64" s="118" t="s">
        <v>621</v>
      </c>
      <c r="T64" s="113" t="s">
        <v>621</v>
      </c>
      <c r="U64" s="118" t="s">
        <v>621</v>
      </c>
      <c r="W64" s="108" t="s">
        <v>1606</v>
      </c>
      <c r="X64" s="108" t="s">
        <v>131</v>
      </c>
      <c r="Y64" s="108"/>
      <c r="Z64" s="108"/>
      <c r="AA64" s="108"/>
      <c r="AB64" s="108"/>
      <c r="AC64" s="108"/>
      <c r="AD64" s="108"/>
      <c r="AE64" s="108"/>
      <c r="AF64" s="108"/>
    </row>
    <row r="65" spans="1:32" ht="44.1" customHeight="1" x14ac:dyDescent="0.3">
      <c r="A65" s="108" t="s">
        <v>1256</v>
      </c>
      <c r="B65" s="109" t="s">
        <v>1576</v>
      </c>
      <c r="C65" s="110">
        <v>2.1937499999999996</v>
      </c>
      <c r="D65" s="123">
        <v>7375.3943988375131</v>
      </c>
      <c r="E65" s="108" t="s">
        <v>137</v>
      </c>
      <c r="F65" s="112" t="s">
        <v>1499</v>
      </c>
      <c r="H65" s="113">
        <v>1.2</v>
      </c>
      <c r="I65" s="124" t="s">
        <v>101</v>
      </c>
      <c r="J65" s="117" t="s">
        <v>1549</v>
      </c>
      <c r="L65" s="126" t="s">
        <v>621</v>
      </c>
      <c r="M65" s="116" t="s">
        <v>621</v>
      </c>
      <c r="O65" s="126" t="s">
        <v>621</v>
      </c>
      <c r="P65" s="116" t="s">
        <v>621</v>
      </c>
      <c r="R65" s="113" t="s">
        <v>621</v>
      </c>
      <c r="S65" s="118" t="s">
        <v>621</v>
      </c>
      <c r="T65" s="113" t="s">
        <v>621</v>
      </c>
      <c r="U65" s="118" t="s">
        <v>621</v>
      </c>
      <c r="W65" s="108" t="s">
        <v>1606</v>
      </c>
      <c r="X65" s="108" t="s">
        <v>1453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" customHeight="1" x14ac:dyDescent="0.3">
      <c r="A66" s="108" t="s">
        <v>1231</v>
      </c>
      <c r="B66" s="109" t="s">
        <v>1232</v>
      </c>
      <c r="C66" s="110">
        <v>3.8872200000000001</v>
      </c>
      <c r="D66" s="123">
        <v>6848.7510031367929</v>
      </c>
      <c r="E66" s="108" t="s">
        <v>137</v>
      </c>
      <c r="F66" s="112" t="s">
        <v>1499</v>
      </c>
      <c r="H66" s="113">
        <v>1.6</v>
      </c>
      <c r="I66" s="124" t="s">
        <v>1178</v>
      </c>
      <c r="J66" s="117" t="s">
        <v>1550</v>
      </c>
      <c r="L66" s="126" t="s">
        <v>621</v>
      </c>
      <c r="M66" s="116" t="s">
        <v>621</v>
      </c>
      <c r="O66" s="126" t="s">
        <v>621</v>
      </c>
      <c r="P66" s="116" t="s">
        <v>621</v>
      </c>
      <c r="R66" s="113" t="s">
        <v>621</v>
      </c>
      <c r="S66" s="118" t="s">
        <v>621</v>
      </c>
      <c r="T66" s="113" t="s">
        <v>621</v>
      </c>
      <c r="U66" s="118" t="s">
        <v>621</v>
      </c>
      <c r="W66" s="108" t="s">
        <v>1606</v>
      </c>
      <c r="X66" s="108" t="s">
        <v>1453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" customHeight="1" x14ac:dyDescent="0.3">
      <c r="A67" s="108" t="s">
        <v>1223</v>
      </c>
      <c r="B67" s="109" t="s">
        <v>1224</v>
      </c>
      <c r="C67" s="110">
        <v>4.2117500000000003</v>
      </c>
      <c r="D67" s="123">
        <v>6584.071068839311</v>
      </c>
      <c r="E67" s="108" t="s">
        <v>137</v>
      </c>
      <c r="F67" s="112" t="s">
        <v>1499</v>
      </c>
      <c r="H67" s="113">
        <v>1.5</v>
      </c>
      <c r="I67" s="124" t="s">
        <v>1178</v>
      </c>
      <c r="J67" s="117" t="s">
        <v>1550</v>
      </c>
      <c r="L67" s="126" t="s">
        <v>621</v>
      </c>
      <c r="M67" s="116" t="s">
        <v>621</v>
      </c>
      <c r="O67" s="126" t="s">
        <v>621</v>
      </c>
      <c r="P67" s="116" t="s">
        <v>621</v>
      </c>
      <c r="R67" s="113" t="s">
        <v>621</v>
      </c>
      <c r="S67" s="118" t="s">
        <v>621</v>
      </c>
      <c r="T67" s="113" t="s">
        <v>621</v>
      </c>
      <c r="U67" s="118" t="s">
        <v>621</v>
      </c>
      <c r="W67" s="108" t="s">
        <v>1606</v>
      </c>
      <c r="X67" s="108" t="s">
        <v>1453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" customHeight="1" x14ac:dyDescent="0.3">
      <c r="A68" s="108" t="s">
        <v>1195</v>
      </c>
      <c r="B68" s="109" t="s">
        <v>1577</v>
      </c>
      <c r="C68" s="110">
        <v>6.5935199999999998</v>
      </c>
      <c r="D68" s="123">
        <v>6829.6049839277157</v>
      </c>
      <c r="E68" s="108" t="s">
        <v>137</v>
      </c>
      <c r="F68" s="112" t="s">
        <v>850</v>
      </c>
      <c r="H68" s="113">
        <v>1.2</v>
      </c>
      <c r="I68" s="124" t="s">
        <v>1188</v>
      </c>
      <c r="J68" s="117" t="s">
        <v>1548</v>
      </c>
      <c r="L68" s="126" t="s">
        <v>621</v>
      </c>
      <c r="M68" s="116" t="s">
        <v>621</v>
      </c>
      <c r="O68" s="126" t="s">
        <v>621</v>
      </c>
      <c r="P68" s="116" t="s">
        <v>621</v>
      </c>
      <c r="R68" s="113" t="s">
        <v>621</v>
      </c>
      <c r="S68" s="118" t="s">
        <v>621</v>
      </c>
      <c r="T68" s="113" t="s">
        <v>621</v>
      </c>
      <c r="U68" s="118" t="s">
        <v>621</v>
      </c>
      <c r="W68" s="108" t="s">
        <v>1606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" customHeight="1" x14ac:dyDescent="0.3">
      <c r="A69" s="108" t="s">
        <v>1207</v>
      </c>
      <c r="B69" s="109" t="s">
        <v>1208</v>
      </c>
      <c r="C69" s="110">
        <v>5.9535</v>
      </c>
      <c r="D69" s="123">
        <v>6369.1097869769919</v>
      </c>
      <c r="E69" s="108" t="s">
        <v>137</v>
      </c>
      <c r="F69" s="112" t="s">
        <v>1499</v>
      </c>
      <c r="H69" s="113">
        <v>2.5</v>
      </c>
      <c r="I69" s="124" t="s">
        <v>1203</v>
      </c>
      <c r="J69" s="118" t="s">
        <v>1564</v>
      </c>
      <c r="L69" s="126" t="s">
        <v>621</v>
      </c>
      <c r="M69" s="116" t="s">
        <v>621</v>
      </c>
      <c r="O69" s="126" t="s">
        <v>621</v>
      </c>
      <c r="P69" s="116" t="s">
        <v>621</v>
      </c>
      <c r="R69" s="113" t="s">
        <v>621</v>
      </c>
      <c r="S69" s="118" t="s">
        <v>621</v>
      </c>
      <c r="T69" s="113" t="s">
        <v>621</v>
      </c>
      <c r="U69" s="118" t="s">
        <v>621</v>
      </c>
      <c r="W69" s="108" t="s">
        <v>1606</v>
      </c>
      <c r="X69" s="108" t="s">
        <v>1453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" customHeight="1" x14ac:dyDescent="0.3">
      <c r="A70" s="108" t="s">
        <v>1228</v>
      </c>
      <c r="B70" s="109" t="s">
        <v>1224</v>
      </c>
      <c r="C70" s="110">
        <v>3.9763875000000004</v>
      </c>
      <c r="D70" s="123">
        <v>6302.4478452360854</v>
      </c>
      <c r="E70" s="108" t="s">
        <v>137</v>
      </c>
      <c r="F70" s="112" t="s">
        <v>1499</v>
      </c>
      <c r="H70" s="113">
        <v>1.5</v>
      </c>
      <c r="I70" s="124" t="s">
        <v>1178</v>
      </c>
      <c r="J70" s="117" t="s">
        <v>1550</v>
      </c>
      <c r="L70" s="126" t="s">
        <v>621</v>
      </c>
      <c r="M70" s="116" t="s">
        <v>621</v>
      </c>
      <c r="O70" s="126" t="s">
        <v>621</v>
      </c>
      <c r="P70" s="116" t="s">
        <v>621</v>
      </c>
      <c r="R70" s="113" t="s">
        <v>621</v>
      </c>
      <c r="S70" s="118" t="s">
        <v>621</v>
      </c>
      <c r="T70" s="113" t="s">
        <v>621</v>
      </c>
      <c r="U70" s="118" t="s">
        <v>621</v>
      </c>
      <c r="W70" s="108" t="s">
        <v>1606</v>
      </c>
      <c r="X70" s="108" t="s">
        <v>1453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" customHeight="1" x14ac:dyDescent="0.3">
      <c r="A71" s="108" t="s">
        <v>1259</v>
      </c>
      <c r="B71" s="109" t="s">
        <v>1260</v>
      </c>
      <c r="C71" s="110">
        <v>1.95</v>
      </c>
      <c r="D71" s="123">
        <v>6109.2115281288543</v>
      </c>
      <c r="E71" s="108" t="s">
        <v>137</v>
      </c>
      <c r="F71" s="112" t="s">
        <v>1499</v>
      </c>
      <c r="H71" s="113">
        <v>0.7</v>
      </c>
      <c r="I71" s="124" t="s">
        <v>101</v>
      </c>
      <c r="J71" s="117" t="s">
        <v>1549</v>
      </c>
      <c r="L71" s="126" t="s">
        <v>621</v>
      </c>
      <c r="M71" s="116" t="s">
        <v>621</v>
      </c>
      <c r="O71" s="126" t="s">
        <v>621</v>
      </c>
      <c r="P71" s="116" t="s">
        <v>621</v>
      </c>
      <c r="R71" s="113" t="s">
        <v>621</v>
      </c>
      <c r="S71" s="118" t="s">
        <v>621</v>
      </c>
      <c r="T71" s="113" t="s">
        <v>621</v>
      </c>
      <c r="U71" s="118" t="s">
        <v>621</v>
      </c>
      <c r="W71" s="108" t="s">
        <v>1606</v>
      </c>
      <c r="X71" s="108" t="s">
        <v>1453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" customHeight="1" x14ac:dyDescent="0.3">
      <c r="A72" s="108" t="s">
        <v>1578</v>
      </c>
      <c r="B72" s="109" t="s">
        <v>1293</v>
      </c>
      <c r="C72" s="129">
        <v>0.05</v>
      </c>
      <c r="D72" s="123">
        <v>6241.7428491599348</v>
      </c>
      <c r="E72" s="108" t="s">
        <v>137</v>
      </c>
      <c r="F72" s="112" t="s">
        <v>1388</v>
      </c>
      <c r="H72" s="129">
        <v>0.6</v>
      </c>
      <c r="I72" s="124" t="s">
        <v>1579</v>
      </c>
      <c r="J72" s="117" t="s">
        <v>1549</v>
      </c>
      <c r="L72" s="126" t="s">
        <v>621</v>
      </c>
      <c r="M72" s="116" t="s">
        <v>621</v>
      </c>
      <c r="O72" s="126" t="s">
        <v>621</v>
      </c>
      <c r="P72" s="116" t="s">
        <v>621</v>
      </c>
      <c r="R72" s="113" t="s">
        <v>621</v>
      </c>
      <c r="S72" s="118" t="s">
        <v>621</v>
      </c>
      <c r="T72" s="113" t="s">
        <v>621</v>
      </c>
      <c r="U72" s="118" t="s">
        <v>621</v>
      </c>
      <c r="W72" s="108" t="s">
        <v>1606</v>
      </c>
      <c r="X72" s="108" t="s">
        <v>131</v>
      </c>
      <c r="Y72" s="108"/>
      <c r="Z72" s="108"/>
      <c r="AA72" s="108"/>
      <c r="AB72" s="108"/>
      <c r="AC72" s="108"/>
      <c r="AD72" s="108"/>
      <c r="AE72" s="108"/>
      <c r="AF72" s="108"/>
    </row>
    <row r="73" spans="1:32" ht="44.1" customHeight="1" x14ac:dyDescent="0.3">
      <c r="A73" s="108" t="s">
        <v>1190</v>
      </c>
      <c r="B73" s="109" t="s">
        <v>733</v>
      </c>
      <c r="C73" s="110">
        <v>7.6096000000000004</v>
      </c>
      <c r="D73" s="123">
        <v>5364.2951771850076</v>
      </c>
      <c r="E73" s="108" t="s">
        <v>137</v>
      </c>
      <c r="F73" s="112" t="s">
        <v>1499</v>
      </c>
      <c r="H73" s="129">
        <v>1.2</v>
      </c>
      <c r="I73" s="124" t="s">
        <v>101</v>
      </c>
      <c r="J73" s="117" t="s">
        <v>1549</v>
      </c>
      <c r="L73" s="126" t="s">
        <v>621</v>
      </c>
      <c r="M73" s="116" t="s">
        <v>621</v>
      </c>
      <c r="O73" s="126" t="s">
        <v>621</v>
      </c>
      <c r="P73" s="116" t="s">
        <v>621</v>
      </c>
      <c r="R73" s="113" t="s">
        <v>621</v>
      </c>
      <c r="S73" s="118" t="s">
        <v>621</v>
      </c>
      <c r="T73" s="113" t="s">
        <v>621</v>
      </c>
      <c r="U73" s="118" t="s">
        <v>621</v>
      </c>
      <c r="W73" s="108" t="s">
        <v>1606</v>
      </c>
      <c r="X73" s="108" t="s">
        <v>1453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" customHeight="1" x14ac:dyDescent="0.3">
      <c r="A74" s="108" t="s">
        <v>1206</v>
      </c>
      <c r="B74" s="109" t="s">
        <v>1196</v>
      </c>
      <c r="C74" s="110">
        <v>5.7246000000000006</v>
      </c>
      <c r="D74" s="123">
        <v>6072.2602971029992</v>
      </c>
      <c r="E74" s="108" t="s">
        <v>137</v>
      </c>
      <c r="F74" s="112" t="s">
        <v>850</v>
      </c>
      <c r="H74" s="113">
        <v>1.2</v>
      </c>
      <c r="I74" s="124" t="s">
        <v>1188</v>
      </c>
      <c r="J74" s="117" t="s">
        <v>1548</v>
      </c>
      <c r="L74" s="126" t="s">
        <v>621</v>
      </c>
      <c r="M74" s="116" t="s">
        <v>621</v>
      </c>
      <c r="O74" s="126" t="s">
        <v>621</v>
      </c>
      <c r="P74" s="116" t="s">
        <v>621</v>
      </c>
      <c r="R74" s="113" t="s">
        <v>621</v>
      </c>
      <c r="S74" s="118" t="s">
        <v>621</v>
      </c>
      <c r="T74" s="113" t="s">
        <v>621</v>
      </c>
      <c r="U74" s="118" t="s">
        <v>621</v>
      </c>
      <c r="W74" s="108" t="s">
        <v>1606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" customHeight="1" x14ac:dyDescent="0.3">
      <c r="A75" s="108" t="s">
        <v>1580</v>
      </c>
      <c r="B75" s="109" t="s">
        <v>1175</v>
      </c>
      <c r="C75" s="129">
        <v>2.89</v>
      </c>
      <c r="D75" s="123">
        <v>5832.0105480000566</v>
      </c>
      <c r="E75" s="108" t="s">
        <v>137</v>
      </c>
      <c r="F75" s="112" t="s">
        <v>1388</v>
      </c>
      <c r="H75" s="129">
        <v>1</v>
      </c>
      <c r="I75" s="124" t="s">
        <v>101</v>
      </c>
      <c r="J75" s="117" t="s">
        <v>1549</v>
      </c>
      <c r="L75" s="126" t="s">
        <v>621</v>
      </c>
      <c r="M75" s="116" t="s">
        <v>621</v>
      </c>
      <c r="O75" s="126" t="s">
        <v>621</v>
      </c>
      <c r="P75" s="116" t="s">
        <v>621</v>
      </c>
      <c r="R75" s="113" t="s">
        <v>621</v>
      </c>
      <c r="S75" s="118" t="s">
        <v>621</v>
      </c>
      <c r="T75" s="113" t="s">
        <v>621</v>
      </c>
      <c r="U75" s="118" t="s">
        <v>621</v>
      </c>
      <c r="W75" s="108" t="s">
        <v>1606</v>
      </c>
      <c r="X75" s="108" t="s">
        <v>131</v>
      </c>
      <c r="Y75" s="108"/>
      <c r="Z75" s="108"/>
      <c r="AA75" s="108"/>
      <c r="AB75" s="108"/>
      <c r="AC75" s="108"/>
      <c r="AD75" s="108"/>
      <c r="AE75" s="108"/>
      <c r="AF75" s="108"/>
    </row>
    <row r="76" spans="1:32" ht="44.1" customHeight="1" x14ac:dyDescent="0.3">
      <c r="A76" s="108" t="s">
        <v>1286</v>
      </c>
      <c r="B76" s="109" t="s">
        <v>1581</v>
      </c>
      <c r="C76" s="110">
        <v>0.36</v>
      </c>
      <c r="D76" s="123">
        <v>4056.9783891524821</v>
      </c>
      <c r="E76" s="108" t="s">
        <v>137</v>
      </c>
      <c r="F76" s="112" t="s">
        <v>1499</v>
      </c>
      <c r="H76" s="129">
        <v>0.7</v>
      </c>
      <c r="I76" s="124" t="s">
        <v>101</v>
      </c>
      <c r="J76" s="117" t="s">
        <v>1549</v>
      </c>
      <c r="L76" s="126" t="s">
        <v>621</v>
      </c>
      <c r="M76" s="116" t="s">
        <v>621</v>
      </c>
      <c r="O76" s="126" t="s">
        <v>621</v>
      </c>
      <c r="P76" s="116" t="s">
        <v>621</v>
      </c>
      <c r="R76" s="113" t="s">
        <v>621</v>
      </c>
      <c r="S76" s="118" t="s">
        <v>621</v>
      </c>
      <c r="T76" s="113" t="s">
        <v>621</v>
      </c>
      <c r="U76" s="118" t="s">
        <v>621</v>
      </c>
      <c r="W76" s="108" t="s">
        <v>1606</v>
      </c>
      <c r="X76" s="108" t="s">
        <v>1453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" customHeight="1" x14ac:dyDescent="0.3">
      <c r="A77" s="108" t="s">
        <v>1582</v>
      </c>
      <c r="B77" s="109" t="s">
        <v>601</v>
      </c>
      <c r="C77" s="129">
        <v>1.37</v>
      </c>
      <c r="D77" s="123">
        <v>5301.6760721925139</v>
      </c>
      <c r="E77" s="108" t="s">
        <v>137</v>
      </c>
      <c r="F77" s="112" t="s">
        <v>1388</v>
      </c>
      <c r="H77" s="129">
        <v>0.8</v>
      </c>
      <c r="I77" s="124" t="s">
        <v>101</v>
      </c>
      <c r="J77" s="117" t="s">
        <v>1549</v>
      </c>
      <c r="L77" s="126" t="s">
        <v>621</v>
      </c>
      <c r="M77" s="116" t="s">
        <v>621</v>
      </c>
      <c r="O77" s="126" t="s">
        <v>621</v>
      </c>
      <c r="P77" s="116" t="s">
        <v>621</v>
      </c>
      <c r="R77" s="113" t="s">
        <v>621</v>
      </c>
      <c r="S77" s="118" t="s">
        <v>621</v>
      </c>
      <c r="T77" s="113" t="s">
        <v>621</v>
      </c>
      <c r="U77" s="118" t="s">
        <v>621</v>
      </c>
      <c r="W77" s="108" t="s">
        <v>1606</v>
      </c>
      <c r="X77" s="108" t="s">
        <v>131</v>
      </c>
      <c r="Y77" s="108"/>
      <c r="Z77" s="108"/>
      <c r="AA77" s="108"/>
      <c r="AB77" s="108"/>
      <c r="AC77" s="108"/>
      <c r="AD77" s="108"/>
      <c r="AE77" s="108"/>
      <c r="AF77" s="108"/>
    </row>
    <row r="78" spans="1:32" ht="44.1" customHeight="1" x14ac:dyDescent="0.3">
      <c r="A78" s="108" t="s">
        <v>1583</v>
      </c>
      <c r="B78" s="109" t="s">
        <v>1283</v>
      </c>
      <c r="C78" s="129">
        <v>0.63</v>
      </c>
      <c r="D78" s="123">
        <v>4306.029936390004</v>
      </c>
      <c r="E78" s="108" t="s">
        <v>137</v>
      </c>
      <c r="F78" s="112" t="s">
        <v>1388</v>
      </c>
      <c r="H78" s="129">
        <v>0.6</v>
      </c>
      <c r="I78" s="124" t="s">
        <v>1579</v>
      </c>
      <c r="J78" s="117" t="s">
        <v>1549</v>
      </c>
      <c r="L78" s="126" t="s">
        <v>621</v>
      </c>
      <c r="M78" s="116" t="s">
        <v>621</v>
      </c>
      <c r="O78" s="126" t="s">
        <v>621</v>
      </c>
      <c r="P78" s="116" t="s">
        <v>621</v>
      </c>
      <c r="R78" s="113" t="s">
        <v>621</v>
      </c>
      <c r="S78" s="118" t="s">
        <v>621</v>
      </c>
      <c r="T78" s="113" t="s">
        <v>621</v>
      </c>
      <c r="U78" s="118" t="s">
        <v>621</v>
      </c>
      <c r="W78" s="108" t="s">
        <v>1606</v>
      </c>
      <c r="X78" s="108" t="s">
        <v>131</v>
      </c>
      <c r="Y78" s="108"/>
      <c r="Z78" s="108"/>
      <c r="AA78" s="108"/>
      <c r="AB78" s="108"/>
      <c r="AC78" s="108"/>
      <c r="AD78" s="108"/>
      <c r="AE78" s="108"/>
      <c r="AF78" s="108"/>
    </row>
    <row r="79" spans="1:32" ht="44.1" customHeight="1" x14ac:dyDescent="0.3">
      <c r="A79" s="108" t="s">
        <v>1219</v>
      </c>
      <c r="B79" s="109" t="s">
        <v>1208</v>
      </c>
      <c r="C79" s="110">
        <v>4.1760000000000002</v>
      </c>
      <c r="D79" s="123">
        <v>3984.5269882341654</v>
      </c>
      <c r="E79" s="108" t="s">
        <v>137</v>
      </c>
      <c r="F79" s="112" t="s">
        <v>1499</v>
      </c>
      <c r="H79" s="129">
        <v>2.5</v>
      </c>
      <c r="I79" s="113">
        <v>0.105</v>
      </c>
      <c r="J79" s="118" t="s">
        <v>1584</v>
      </c>
      <c r="L79" s="126" t="s">
        <v>621</v>
      </c>
      <c r="M79" s="116" t="s">
        <v>621</v>
      </c>
      <c r="O79" s="126" t="s">
        <v>621</v>
      </c>
      <c r="P79" s="116" t="s">
        <v>621</v>
      </c>
      <c r="R79" s="113" t="s">
        <v>621</v>
      </c>
      <c r="S79" s="118" t="s">
        <v>621</v>
      </c>
      <c r="T79" s="113" t="s">
        <v>621</v>
      </c>
      <c r="U79" s="118" t="s">
        <v>621</v>
      </c>
      <c r="W79" s="108" t="s">
        <v>1606</v>
      </c>
      <c r="X79" s="108" t="s">
        <v>1453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" customHeight="1" x14ac:dyDescent="0.3">
      <c r="A80" s="108" t="s">
        <v>1268</v>
      </c>
      <c r="B80" s="109" t="s">
        <v>1269</v>
      </c>
      <c r="C80" s="110">
        <v>1.1088</v>
      </c>
      <c r="D80" s="123">
        <v>3844.3218347519828</v>
      </c>
      <c r="E80" s="108" t="s">
        <v>137</v>
      </c>
      <c r="F80" s="112" t="s">
        <v>1499</v>
      </c>
      <c r="H80" s="129">
        <v>0.65</v>
      </c>
      <c r="I80" s="124" t="s">
        <v>101</v>
      </c>
      <c r="J80" s="117" t="s">
        <v>1549</v>
      </c>
      <c r="L80" s="126" t="s">
        <v>621</v>
      </c>
      <c r="M80" s="116" t="s">
        <v>621</v>
      </c>
      <c r="O80" s="126" t="s">
        <v>621</v>
      </c>
      <c r="P80" s="116" t="s">
        <v>621</v>
      </c>
      <c r="R80" s="113" t="s">
        <v>621</v>
      </c>
      <c r="S80" s="118" t="s">
        <v>621</v>
      </c>
      <c r="T80" s="113" t="s">
        <v>621</v>
      </c>
      <c r="U80" s="118" t="s">
        <v>621</v>
      </c>
      <c r="W80" s="108" t="s">
        <v>1606</v>
      </c>
      <c r="X80" s="108" t="s">
        <v>1453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" customHeight="1" x14ac:dyDescent="0.3">
      <c r="A81" s="108" t="s">
        <v>1244</v>
      </c>
      <c r="B81" s="109" t="s">
        <v>1245</v>
      </c>
      <c r="C81" s="110">
        <v>2.59335</v>
      </c>
      <c r="D81" s="123">
        <v>3720.6159635235795</v>
      </c>
      <c r="E81" s="108" t="s">
        <v>137</v>
      </c>
      <c r="F81" s="112" t="s">
        <v>1499</v>
      </c>
      <c r="H81" s="129">
        <v>0.6</v>
      </c>
      <c r="I81" s="124" t="s">
        <v>101</v>
      </c>
      <c r="J81" s="117" t="s">
        <v>1549</v>
      </c>
      <c r="L81" s="126" t="s">
        <v>621</v>
      </c>
      <c r="M81" s="116" t="s">
        <v>621</v>
      </c>
      <c r="O81" s="126" t="s">
        <v>621</v>
      </c>
      <c r="P81" s="116" t="s">
        <v>621</v>
      </c>
      <c r="R81" s="113" t="s">
        <v>621</v>
      </c>
      <c r="S81" s="118" t="s">
        <v>621</v>
      </c>
      <c r="T81" s="113" t="s">
        <v>621</v>
      </c>
      <c r="U81" s="118" t="s">
        <v>621</v>
      </c>
      <c r="W81" s="108" t="s">
        <v>1606</v>
      </c>
      <c r="X81" s="108" t="s">
        <v>1453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" customHeight="1" x14ac:dyDescent="0.3">
      <c r="A82" s="108" t="s">
        <v>1226</v>
      </c>
      <c r="B82" s="109" t="s">
        <v>1546</v>
      </c>
      <c r="C82" s="110">
        <v>3.6971999999999996</v>
      </c>
      <c r="D82" s="123">
        <v>3330.9095118012024</v>
      </c>
      <c r="E82" s="108" t="s">
        <v>137</v>
      </c>
      <c r="F82" s="112" t="s">
        <v>1499</v>
      </c>
      <c r="H82" s="129">
        <v>0.8</v>
      </c>
      <c r="I82" s="124" t="s">
        <v>101</v>
      </c>
      <c r="J82" s="117" t="s">
        <v>1549</v>
      </c>
      <c r="L82" s="126" t="s">
        <v>621</v>
      </c>
      <c r="M82" s="116" t="s">
        <v>621</v>
      </c>
      <c r="O82" s="126" t="s">
        <v>621</v>
      </c>
      <c r="P82" s="116" t="s">
        <v>621</v>
      </c>
      <c r="R82" s="113" t="s">
        <v>621</v>
      </c>
      <c r="S82" s="118" t="s">
        <v>621</v>
      </c>
      <c r="T82" s="113" t="s">
        <v>621</v>
      </c>
      <c r="U82" s="118" t="s">
        <v>621</v>
      </c>
      <c r="W82" s="108" t="s">
        <v>1606</v>
      </c>
      <c r="X82" s="108" t="s">
        <v>1453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" customHeight="1" x14ac:dyDescent="0.3">
      <c r="A83" s="108" t="s">
        <v>1585</v>
      </c>
      <c r="B83" s="109" t="s">
        <v>1560</v>
      </c>
      <c r="C83" s="129">
        <v>5.69</v>
      </c>
      <c r="D83" s="123">
        <v>3707.235151851984</v>
      </c>
      <c r="E83" s="108" t="s">
        <v>137</v>
      </c>
      <c r="F83" s="112" t="s">
        <v>1388</v>
      </c>
      <c r="H83" s="129">
        <v>1.2</v>
      </c>
      <c r="I83" s="124" t="s">
        <v>1188</v>
      </c>
      <c r="J83" s="117" t="s">
        <v>1548</v>
      </c>
      <c r="L83" s="126" t="s">
        <v>621</v>
      </c>
      <c r="M83" s="116" t="s">
        <v>621</v>
      </c>
      <c r="O83" s="126" t="s">
        <v>621</v>
      </c>
      <c r="P83" s="116" t="s">
        <v>621</v>
      </c>
      <c r="R83" s="113" t="s">
        <v>621</v>
      </c>
      <c r="S83" s="118" t="s">
        <v>621</v>
      </c>
      <c r="T83" s="113" t="s">
        <v>621</v>
      </c>
      <c r="U83" s="118" t="s">
        <v>621</v>
      </c>
      <c r="W83" s="108" t="s">
        <v>1606</v>
      </c>
      <c r="X83" s="108" t="s">
        <v>131</v>
      </c>
      <c r="Y83" s="108"/>
      <c r="Z83" s="108"/>
      <c r="AA83" s="108"/>
      <c r="AB83" s="108"/>
      <c r="AC83" s="108"/>
      <c r="AD83" s="108"/>
      <c r="AE83" s="108"/>
      <c r="AF83" s="108"/>
    </row>
    <row r="84" spans="1:32" ht="44.1" customHeight="1" x14ac:dyDescent="0.3">
      <c r="A84" s="108" t="s">
        <v>1275</v>
      </c>
      <c r="B84" s="109" t="s">
        <v>1276</v>
      </c>
      <c r="C84" s="110">
        <v>0.77905849999999999</v>
      </c>
      <c r="D84" s="123">
        <v>3516.7974475724823</v>
      </c>
      <c r="E84" s="108" t="s">
        <v>137</v>
      </c>
      <c r="F84" s="112" t="s">
        <v>259</v>
      </c>
      <c r="H84" s="129">
        <v>1.2</v>
      </c>
      <c r="I84" s="124" t="s">
        <v>1239</v>
      </c>
      <c r="J84" s="117" t="s">
        <v>1512</v>
      </c>
      <c r="L84" s="126" t="s">
        <v>621</v>
      </c>
      <c r="M84" s="116" t="s">
        <v>621</v>
      </c>
      <c r="O84" s="126" t="s">
        <v>621</v>
      </c>
      <c r="P84" s="116" t="s">
        <v>621</v>
      </c>
      <c r="R84" s="113" t="s">
        <v>621</v>
      </c>
      <c r="S84" s="118" t="s">
        <v>621</v>
      </c>
      <c r="T84" s="113" t="s">
        <v>621</v>
      </c>
      <c r="U84" s="118" t="s">
        <v>621</v>
      </c>
      <c r="W84" s="108" t="s">
        <v>1606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" customHeight="1" x14ac:dyDescent="0.3">
      <c r="A85" s="108" t="s">
        <v>1262</v>
      </c>
      <c r="B85" s="109" t="s">
        <v>1263</v>
      </c>
      <c r="C85" s="110">
        <v>1.26</v>
      </c>
      <c r="D85" s="123">
        <v>3471.1709000692636</v>
      </c>
      <c r="E85" s="108" t="s">
        <v>137</v>
      </c>
      <c r="F85" s="112" t="s">
        <v>850</v>
      </c>
      <c r="H85" s="129">
        <v>0.8</v>
      </c>
      <c r="I85" s="124" t="s">
        <v>101</v>
      </c>
      <c r="J85" s="117" t="s">
        <v>1549</v>
      </c>
      <c r="L85" s="126" t="s">
        <v>621</v>
      </c>
      <c r="M85" s="116" t="s">
        <v>621</v>
      </c>
      <c r="O85" s="126" t="s">
        <v>621</v>
      </c>
      <c r="P85" s="116" t="s">
        <v>621</v>
      </c>
      <c r="R85" s="113" t="s">
        <v>621</v>
      </c>
      <c r="S85" s="118" t="s">
        <v>621</v>
      </c>
      <c r="T85" s="113" t="s">
        <v>621</v>
      </c>
      <c r="U85" s="118" t="s">
        <v>621</v>
      </c>
      <c r="W85" s="108" t="s">
        <v>1606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" customHeight="1" x14ac:dyDescent="0.3">
      <c r="A86" s="108" t="s">
        <v>1248</v>
      </c>
      <c r="B86" s="109" t="s">
        <v>1249</v>
      </c>
      <c r="C86" s="110">
        <v>2.543625</v>
      </c>
      <c r="D86" s="123">
        <v>3305.7042804576236</v>
      </c>
      <c r="E86" s="108" t="s">
        <v>137</v>
      </c>
      <c r="F86" s="112" t="s">
        <v>1499</v>
      </c>
      <c r="H86" s="129">
        <v>1.2</v>
      </c>
      <c r="I86" s="113"/>
      <c r="J86" s="118"/>
      <c r="L86" s="126" t="s">
        <v>621</v>
      </c>
      <c r="M86" s="116" t="s">
        <v>621</v>
      </c>
      <c r="O86" s="126" t="s">
        <v>621</v>
      </c>
      <c r="P86" s="116" t="s">
        <v>621</v>
      </c>
      <c r="R86" s="113" t="s">
        <v>621</v>
      </c>
      <c r="S86" s="118" t="s">
        <v>621</v>
      </c>
      <c r="T86" s="113" t="s">
        <v>621</v>
      </c>
      <c r="U86" s="118" t="s">
        <v>621</v>
      </c>
      <c r="W86" s="108" t="s">
        <v>1606</v>
      </c>
      <c r="X86" s="108" t="s">
        <v>1453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" customHeight="1" x14ac:dyDescent="0.3">
      <c r="A87" s="108" t="s">
        <v>1254</v>
      </c>
      <c r="B87" s="109" t="s">
        <v>733</v>
      </c>
      <c r="C87" s="110">
        <v>2.1473969999999998</v>
      </c>
      <c r="D87" s="123">
        <v>2833.8699876542555</v>
      </c>
      <c r="E87" s="108" t="s">
        <v>137</v>
      </c>
      <c r="F87" s="112" t="s">
        <v>1499</v>
      </c>
      <c r="H87" s="129">
        <v>1.2</v>
      </c>
      <c r="I87" s="124" t="s">
        <v>101</v>
      </c>
      <c r="J87" s="117" t="s">
        <v>1549</v>
      </c>
      <c r="L87" s="126" t="s">
        <v>621</v>
      </c>
      <c r="M87" s="116" t="s">
        <v>621</v>
      </c>
      <c r="O87" s="126" t="s">
        <v>621</v>
      </c>
      <c r="P87" s="116" t="s">
        <v>621</v>
      </c>
      <c r="R87" s="113" t="s">
        <v>621</v>
      </c>
      <c r="S87" s="118" t="s">
        <v>621</v>
      </c>
      <c r="T87" s="113" t="s">
        <v>621</v>
      </c>
      <c r="U87" s="118" t="s">
        <v>621</v>
      </c>
      <c r="W87" s="108" t="s">
        <v>1606</v>
      </c>
      <c r="X87" s="108" t="s">
        <v>1453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" customHeight="1" x14ac:dyDescent="0.3">
      <c r="A88" s="108" t="s">
        <v>1238</v>
      </c>
      <c r="B88" s="109" t="s">
        <v>1240</v>
      </c>
      <c r="C88" s="110">
        <v>3.29175</v>
      </c>
      <c r="D88" s="123">
        <v>2328.8325914285183</v>
      </c>
      <c r="E88" s="108" t="s">
        <v>137</v>
      </c>
      <c r="F88" s="112" t="s">
        <v>1499</v>
      </c>
      <c r="H88" s="129">
        <v>1.8</v>
      </c>
      <c r="I88" s="124" t="s">
        <v>1239</v>
      </c>
      <c r="J88" s="117" t="s">
        <v>1512</v>
      </c>
      <c r="L88" s="126" t="s">
        <v>621</v>
      </c>
      <c r="M88" s="116" t="s">
        <v>621</v>
      </c>
      <c r="O88" s="126" t="s">
        <v>621</v>
      </c>
      <c r="P88" s="116" t="s">
        <v>621</v>
      </c>
      <c r="R88" s="113" t="s">
        <v>621</v>
      </c>
      <c r="S88" s="118" t="s">
        <v>621</v>
      </c>
      <c r="T88" s="113" t="s">
        <v>621</v>
      </c>
      <c r="U88" s="118" t="s">
        <v>621</v>
      </c>
      <c r="W88" s="108" t="s">
        <v>1606</v>
      </c>
      <c r="X88" s="108" t="s">
        <v>1453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" customHeight="1" x14ac:dyDescent="0.3">
      <c r="A89" s="108" t="s">
        <v>1250</v>
      </c>
      <c r="B89" s="109" t="s">
        <v>1586</v>
      </c>
      <c r="C89" s="110">
        <v>2.5599999999999996</v>
      </c>
      <c r="D89" s="123">
        <v>1225.2361158324156</v>
      </c>
      <c r="E89" s="108" t="s">
        <v>137</v>
      </c>
      <c r="F89" s="112" t="s">
        <v>1499</v>
      </c>
      <c r="H89" s="129">
        <v>2</v>
      </c>
      <c r="I89" s="124" t="s">
        <v>1178</v>
      </c>
      <c r="J89" s="117" t="s">
        <v>1550</v>
      </c>
      <c r="L89" s="126" t="s">
        <v>621</v>
      </c>
      <c r="M89" s="116" t="s">
        <v>621</v>
      </c>
      <c r="O89" s="126" t="s">
        <v>621</v>
      </c>
      <c r="P89" s="116" t="s">
        <v>621</v>
      </c>
      <c r="R89" s="113" t="s">
        <v>621</v>
      </c>
      <c r="S89" s="118" t="s">
        <v>621</v>
      </c>
      <c r="T89" s="113" t="s">
        <v>621</v>
      </c>
      <c r="U89" s="118" t="s">
        <v>621</v>
      </c>
      <c r="W89" s="108" t="s">
        <v>1606</v>
      </c>
      <c r="X89" s="108" t="s">
        <v>1453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" customHeight="1" x14ac:dyDescent="0.3">
      <c r="A90" s="108" t="s">
        <v>1587</v>
      </c>
      <c r="B90" s="109" t="s">
        <v>1267</v>
      </c>
      <c r="C90" s="129">
        <v>1.2</v>
      </c>
      <c r="D90" s="123">
        <v>1802.5760172419969</v>
      </c>
      <c r="E90" s="108" t="s">
        <v>137</v>
      </c>
      <c r="F90" s="112" t="s">
        <v>1388</v>
      </c>
      <c r="H90" s="129">
        <v>1</v>
      </c>
      <c r="I90" s="124" t="s">
        <v>101</v>
      </c>
      <c r="J90" s="117" t="s">
        <v>1549</v>
      </c>
      <c r="L90" s="126" t="s">
        <v>621</v>
      </c>
      <c r="M90" s="116" t="s">
        <v>621</v>
      </c>
      <c r="O90" s="126" t="s">
        <v>621</v>
      </c>
      <c r="P90" s="116" t="s">
        <v>621</v>
      </c>
      <c r="R90" s="113" t="s">
        <v>621</v>
      </c>
      <c r="S90" s="118" t="s">
        <v>621</v>
      </c>
      <c r="T90" s="113" t="s">
        <v>621</v>
      </c>
      <c r="U90" s="118" t="s">
        <v>621</v>
      </c>
      <c r="W90" s="108" t="s">
        <v>1606</v>
      </c>
      <c r="X90" s="108" t="s">
        <v>131</v>
      </c>
      <c r="Y90" s="108"/>
      <c r="Z90" s="108"/>
      <c r="AA90" s="108"/>
      <c r="AB90" s="108"/>
      <c r="AC90" s="108"/>
      <c r="AD90" s="108"/>
      <c r="AE90" s="108"/>
      <c r="AF90" s="108"/>
    </row>
    <row r="91" spans="1:32" ht="44.1" customHeight="1" x14ac:dyDescent="0.3">
      <c r="A91" s="108" t="s">
        <v>1273</v>
      </c>
      <c r="B91" s="109" t="s">
        <v>1588</v>
      </c>
      <c r="C91" s="110">
        <v>0.84000000000000008</v>
      </c>
      <c r="D91" s="123">
        <v>1532.677728582004</v>
      </c>
      <c r="E91" s="108" t="s">
        <v>137</v>
      </c>
      <c r="F91" s="112" t="s">
        <v>850</v>
      </c>
      <c r="H91" s="129">
        <v>1.5</v>
      </c>
      <c r="I91" s="124" t="s">
        <v>1239</v>
      </c>
      <c r="J91" s="117" t="s">
        <v>1512</v>
      </c>
      <c r="L91" s="126" t="s">
        <v>621</v>
      </c>
      <c r="M91" s="116" t="s">
        <v>621</v>
      </c>
      <c r="O91" s="126" t="s">
        <v>621</v>
      </c>
      <c r="P91" s="116" t="s">
        <v>621</v>
      </c>
      <c r="R91" s="113" t="s">
        <v>621</v>
      </c>
      <c r="S91" s="118" t="s">
        <v>621</v>
      </c>
      <c r="T91" s="113" t="s">
        <v>621</v>
      </c>
      <c r="U91" s="118" t="s">
        <v>621</v>
      </c>
      <c r="W91" s="108" t="s">
        <v>1606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" customHeight="1" x14ac:dyDescent="0.3">
      <c r="A92" s="108" t="s">
        <v>1589</v>
      </c>
      <c r="B92" s="109" t="s">
        <v>1590</v>
      </c>
      <c r="C92" s="129">
        <v>0.02</v>
      </c>
      <c r="D92" s="123">
        <v>1307.9087699461895</v>
      </c>
      <c r="E92" s="108" t="s">
        <v>137</v>
      </c>
      <c r="F92" s="112" t="s">
        <v>1388</v>
      </c>
      <c r="H92" s="129">
        <v>1</v>
      </c>
      <c r="I92" s="124" t="s">
        <v>101</v>
      </c>
      <c r="J92" s="117" t="s">
        <v>1549</v>
      </c>
      <c r="L92" s="126" t="s">
        <v>621</v>
      </c>
      <c r="M92" s="116" t="s">
        <v>621</v>
      </c>
      <c r="O92" s="126" t="s">
        <v>621</v>
      </c>
      <c r="P92" s="116" t="s">
        <v>621</v>
      </c>
      <c r="R92" s="113" t="s">
        <v>621</v>
      </c>
      <c r="S92" s="118" t="s">
        <v>621</v>
      </c>
      <c r="T92" s="113" t="s">
        <v>621</v>
      </c>
      <c r="U92" s="118" t="s">
        <v>621</v>
      </c>
      <c r="W92" s="108" t="s">
        <v>1606</v>
      </c>
      <c r="X92" s="108" t="s">
        <v>131</v>
      </c>
      <c r="Y92" s="108"/>
      <c r="Z92" s="108"/>
      <c r="AA92" s="108"/>
      <c r="AB92" s="108"/>
      <c r="AC92" s="108"/>
      <c r="AD92" s="108"/>
      <c r="AE92" s="108"/>
      <c r="AF92" s="108"/>
    </row>
    <row r="93" spans="1:32" ht="44.1" customHeight="1" x14ac:dyDescent="0.3">
      <c r="A93" s="108" t="s">
        <v>1277</v>
      </c>
      <c r="B93" s="109" t="s">
        <v>1278</v>
      </c>
      <c r="C93" s="110">
        <v>0.60875999999999997</v>
      </c>
      <c r="D93" s="123">
        <v>664.60043776376756</v>
      </c>
      <c r="E93" s="108" t="s">
        <v>137</v>
      </c>
      <c r="F93" s="112" t="s">
        <v>1499</v>
      </c>
      <c r="H93" s="129">
        <v>2</v>
      </c>
      <c r="I93" s="124" t="s">
        <v>1178</v>
      </c>
      <c r="J93" s="117" t="s">
        <v>1550</v>
      </c>
      <c r="L93" s="126" t="s">
        <v>621</v>
      </c>
      <c r="M93" s="116" t="s">
        <v>621</v>
      </c>
      <c r="O93" s="126" t="s">
        <v>621</v>
      </c>
      <c r="P93" s="116" t="s">
        <v>621</v>
      </c>
      <c r="R93" s="113" t="s">
        <v>621</v>
      </c>
      <c r="S93" s="118" t="s">
        <v>621</v>
      </c>
      <c r="T93" s="113" t="s">
        <v>621</v>
      </c>
      <c r="U93" s="118" t="s">
        <v>621</v>
      </c>
      <c r="W93" s="108" t="s">
        <v>1606</v>
      </c>
      <c r="X93" s="108" t="s">
        <v>1453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" customHeight="1" x14ac:dyDescent="0.3">
      <c r="A94" s="108" t="s">
        <v>1284</v>
      </c>
      <c r="B94" s="109" t="s">
        <v>1591</v>
      </c>
      <c r="C94" s="110">
        <v>0.40049999999999997</v>
      </c>
      <c r="D94" s="123">
        <v>465.26020107839747</v>
      </c>
      <c r="E94" s="108" t="s">
        <v>137</v>
      </c>
      <c r="F94" s="112" t="s">
        <v>1499</v>
      </c>
      <c r="H94" s="129">
        <v>1</v>
      </c>
      <c r="I94" s="124" t="s">
        <v>101</v>
      </c>
      <c r="J94" s="117" t="s">
        <v>1549</v>
      </c>
      <c r="L94" s="126" t="s">
        <v>621</v>
      </c>
      <c r="M94" s="116" t="s">
        <v>621</v>
      </c>
      <c r="O94" s="126" t="s">
        <v>621</v>
      </c>
      <c r="P94" s="116" t="s">
        <v>621</v>
      </c>
      <c r="R94" s="113" t="s">
        <v>621</v>
      </c>
      <c r="S94" s="118" t="s">
        <v>621</v>
      </c>
      <c r="T94" s="113" t="s">
        <v>621</v>
      </c>
      <c r="U94" s="118" t="s">
        <v>621</v>
      </c>
      <c r="W94" s="108" t="s">
        <v>1606</v>
      </c>
      <c r="X94" s="108" t="s">
        <v>1453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" customHeight="1" x14ac:dyDescent="0.3">
      <c r="A95" s="108" t="s">
        <v>1592</v>
      </c>
      <c r="B95" s="109" t="s">
        <v>1557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1549</v>
      </c>
      <c r="L95" s="126" t="s">
        <v>621</v>
      </c>
      <c r="M95" s="116" t="s">
        <v>621</v>
      </c>
      <c r="O95" s="126" t="s">
        <v>621</v>
      </c>
      <c r="P95" s="116" t="s">
        <v>621</v>
      </c>
      <c r="R95" s="113" t="s">
        <v>621</v>
      </c>
      <c r="S95" s="118" t="s">
        <v>621</v>
      </c>
      <c r="T95" s="113" t="s">
        <v>621</v>
      </c>
      <c r="U95" s="118" t="s">
        <v>621</v>
      </c>
      <c r="W95" s="108" t="s">
        <v>1606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" customHeight="1" x14ac:dyDescent="0.3">
      <c r="A96" s="108" t="s">
        <v>1289</v>
      </c>
      <c r="B96" s="109" t="s">
        <v>1290</v>
      </c>
      <c r="C96" s="139">
        <v>0.13750000000000001</v>
      </c>
      <c r="D96" s="123">
        <v>317.9601744250665</v>
      </c>
      <c r="E96" s="108" t="s">
        <v>137</v>
      </c>
      <c r="F96" s="112" t="s">
        <v>1499</v>
      </c>
      <c r="H96" s="129">
        <v>1.6</v>
      </c>
      <c r="I96" s="124" t="s">
        <v>101</v>
      </c>
      <c r="J96" s="117" t="s">
        <v>1549</v>
      </c>
      <c r="L96" s="126" t="s">
        <v>621</v>
      </c>
      <c r="M96" s="116" t="s">
        <v>621</v>
      </c>
      <c r="O96" s="126" t="s">
        <v>621</v>
      </c>
      <c r="P96" s="116" t="s">
        <v>621</v>
      </c>
      <c r="R96" s="113" t="s">
        <v>621</v>
      </c>
      <c r="S96" s="118" t="s">
        <v>621</v>
      </c>
      <c r="T96" s="113" t="s">
        <v>621</v>
      </c>
      <c r="U96" s="118" t="s">
        <v>621</v>
      </c>
      <c r="W96" s="108" t="s">
        <v>1606</v>
      </c>
      <c r="X96" s="108" t="s">
        <v>1453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35" customHeight="1" x14ac:dyDescent="0.3">
      <c r="A97" s="108" t="s">
        <v>1291</v>
      </c>
      <c r="B97" s="109" t="s">
        <v>1171</v>
      </c>
      <c r="C97" s="139">
        <v>0.14774400000000001</v>
      </c>
      <c r="D97" s="123">
        <v>281.14016879970018</v>
      </c>
      <c r="E97" s="108" t="s">
        <v>137</v>
      </c>
      <c r="F97" s="112" t="s">
        <v>1499</v>
      </c>
      <c r="H97" s="129">
        <v>0.7</v>
      </c>
      <c r="I97" s="124" t="s">
        <v>101</v>
      </c>
      <c r="J97" s="117" t="s">
        <v>1549</v>
      </c>
      <c r="L97" s="126" t="s">
        <v>621</v>
      </c>
      <c r="M97" s="116" t="s">
        <v>621</v>
      </c>
      <c r="O97" s="126" t="s">
        <v>621</v>
      </c>
      <c r="P97" s="116" t="s">
        <v>621</v>
      </c>
      <c r="R97" s="113" t="s">
        <v>621</v>
      </c>
      <c r="S97" s="118" t="s">
        <v>621</v>
      </c>
      <c r="T97" s="113" t="s">
        <v>621</v>
      </c>
      <c r="U97" s="118" t="s">
        <v>621</v>
      </c>
      <c r="W97" s="108" t="s">
        <v>1606</v>
      </c>
      <c r="X97" s="108" t="s">
        <v>1453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" customHeight="1" x14ac:dyDescent="0.3">
      <c r="A98" s="108" t="s">
        <v>106</v>
      </c>
      <c r="B98" s="109" t="s">
        <v>108</v>
      </c>
      <c r="C98" s="110">
        <v>36.24</v>
      </c>
      <c r="D98" s="123"/>
      <c r="E98" s="108" t="s">
        <v>1539</v>
      </c>
      <c r="F98" s="112" t="s">
        <v>1499</v>
      </c>
      <c r="H98" s="113">
        <v>1.8</v>
      </c>
      <c r="I98" s="113" t="s">
        <v>1593</v>
      </c>
      <c r="J98" s="118" t="s">
        <v>621</v>
      </c>
      <c r="L98" s="126" t="s">
        <v>621</v>
      </c>
      <c r="M98" s="116" t="s">
        <v>621</v>
      </c>
      <c r="O98" s="108" t="s">
        <v>621</v>
      </c>
      <c r="P98" s="117" t="s">
        <v>621</v>
      </c>
      <c r="R98" s="113" t="s">
        <v>1594</v>
      </c>
      <c r="S98" s="118" t="s">
        <v>621</v>
      </c>
      <c r="T98" s="113">
        <v>840</v>
      </c>
      <c r="U98" s="118">
        <v>820</v>
      </c>
      <c r="W98" s="108" t="s">
        <v>1606</v>
      </c>
      <c r="X98" s="108" t="s">
        <v>1453</v>
      </c>
      <c r="Y98" s="132">
        <v>46093</v>
      </c>
      <c r="Z98" s="108"/>
      <c r="AA98" s="108"/>
      <c r="AB98" s="108"/>
      <c r="AC98" s="108"/>
      <c r="AD98" s="108"/>
      <c r="AE98" s="108"/>
      <c r="AF98" s="108"/>
    </row>
    <row r="99" spans="1:32" ht="44.1" customHeight="1" x14ac:dyDescent="0.3">
      <c r="A99" s="108" t="s">
        <v>1113</v>
      </c>
      <c r="B99" s="112" t="s">
        <v>1595</v>
      </c>
      <c r="C99" s="108">
        <v>59.36</v>
      </c>
      <c r="D99" s="123">
        <v>0</v>
      </c>
      <c r="E99" s="108" t="s">
        <v>137</v>
      </c>
      <c r="F99" s="112" t="s">
        <v>259</v>
      </c>
      <c r="H99" s="126" t="s">
        <v>621</v>
      </c>
      <c r="I99" s="126" t="s">
        <v>621</v>
      </c>
      <c r="J99" s="118" t="s">
        <v>621</v>
      </c>
      <c r="L99" s="126" t="s">
        <v>621</v>
      </c>
      <c r="M99" s="116" t="s">
        <v>621</v>
      </c>
      <c r="N99" s="50"/>
      <c r="O99" s="108" t="s">
        <v>621</v>
      </c>
      <c r="P99" s="117" t="s">
        <v>621</v>
      </c>
      <c r="Q99" s="50"/>
      <c r="R99" s="113" t="s">
        <v>621</v>
      </c>
      <c r="S99" s="118" t="s">
        <v>621</v>
      </c>
      <c r="T99" s="140" t="s">
        <v>621</v>
      </c>
      <c r="U99" s="118" t="s">
        <v>621</v>
      </c>
      <c r="W99" s="108" t="s">
        <v>1606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" customHeight="1" x14ac:dyDescent="0.3">
      <c r="A100" s="112" t="s">
        <v>1596</v>
      </c>
      <c r="B100" s="136" t="s">
        <v>1597</v>
      </c>
      <c r="C100" s="108">
        <v>43.23</v>
      </c>
      <c r="D100" s="123">
        <v>0</v>
      </c>
      <c r="E100" s="108" t="s">
        <v>137</v>
      </c>
      <c r="F100" s="112" t="s">
        <v>1598</v>
      </c>
      <c r="H100" s="126" t="s">
        <v>621</v>
      </c>
      <c r="I100" s="126" t="s">
        <v>621</v>
      </c>
      <c r="J100" s="118" t="s">
        <v>621</v>
      </c>
      <c r="L100" s="126" t="s">
        <v>621</v>
      </c>
      <c r="M100" s="116" t="s">
        <v>621</v>
      </c>
      <c r="N100" s="50"/>
      <c r="O100" s="108" t="s">
        <v>621</v>
      </c>
      <c r="P100" s="117" t="s">
        <v>621</v>
      </c>
      <c r="Q100" s="50"/>
      <c r="R100" s="113" t="s">
        <v>621</v>
      </c>
      <c r="S100" s="118" t="s">
        <v>621</v>
      </c>
      <c r="T100" s="113" t="s">
        <v>621</v>
      </c>
      <c r="U100" s="118" t="s">
        <v>621</v>
      </c>
      <c r="W100" s="108" t="s">
        <v>1606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" customHeight="1" x14ac:dyDescent="0.3">
      <c r="A101" s="108" t="s">
        <v>201</v>
      </c>
      <c r="B101" s="109" t="s">
        <v>1599</v>
      </c>
      <c r="C101" s="109">
        <v>18.899999999999999</v>
      </c>
      <c r="D101" s="123"/>
      <c r="E101" s="109" t="s">
        <v>1600</v>
      </c>
      <c r="F101" s="112" t="s">
        <v>1499</v>
      </c>
      <c r="H101" s="113" t="s">
        <v>621</v>
      </c>
      <c r="I101" s="113" t="s">
        <v>621</v>
      </c>
      <c r="J101" s="118" t="s">
        <v>621</v>
      </c>
      <c r="L101" s="126" t="s">
        <v>621</v>
      </c>
      <c r="M101" s="116" t="s">
        <v>621</v>
      </c>
      <c r="O101" s="108" t="s">
        <v>621</v>
      </c>
      <c r="P101" s="117" t="s">
        <v>621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1606</v>
      </c>
      <c r="X101" s="108" t="s">
        <v>1453</v>
      </c>
      <c r="Y101" s="132">
        <v>46199</v>
      </c>
      <c r="Z101" s="108"/>
      <c r="AA101" s="108"/>
      <c r="AB101" s="108"/>
      <c r="AC101" s="108"/>
      <c r="AD101" s="108"/>
      <c r="AE101" s="108"/>
      <c r="AF101" s="108"/>
    </row>
    <row r="102" spans="1:32" ht="44.1" customHeight="1" x14ac:dyDescent="0.3">
      <c r="A102" s="108" t="s">
        <v>266</v>
      </c>
      <c r="B102" s="109" t="s">
        <v>1601</v>
      </c>
      <c r="C102" s="109">
        <v>11.18</v>
      </c>
      <c r="D102" s="123"/>
      <c r="E102" s="109" t="s">
        <v>1600</v>
      </c>
      <c r="F102" s="112" t="s">
        <v>1499</v>
      </c>
      <c r="H102" s="113" t="s">
        <v>621</v>
      </c>
      <c r="I102" s="113" t="s">
        <v>621</v>
      </c>
      <c r="J102" s="118" t="s">
        <v>621</v>
      </c>
      <c r="L102" s="126" t="s">
        <v>621</v>
      </c>
      <c r="M102" s="116" t="s">
        <v>621</v>
      </c>
      <c r="O102" s="108" t="s">
        <v>621</v>
      </c>
      <c r="P102" s="117" t="s">
        <v>621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1606</v>
      </c>
      <c r="X102" s="108" t="s">
        <v>1453</v>
      </c>
      <c r="Y102" s="132">
        <v>46199</v>
      </c>
      <c r="Z102" s="108"/>
      <c r="AA102" s="108"/>
      <c r="AB102" s="108"/>
      <c r="AC102" s="108"/>
      <c r="AD102" s="108"/>
      <c r="AE102" s="108"/>
      <c r="AF102" s="108"/>
    </row>
    <row r="103" spans="1:32" ht="44.1" customHeight="1" x14ac:dyDescent="0.3">
      <c r="A103" s="108" t="s">
        <v>279</v>
      </c>
      <c r="B103" s="109" t="s">
        <v>1602</v>
      </c>
      <c r="C103" s="109">
        <v>8</v>
      </c>
      <c r="D103" s="123"/>
      <c r="E103" s="109" t="s">
        <v>1600</v>
      </c>
      <c r="F103" s="112" t="s">
        <v>1499</v>
      </c>
      <c r="H103" s="113" t="s">
        <v>621</v>
      </c>
      <c r="I103" s="113" t="s">
        <v>621</v>
      </c>
      <c r="J103" s="118" t="s">
        <v>621</v>
      </c>
      <c r="L103" s="126" t="s">
        <v>621</v>
      </c>
      <c r="M103" s="116" t="s">
        <v>621</v>
      </c>
      <c r="O103" s="108" t="s">
        <v>621</v>
      </c>
      <c r="P103" s="117" t="s">
        <v>621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1606</v>
      </c>
      <c r="X103" s="108" t="s">
        <v>1453</v>
      </c>
      <c r="Y103" s="132">
        <v>46199</v>
      </c>
      <c r="Z103" s="108"/>
      <c r="AA103" s="108"/>
      <c r="AB103" s="108"/>
      <c r="AC103" s="108"/>
      <c r="AD103" s="108"/>
      <c r="AE103" s="108"/>
      <c r="AF103" s="108"/>
    </row>
    <row r="104" spans="1:32" ht="44.1" customHeight="1" x14ac:dyDescent="0.3">
      <c r="A104" s="108" t="s">
        <v>1603</v>
      </c>
      <c r="B104" s="109" t="s">
        <v>1341</v>
      </c>
      <c r="C104" s="129">
        <v>6.88</v>
      </c>
      <c r="D104" s="123"/>
      <c r="E104" s="108" t="s">
        <v>1539</v>
      </c>
      <c r="F104" s="112" t="s">
        <v>84</v>
      </c>
      <c r="H104" s="113">
        <v>6</v>
      </c>
      <c r="I104" s="113" t="s">
        <v>621</v>
      </c>
      <c r="J104" s="118" t="s">
        <v>621</v>
      </c>
      <c r="L104" s="130" t="s">
        <v>621</v>
      </c>
      <c r="M104" s="116" t="s">
        <v>621</v>
      </c>
      <c r="O104" s="108" t="s">
        <v>621</v>
      </c>
      <c r="P104" s="117" t="s">
        <v>621</v>
      </c>
      <c r="R104" s="113">
        <v>1050</v>
      </c>
      <c r="S104" s="118" t="s">
        <v>621</v>
      </c>
      <c r="T104" s="113">
        <v>1540</v>
      </c>
      <c r="U104" s="118">
        <v>2690</v>
      </c>
      <c r="W104" s="108" t="s">
        <v>1606</v>
      </c>
      <c r="X104" s="108" t="s">
        <v>131</v>
      </c>
      <c r="Y104" s="108"/>
      <c r="Z104" s="108"/>
      <c r="AA104" s="108"/>
      <c r="AB104" s="108"/>
      <c r="AC104" s="108"/>
      <c r="AD104" s="108"/>
      <c r="AE104" s="108"/>
      <c r="AF104" s="108"/>
    </row>
    <row r="105" spans="1:32" ht="44.1" customHeight="1" x14ac:dyDescent="0.3">
      <c r="A105" s="108" t="s">
        <v>165</v>
      </c>
      <c r="B105" s="109" t="s">
        <v>166</v>
      </c>
      <c r="C105" s="129">
        <v>25.574999999999999</v>
      </c>
      <c r="D105" s="129"/>
      <c r="E105" s="108" t="s">
        <v>1539</v>
      </c>
      <c r="F105" s="112" t="s">
        <v>46</v>
      </c>
      <c r="H105" s="129">
        <v>2.75</v>
      </c>
      <c r="I105" s="124" t="s">
        <v>1604</v>
      </c>
      <c r="J105" s="116" t="s">
        <v>621</v>
      </c>
      <c r="L105" s="126" t="s">
        <v>621</v>
      </c>
      <c r="M105" s="116" t="s">
        <v>621</v>
      </c>
      <c r="O105" s="126" t="s">
        <v>621</v>
      </c>
      <c r="P105" s="116" t="s">
        <v>621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1606</v>
      </c>
      <c r="X105" s="108" t="s">
        <v>1453</v>
      </c>
      <c r="Y105" s="132">
        <v>46199</v>
      </c>
      <c r="Z105" s="108"/>
      <c r="AA105" s="108"/>
      <c r="AB105" s="108"/>
      <c r="AC105" s="108"/>
      <c r="AD105" s="108"/>
      <c r="AE105" s="108"/>
      <c r="AF105" s="108"/>
    </row>
    <row r="106" spans="1:32" ht="44.1" hidden="1" customHeight="1" x14ac:dyDescent="0.3">
      <c r="A106" s="108"/>
      <c r="B106" s="109"/>
      <c r="C106" s="129"/>
      <c r="D106" s="129"/>
      <c r="E106" s="108"/>
      <c r="F106" s="112"/>
      <c r="H106" s="113"/>
      <c r="I106" s="113"/>
      <c r="J106" s="118"/>
      <c r="L106" s="130"/>
      <c r="M106" s="116"/>
      <c r="O106" s="108"/>
      <c r="P106" s="117"/>
      <c r="R106" s="113"/>
      <c r="S106" s="118"/>
      <c r="T106" s="113"/>
      <c r="U106" s="118"/>
      <c r="W106" s="141"/>
      <c r="X106" s="141"/>
      <c r="Z106" s="141"/>
      <c r="AA106" s="141"/>
      <c r="AB106" s="141"/>
      <c r="AC106" s="141"/>
      <c r="AD106" s="141"/>
      <c r="AE106" s="141"/>
      <c r="AF106" s="141"/>
    </row>
    <row r="107" spans="1:32" ht="44.1" hidden="1" customHeight="1" x14ac:dyDescent="0.3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41"/>
      <c r="Z107" s="141"/>
      <c r="AA107" s="141"/>
      <c r="AB107" s="141"/>
      <c r="AC107" s="141"/>
      <c r="AD107" s="141"/>
      <c r="AE107" s="141"/>
      <c r="AF107" s="141"/>
    </row>
    <row r="108" spans="1:32" ht="44.1" hidden="1" customHeight="1" x14ac:dyDescent="0.3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41"/>
      <c r="Z108" s="141"/>
      <c r="AA108" s="141"/>
      <c r="AB108" s="141"/>
      <c r="AC108" s="141"/>
      <c r="AD108" s="141"/>
      <c r="AE108" s="141"/>
      <c r="AF108" s="141"/>
    </row>
    <row r="109" spans="1:32" ht="44.1" hidden="1" customHeight="1" x14ac:dyDescent="0.3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41"/>
      <c r="Z109" s="141"/>
      <c r="AA109" s="141"/>
      <c r="AB109" s="141"/>
      <c r="AC109" s="141"/>
      <c r="AD109" s="141"/>
      <c r="AE109" s="141"/>
      <c r="AF109" s="141"/>
    </row>
    <row r="110" spans="1:32" ht="44.1" hidden="1" customHeight="1" x14ac:dyDescent="0.3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41"/>
      <c r="Z110" s="141"/>
      <c r="AA110" s="141"/>
      <c r="AB110" s="141"/>
      <c r="AC110" s="141"/>
      <c r="AD110" s="141"/>
      <c r="AE110" s="141"/>
      <c r="AF110" s="141"/>
    </row>
    <row r="111" spans="1:32" ht="44.1" hidden="1" customHeight="1" x14ac:dyDescent="0.3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41"/>
      <c r="Z111" s="141"/>
      <c r="AA111" s="141"/>
      <c r="AB111" s="141"/>
      <c r="AC111" s="141"/>
      <c r="AD111" s="141"/>
      <c r="AE111" s="141"/>
      <c r="AF111" s="141"/>
    </row>
    <row r="112" spans="1:32" ht="44.1" hidden="1" customHeight="1" x14ac:dyDescent="0.3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41"/>
      <c r="Z112" s="141"/>
      <c r="AA112" s="141"/>
      <c r="AB112" s="141"/>
      <c r="AC112" s="141"/>
      <c r="AD112" s="141"/>
      <c r="AE112" s="141"/>
      <c r="AF112" s="141"/>
    </row>
    <row r="113" spans="1:32" ht="44.1" hidden="1" customHeight="1" x14ac:dyDescent="0.3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41"/>
      <c r="Z113" s="141"/>
      <c r="AA113" s="141"/>
      <c r="AB113" s="141"/>
      <c r="AC113" s="141"/>
      <c r="AD113" s="141"/>
      <c r="AE113" s="141"/>
      <c r="AF113" s="141"/>
    </row>
    <row r="114" spans="1:32" ht="44.1" hidden="1" customHeight="1" x14ac:dyDescent="0.3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41"/>
      <c r="Z114" s="141"/>
      <c r="AA114" s="141"/>
      <c r="AB114" s="141"/>
      <c r="AC114" s="141"/>
      <c r="AD114" s="141"/>
      <c r="AE114" s="141"/>
      <c r="AF114" s="141"/>
    </row>
    <row r="115" spans="1:32" ht="44.1" hidden="1" customHeight="1" x14ac:dyDescent="0.3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41"/>
      <c r="Z115" s="141"/>
      <c r="AA115" s="141"/>
      <c r="AB115" s="141"/>
      <c r="AC115" s="141"/>
      <c r="AD115" s="141"/>
      <c r="AE115" s="141"/>
      <c r="AF115" s="141"/>
    </row>
    <row r="116" spans="1:32" ht="44.1" hidden="1" customHeight="1" x14ac:dyDescent="0.3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41"/>
      <c r="Z116" s="141"/>
      <c r="AA116" s="141"/>
      <c r="AB116" s="141"/>
      <c r="AC116" s="141"/>
      <c r="AD116" s="141"/>
      <c r="AE116" s="141"/>
      <c r="AF116" s="141"/>
    </row>
    <row r="117" spans="1:32" ht="44.1" hidden="1" customHeight="1" x14ac:dyDescent="0.3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41"/>
      <c r="Z117" s="141"/>
      <c r="AA117" s="141"/>
      <c r="AB117" s="141"/>
      <c r="AC117" s="141"/>
      <c r="AD117" s="141"/>
      <c r="AE117" s="141"/>
      <c r="AF117" s="141"/>
    </row>
    <row r="118" spans="1:32" ht="44.1" hidden="1" customHeight="1" x14ac:dyDescent="0.3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41"/>
      <c r="Z118" s="141"/>
      <c r="AA118" s="141"/>
      <c r="AB118" s="141"/>
      <c r="AC118" s="141"/>
      <c r="AD118" s="141"/>
      <c r="AE118" s="141"/>
      <c r="AF118" s="141"/>
    </row>
    <row r="119" spans="1:32" ht="44.1" hidden="1" customHeight="1" x14ac:dyDescent="0.3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41"/>
      <c r="Z119" s="141"/>
      <c r="AA119" s="141"/>
      <c r="AB119" s="141"/>
      <c r="AC119" s="141"/>
      <c r="AD119" s="141"/>
      <c r="AE119" s="141"/>
      <c r="AF119" s="141"/>
    </row>
    <row r="120" spans="1:32" ht="44.1" hidden="1" customHeight="1" x14ac:dyDescent="0.3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41"/>
      <c r="Z120" s="141"/>
      <c r="AA120" s="141"/>
      <c r="AB120" s="141"/>
      <c r="AC120" s="141"/>
      <c r="AD120" s="141"/>
      <c r="AE120" s="141"/>
      <c r="AF120" s="141"/>
    </row>
  </sheetData>
  <autoFilter ref="A5:AH105" xr:uid="{87769FF9-561D-461B-88A9-A9010617C539}"/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05 X96:X97 X99:X103 X6:X10 X12:X17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1438</v>
      </c>
      <c r="B1" s="69" t="s">
        <v>1439</v>
      </c>
      <c r="C1" s="70" t="s">
        <v>1440</v>
      </c>
      <c r="D1" s="69" t="s">
        <v>1441</v>
      </c>
      <c r="E1" s="69" t="s">
        <v>1442</v>
      </c>
      <c r="F1" s="69" t="s">
        <v>1443</v>
      </c>
      <c r="H1" s="69" t="s">
        <v>1444</v>
      </c>
    </row>
    <row r="2" spans="1:8" x14ac:dyDescent="0.3">
      <c r="A2" t="s">
        <v>764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1086.7572503999997</v>
      </c>
      <c r="E3" s="49">
        <f t="shared" ref="E3:E5" si="0">D3/C3</f>
        <v>0.82468084437061906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24444.477500000001</v>
      </c>
      <c r="H5" s="66">
        <f>SUMIFS(Controle!$AK:$AK,Controle!$AO:$AO,"Sim",Controle!$R:$R,Formulas!A5)</f>
        <v>1333.3333333333333</v>
      </c>
    </row>
    <row r="6" spans="1:8" x14ac:dyDescent="0.3">
      <c r="A6" s="53" t="s">
        <v>1445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3733.8623555600016</v>
      </c>
      <c r="E6" s="56">
        <f>D6/C6</f>
        <v>0.82238944375765177</v>
      </c>
      <c r="F6" s="67">
        <f t="shared" si="1"/>
        <v>532749.98833333328</v>
      </c>
      <c r="H6" s="67">
        <f>SUM(H2:H5)</f>
        <v>440996.87499999994</v>
      </c>
    </row>
    <row r="9" spans="1:8" x14ac:dyDescent="0.3">
      <c r="A9" s="69" t="s">
        <v>1446</v>
      </c>
      <c r="B9" s="69" t="s">
        <v>1447</v>
      </c>
      <c r="C9" s="69" t="s">
        <v>1448</v>
      </c>
      <c r="D9" s="69" t="s">
        <v>1449</v>
      </c>
      <c r="E9" s="69" t="s">
        <v>1450</v>
      </c>
    </row>
    <row r="10" spans="1:8" x14ac:dyDescent="0.3">
      <c r="A10" s="47" t="s">
        <v>1388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">
      <c r="A11" s="47" t="s">
        <v>1105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761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44022.527499999997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1117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850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259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">
      <c r="A20" s="47" t="s">
        <v>1131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880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376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245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1318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242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1183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338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369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">
      <c r="A29" s="47" t="s">
        <v>275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324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887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904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1322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1451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940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1349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1371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1445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529417.98833333328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www.w3.org/XML/1998/namespace"/>
    <ds:schemaRef ds:uri="http://schemas.openxmlformats.org/package/2006/metadata/core-properties"/>
    <ds:schemaRef ds:uri="f5ab1930-d403-4c69-b2cd-8cc48f527d10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c06ce65c-ed18-47f4-a957-afd315448c9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2026-06-30T15:00:17Z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