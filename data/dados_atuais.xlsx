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13_ncr:1_{D0684FC1-2FA2-4E52-8E3D-1CC6AD0A53B0}" xr6:coauthVersionLast="47" xr6:coauthVersionMax="47" xr10:uidLastSave="{00000000-0000-0000-0000-000000000000}"/>
  <bookViews>
    <workbookView xWindow="-108" yWindow="-108" windowWidth="23256" windowHeight="12456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<sst xmlns="http://schemas.openxmlformats.org/spreadsheetml/2006/main" count="10556" uniqueCount="1867">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</sst>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3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1" customWidth="1"/>
    <col min="6" max="6" width="38.21875" style="151" customWidth="1"/>
    <col min="7" max="7" width="5" style="151" customWidth="1"/>
    <col min="8" max="8" width="22.77734375" style="151" customWidth="1"/>
    <col min="9" max="9" width="17.21875" style="151" customWidth="1"/>
    <col min="10" max="10" width="22.77734375" style="151" customWidth="1"/>
    <col min="11" max="11" width="17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45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9" x14ac:dyDescent="0.3">
      <c r="A2" s="246" t="s">
        <v>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47" t="s">
        <v>7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8" t="s">
        <v>20</v>
      </c>
      <c r="I7" s="242"/>
      <c r="J7" s="242"/>
      <c r="K7" s="242"/>
      <c r="L7" s="242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10</v>
      </c>
      <c r="F8" s="186" cm="1">
        <f t="array" ref="F8">SUMPRODUCT(--ISNUMBER(SEARCH("INVIÁVEL",A.Propostas!L6:L118&amp;A.Propostas!AC6:AC118&amp;A.Propostas!AK6:AK118)))</f>
        <v>42</v>
      </c>
      <c r="H8" s="249" t="s">
        <v>22</v>
      </c>
      <c r="I8" s="242"/>
      <c r="J8" s="242"/>
      <c r="K8" s="242"/>
      <c r="L8" s="242"/>
    </row>
    <row r="9" spans="1:19" x14ac:dyDescent="0.3">
      <c r="H9" s="242"/>
      <c r="I9" s="242"/>
      <c r="J9" s="242"/>
      <c r="K9" s="242"/>
      <c r="L9" s="242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43" t="s">
        <v>25</v>
      </c>
      <c r="B11" s="242"/>
      <c r="C11" s="242"/>
      <c r="D11" s="242"/>
      <c r="E11" s="242"/>
      <c r="F11" s="242"/>
      <c r="H11" s="243" t="s">
        <v>26</v>
      </c>
      <c r="I11" s="242"/>
      <c r="J11" s="242"/>
      <c r="K11" s="242"/>
      <c r="L11" s="242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41" t="s">
        <v>55</v>
      </c>
      <c r="B25" s="242"/>
      <c r="C25" s="242"/>
      <c r="D25" s="242"/>
      <c r="E25" s="242"/>
      <c r="F25" s="242"/>
      <c r="H25" s="243" t="s">
        <v>56</v>
      </c>
      <c r="I25" s="242"/>
      <c r="J25" s="242"/>
      <c r="K25" s="242"/>
      <c r="L25" s="242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44" t="s">
        <v>68</v>
      </c>
      <c r="B39" s="242"/>
      <c r="C39" s="242"/>
      <c r="D39" s="242"/>
      <c r="E39" s="242"/>
      <c r="F39" s="242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1" customWidth="1"/>
    <col min="2" max="2" width="21" style="151" customWidth="1"/>
    <col min="3" max="3" width="22.77734375" style="151" customWidth="1"/>
    <col min="4" max="4" width="36.21875" style="151" customWidth="1"/>
    <col min="5" max="5" width="22.77734375" style="151" customWidth="1"/>
    <col min="6" max="6" width="38.21875" style="151" customWidth="1"/>
    <col min="7" max="7" width="5.21875" style="151" customWidth="1"/>
    <col min="8" max="8" width="22.77734375" style="151" customWidth="1"/>
    <col min="9" max="9" width="15.21875" style="151" customWidth="1"/>
    <col min="10" max="10" width="22.77734375" style="151" customWidth="1"/>
    <col min="11" max="11" width="15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52" t="s">
        <v>77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8" x14ac:dyDescent="0.3">
      <c r="A2" s="246" t="s">
        <v>78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Q2" t="s">
        <v>79</v>
      </c>
    </row>
    <row r="3" spans="1:18" x14ac:dyDescent="0.3">
      <c r="A3" s="247" t="s">
        <v>80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8" t="s">
        <v>87</v>
      </c>
      <c r="I6" s="242"/>
      <c r="J6" s="242"/>
      <c r="K6" s="242"/>
      <c r="L6" s="242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10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9" t="s">
        <v>88</v>
      </c>
      <c r="I7" s="242"/>
      <c r="J7" s="242"/>
      <c r="K7" s="242"/>
      <c r="L7" s="242"/>
      <c r="Q7" t="s">
        <v>21</v>
      </c>
      <c r="R7">
        <f>COUNTIF(A.Propostas!Z6:Z118,"KAIZEN PLANO DE CORTE")</f>
        <v>0</v>
      </c>
    </row>
    <row r="8" spans="1:18" x14ac:dyDescent="0.3">
      <c r="H8" s="242"/>
      <c r="I8" s="242"/>
      <c r="J8" s="242"/>
      <c r="K8" s="242"/>
      <c r="L8" s="242"/>
    </row>
    <row r="9" spans="1:18" x14ac:dyDescent="0.3">
      <c r="N9" t="s">
        <v>23</v>
      </c>
      <c r="O9" t="s">
        <v>4</v>
      </c>
    </row>
    <row r="10" spans="1:18" x14ac:dyDescent="0.3">
      <c r="A10" s="243" t="s">
        <v>89</v>
      </c>
      <c r="B10" s="242"/>
      <c r="C10" s="242"/>
      <c r="D10" s="242"/>
      <c r="E10" s="242"/>
      <c r="F10" s="242"/>
      <c r="H10" s="243" t="s">
        <v>26</v>
      </c>
      <c r="I10" s="242"/>
      <c r="J10" s="242"/>
      <c r="K10" s="242"/>
      <c r="L10" s="242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43" t="s">
        <v>99</v>
      </c>
      <c r="B25" s="242"/>
      <c r="C25" s="242"/>
      <c r="D25" s="242"/>
      <c r="E25" s="242"/>
      <c r="F25" s="242"/>
      <c r="H25" s="243" t="s">
        <v>100</v>
      </c>
      <c r="I25" s="242"/>
      <c r="J25" s="250"/>
      <c r="K25" s="251"/>
      <c r="L25" s="250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43" t="s">
        <v>111</v>
      </c>
      <c r="B33" s="242"/>
      <c r="C33" s="242"/>
      <c r="D33" s="242"/>
      <c r="E33" s="242"/>
      <c r="F33" s="242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3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70" zoomScaleNormal="70" workbookViewId="0">
      <pane xSplit="2" ySplit="5" topLeftCell="AB18" activePane="bottomRight" state="frozen"/>
      <selection pane="topRight" activeCell="B1" sqref="B1"/>
      <selection pane="bottomLeft" activeCell="A6" sqref="A6"/>
      <selection pane="bottomRight" activeCell="AE21" sqref="AE21:AF21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3"/>
      <c r="R2" s="204"/>
      <c r="S2" s="97"/>
      <c r="T2" s="128"/>
      <c r="U2" s="129"/>
      <c r="V2" s="129"/>
      <c r="W2" s="130"/>
      <c r="X2" s="97"/>
      <c r="Y2" s="227" t="s">
        <v>1626</v>
      </c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M2" t="s">
        <v>10</v>
      </c>
    </row>
    <row r="3" spans="1:39" ht="15" customHeight="1" thickBot="1" x14ac:dyDescent="0.5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0"/>
      <c r="O3" s="201"/>
      <c r="P3" s="97"/>
      <c r="Q3" s="134"/>
      <c r="R3" s="136"/>
      <c r="S3" s="97"/>
      <c r="T3" s="131"/>
      <c r="U3" s="132"/>
      <c r="V3" s="132"/>
      <c r="W3" s="133"/>
      <c r="X3" s="97"/>
      <c r="Y3" s="229"/>
      <c r="Z3" s="230"/>
      <c r="AA3" s="230"/>
      <c r="AB3" s="230"/>
      <c r="AC3" s="230"/>
      <c r="AD3" s="230"/>
      <c r="AE3" s="230"/>
      <c r="AF3" s="231"/>
      <c r="AG3" s="231"/>
      <c r="AH3" s="231"/>
      <c r="AI3" s="230"/>
      <c r="AJ3" s="231"/>
      <c r="AK3" s="230"/>
      <c r="AM3" t="s">
        <v>1627</v>
      </c>
    </row>
    <row r="4" spans="1:39" s="98" customFormat="1" ht="24" thickBot="1" x14ac:dyDescent="0.5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38" t="s">
        <v>1629</v>
      </c>
      <c r="K4" s="239"/>
      <c r="L4" s="240"/>
      <c r="M4" s="97"/>
      <c r="N4" s="238" t="s">
        <v>1630</v>
      </c>
      <c r="O4" s="240"/>
      <c r="P4" s="97"/>
      <c r="Q4" s="238" t="s">
        <v>1631</v>
      </c>
      <c r="R4" s="240"/>
      <c r="S4" s="97"/>
      <c r="T4" s="238" t="s">
        <v>1632</v>
      </c>
      <c r="U4" s="239"/>
      <c r="V4" s="239"/>
      <c r="W4" s="240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6" t="s">
        <v>1637</v>
      </c>
      <c r="AM4" t="s">
        <v>13</v>
      </c>
    </row>
    <row r="5" spans="1:39" ht="78.45" customHeight="1" x14ac:dyDescent="0.3">
      <c r="A5" s="19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8" t="s">
        <v>1649</v>
      </c>
      <c r="O5" s="199" t="s">
        <v>1650</v>
      </c>
      <c r="Q5" s="202" t="s">
        <v>1651</v>
      </c>
      <c r="R5" s="199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7" t="s">
        <v>1847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214" t="s">
        <v>1669</v>
      </c>
      <c r="E6" s="215">
        <v>289</v>
      </c>
      <c r="F6" s="223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" hidden="1" customHeight="1" x14ac:dyDescent="0.3">
      <c r="A7" s="108"/>
      <c r="B7" s="108" t="s">
        <v>949</v>
      </c>
      <c r="C7" s="108"/>
      <c r="D7" s="214" t="s">
        <v>1676</v>
      </c>
      <c r="E7" s="224">
        <v>283.69</v>
      </c>
      <c r="F7" s="223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8"/>
      <c r="AJ7" s="108" t="s">
        <v>1861</v>
      </c>
      <c r="AK7" s="110" t="s">
        <v>1678</v>
      </c>
    </row>
    <row r="8" spans="1:39" ht="44.1" hidden="1" customHeight="1" x14ac:dyDescent="0.3">
      <c r="A8" s="108"/>
      <c r="B8" s="108" t="s">
        <v>40</v>
      </c>
      <c r="C8" s="108"/>
      <c r="D8" s="214" t="s">
        <v>1679</v>
      </c>
      <c r="E8" s="215">
        <v>188.3</v>
      </c>
      <c r="F8" s="223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" customHeight="1" x14ac:dyDescent="0.3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10">
        <v>168140.89131840027</v>
      </c>
      <c r="G9" s="108" t="s">
        <v>24</v>
      </c>
      <c r="H9" s="110" t="s">
        <v>42</v>
      </c>
      <c r="J9" s="111">
        <f>MID(B9,4,4)/100</f>
        <v>1.8</v>
      </c>
      <c r="K9" s="209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3">
        <v>46093</v>
      </c>
      <c r="AB9" s="123">
        <v>46108</v>
      </c>
      <c r="AC9" s="123">
        <v>46155</v>
      </c>
      <c r="AD9" s="123" t="s">
        <v>1866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" hidden="1" customHeight="1" x14ac:dyDescent="0.3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10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9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3">
        <v>46269</v>
      </c>
      <c r="AB10" s="123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" customHeight="1" x14ac:dyDescent="0.3">
      <c r="A11" s="108"/>
      <c r="B11" s="108" t="s">
        <v>35</v>
      </c>
      <c r="C11" s="108"/>
      <c r="D11" s="214" t="s">
        <v>964</v>
      </c>
      <c r="E11" s="108">
        <v>78.8</v>
      </c>
      <c r="F11" s="223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1866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" hidden="1" customHeight="1" x14ac:dyDescent="0.3">
      <c r="A12" s="108"/>
      <c r="B12" s="108" t="s">
        <v>968</v>
      </c>
      <c r="C12" s="108"/>
      <c r="D12" s="214" t="s">
        <v>952</v>
      </c>
      <c r="E12" s="108">
        <v>76.400000000000006</v>
      </c>
      <c r="F12" s="223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3">
        <v>46130</v>
      </c>
      <c r="Z12" s="108" t="s">
        <v>8</v>
      </c>
      <c r="AA12" s="123">
        <v>46136</v>
      </c>
      <c r="AB12" s="123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" hidden="1" customHeight="1" x14ac:dyDescent="0.3">
      <c r="A13" s="108"/>
      <c r="B13" s="108" t="s">
        <v>979</v>
      </c>
      <c r="C13" s="108"/>
      <c r="D13" s="214" t="s">
        <v>1692</v>
      </c>
      <c r="E13" s="108">
        <v>67.69</v>
      </c>
      <c r="F13" s="223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3">
        <v>46094</v>
      </c>
      <c r="Z13" s="108" t="s">
        <v>8</v>
      </c>
      <c r="AA13" s="123">
        <v>46136</v>
      </c>
      <c r="AB13" s="123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214" t="s">
        <v>1693</v>
      </c>
      <c r="E14" s="108">
        <v>59.67</v>
      </c>
      <c r="F14" s="223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3">
        <v>46093</v>
      </c>
      <c r="AB14" s="123">
        <v>46108</v>
      </c>
      <c r="AC14" s="123">
        <v>46155</v>
      </c>
      <c r="AD14" s="108" t="s">
        <v>1866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" hidden="1" customHeight="1" x14ac:dyDescent="0.3">
      <c r="A15" s="108" t="s">
        <v>1682</v>
      </c>
      <c r="B15" s="108" t="s">
        <v>52</v>
      </c>
      <c r="C15" s="108" t="s">
        <v>1683</v>
      </c>
      <c r="D15" s="214" t="s">
        <v>1694</v>
      </c>
      <c r="E15" s="108">
        <v>36.520000000000003</v>
      </c>
      <c r="F15" s="223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3" t="s">
        <v>1728</v>
      </c>
      <c r="AB15" s="123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" customHeight="1" x14ac:dyDescent="0.3">
      <c r="A16" s="110" t="s">
        <v>1682</v>
      </c>
      <c r="B16" s="108" t="s">
        <v>71</v>
      </c>
      <c r="C16" s="108" t="s">
        <v>1683</v>
      </c>
      <c r="D16" s="110" t="s">
        <v>1696</v>
      </c>
      <c r="E16" s="108">
        <v>25.64</v>
      </c>
      <c r="F16" s="210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11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3">
        <v>46093</v>
      </c>
      <c r="AB16" s="123">
        <v>46118</v>
      </c>
      <c r="AC16" s="123">
        <v>46155</v>
      </c>
      <c r="AD16" s="108" t="s">
        <v>1866</v>
      </c>
      <c r="AE16" s="108" t="s">
        <v>12</v>
      </c>
      <c r="AF16" s="108" t="s">
        <v>12</v>
      </c>
      <c r="AG16" s="108" t="s">
        <v>12</v>
      </c>
      <c r="AH16" s="108" t="s">
        <v>12</v>
      </c>
      <c r="AI16" s="123">
        <v>46285</v>
      </c>
      <c r="AJ16" s="148" t="s">
        <v>1860</v>
      </c>
      <c r="AK16" s="148" t="s">
        <v>1858</v>
      </c>
    </row>
    <row r="17" spans="1:38" ht="44.1" hidden="1" customHeight="1" x14ac:dyDescent="0.3">
      <c r="A17" s="108"/>
      <c r="B17" s="108" t="s">
        <v>47</v>
      </c>
      <c r="C17" s="108"/>
      <c r="D17" s="214" t="s">
        <v>863</v>
      </c>
      <c r="E17" s="108">
        <v>52.22</v>
      </c>
      <c r="F17" s="210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3">
        <v>46162</v>
      </c>
      <c r="AB17" s="123">
        <v>46193</v>
      </c>
      <c r="AC17" s="123">
        <v>46181</v>
      </c>
      <c r="AD17" s="123" t="s">
        <v>1842</v>
      </c>
      <c r="AE17" s="108" t="s">
        <v>1674</v>
      </c>
      <c r="AF17" s="108" t="s">
        <v>12</v>
      </c>
      <c r="AG17" s="123">
        <v>46240</v>
      </c>
      <c r="AH17" s="123">
        <v>46240</v>
      </c>
      <c r="AI17" s="208">
        <v>46357</v>
      </c>
      <c r="AJ17" s="108" t="s">
        <v>1849</v>
      </c>
      <c r="AK17" s="108" t="s">
        <v>1700</v>
      </c>
    </row>
    <row r="18" spans="1:38" ht="44.1" customHeight="1" x14ac:dyDescent="0.3">
      <c r="A18" s="108"/>
      <c r="B18" s="108" t="s">
        <v>990</v>
      </c>
      <c r="C18" s="108"/>
      <c r="D18" s="214" t="s">
        <v>991</v>
      </c>
      <c r="E18" s="108">
        <v>45.75</v>
      </c>
      <c r="F18" s="210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1866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" hidden="1" customHeight="1" x14ac:dyDescent="0.3">
      <c r="A19" s="108"/>
      <c r="B19" s="108" t="s">
        <v>995</v>
      </c>
      <c r="C19" s="108"/>
      <c r="D19" s="214" t="s">
        <v>991</v>
      </c>
      <c r="E19" s="108">
        <v>44.43</v>
      </c>
      <c r="F19" s="210"/>
      <c r="G19" s="108" t="s">
        <v>27</v>
      </c>
      <c r="H19" s="110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" hidden="1" customHeight="1" x14ac:dyDescent="0.3">
      <c r="A20" s="108"/>
      <c r="B20" s="108" t="s">
        <v>995</v>
      </c>
      <c r="C20" s="108"/>
      <c r="D20" s="214" t="s">
        <v>991</v>
      </c>
      <c r="E20" s="108">
        <v>44.43</v>
      </c>
      <c r="F20" s="210"/>
      <c r="G20" s="108" t="s">
        <v>27</v>
      </c>
      <c r="H20" s="110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3">
        <v>46192</v>
      </c>
      <c r="AB20" s="123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" customHeight="1" x14ac:dyDescent="0.3">
      <c r="A21" s="108"/>
      <c r="B21" s="108" t="s">
        <v>73</v>
      </c>
      <c r="C21" s="108" t="s">
        <v>1707</v>
      </c>
      <c r="D21" s="216" t="s">
        <v>1708</v>
      </c>
      <c r="E21" s="108">
        <v>171.51</v>
      </c>
      <c r="F21" s="210">
        <v>96985.81</v>
      </c>
      <c r="G21" s="108" t="s">
        <v>24</v>
      </c>
      <c r="H21" s="110" t="s">
        <v>42</v>
      </c>
      <c r="J21" s="232" t="s">
        <v>12</v>
      </c>
      <c r="K21" s="233"/>
      <c r="L21" s="234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3">
        <v>46093</v>
      </c>
      <c r="AB21" s="123">
        <v>46237</v>
      </c>
      <c r="AC21" s="123">
        <v>46223</v>
      </c>
      <c r="AD21" s="123" t="s">
        <v>1866</v>
      </c>
      <c r="AE21" s="108" t="s">
        <v>12</v>
      </c>
      <c r="AF21" s="108" t="s">
        <v>12</v>
      </c>
      <c r="AG21" s="108" t="s">
        <v>12</v>
      </c>
      <c r="AH21" s="108" t="s">
        <v>12</v>
      </c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2" hidden="1" x14ac:dyDescent="0.3">
      <c r="A22" s="108"/>
      <c r="B22" s="108" t="s">
        <v>1328</v>
      </c>
      <c r="C22" s="108" t="s">
        <v>1710</v>
      </c>
      <c r="D22" s="108" t="s">
        <v>1711</v>
      </c>
      <c r="E22" s="108">
        <v>34.83</v>
      </c>
      <c r="F22" s="210">
        <f>13191.83+78959.6057250004</f>
        <v>92151.435725000396</v>
      </c>
      <c r="G22" s="108" t="s">
        <v>24</v>
      </c>
      <c r="H22" s="108" t="s">
        <v>42</v>
      </c>
      <c r="J22" s="212">
        <v>1.2</v>
      </c>
      <c r="K22" s="213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3" t="s">
        <v>1728</v>
      </c>
      <c r="AB22" s="123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2" hidden="1" x14ac:dyDescent="0.3">
      <c r="A23" s="110" t="s">
        <v>1682</v>
      </c>
      <c r="B23" s="108" t="s">
        <v>1335</v>
      </c>
      <c r="C23" s="108" t="s">
        <v>1683</v>
      </c>
      <c r="D23" s="108" t="s">
        <v>1716</v>
      </c>
      <c r="E23" s="108">
        <v>24.12</v>
      </c>
      <c r="F23" s="210">
        <v>80839.72780537518</v>
      </c>
      <c r="G23" s="108" t="s">
        <v>24</v>
      </c>
      <c r="H23" s="108" t="s">
        <v>42</v>
      </c>
      <c r="J23" s="212">
        <f>MID(B23,4,4)/100</f>
        <v>0.7</v>
      </c>
      <c r="K23" s="213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3" t="s">
        <v>1728</v>
      </c>
      <c r="AB23" s="123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" customHeight="1" x14ac:dyDescent="0.3">
      <c r="A24" s="110" t="s">
        <v>1682</v>
      </c>
      <c r="B24" s="108" t="s">
        <v>74</v>
      </c>
      <c r="C24" s="108" t="s">
        <v>1683</v>
      </c>
      <c r="D24" s="214" t="s">
        <v>1718</v>
      </c>
      <c r="E24" s="108">
        <v>58.78</v>
      </c>
      <c r="F24" s="210">
        <v>77871.275812968903</v>
      </c>
      <c r="G24" s="108" t="s">
        <v>24</v>
      </c>
      <c r="H24" s="110" t="s">
        <v>42</v>
      </c>
      <c r="J24" s="212">
        <f>MID(B24,4,4)/100</f>
        <v>1.5</v>
      </c>
      <c r="K24" s="213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3">
        <v>46093</v>
      </c>
      <c r="AB24" s="123">
        <v>46108</v>
      </c>
      <c r="AC24" s="123">
        <v>46155</v>
      </c>
      <c r="AD24" s="123" t="s">
        <v>1866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2" hidden="1" x14ac:dyDescent="0.3">
      <c r="A25" s="110" t="s">
        <v>1682</v>
      </c>
      <c r="B25" s="108" t="s">
        <v>75</v>
      </c>
      <c r="C25" s="108" t="s">
        <v>1683</v>
      </c>
      <c r="D25" s="214" t="s">
        <v>1720</v>
      </c>
      <c r="E25" s="108">
        <v>21.47</v>
      </c>
      <c r="F25" s="210">
        <f>10393.72+31672.6645679009+34645.74</f>
        <v>76712.124567900901</v>
      </c>
      <c r="G25" s="108" t="s">
        <v>24</v>
      </c>
      <c r="H25" s="110" t="s">
        <v>42</v>
      </c>
      <c r="J25" s="212">
        <f>MID(B25,4,4)/100</f>
        <v>1.2</v>
      </c>
      <c r="K25" s="213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3">
        <v>46184</v>
      </c>
      <c r="AB25" s="123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4.95" hidden="1" customHeight="1" x14ac:dyDescent="0.3">
      <c r="A26" s="110" t="s">
        <v>1682</v>
      </c>
      <c r="B26" s="108" t="s">
        <v>1342</v>
      </c>
      <c r="C26" s="108" t="s">
        <v>1683</v>
      </c>
      <c r="D26" s="108" t="s">
        <v>1723</v>
      </c>
      <c r="E26" s="108">
        <v>19.170000000000002</v>
      </c>
      <c r="F26" s="210">
        <v>43204.421619449888</v>
      </c>
      <c r="G26" s="108" t="s">
        <v>24</v>
      </c>
      <c r="H26" s="108" t="s">
        <v>42</v>
      </c>
      <c r="J26" s="212">
        <f>MID(B26,4,4)/100</f>
        <v>0.7</v>
      </c>
      <c r="K26" s="213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3" t="s">
        <v>1728</v>
      </c>
      <c r="AB26" s="123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" customHeight="1" x14ac:dyDescent="0.3">
      <c r="A27" s="110" t="s">
        <v>1682</v>
      </c>
      <c r="B27" s="108" t="s">
        <v>76</v>
      </c>
      <c r="C27" s="108" t="s">
        <v>1683</v>
      </c>
      <c r="D27" s="214" t="s">
        <v>1724</v>
      </c>
      <c r="E27" s="108">
        <v>21.47</v>
      </c>
      <c r="F27" s="210">
        <f>11347.81+31670.2095128998</f>
        <v>43018.019512899802</v>
      </c>
      <c r="G27" s="108" t="s">
        <v>24</v>
      </c>
      <c r="H27" s="110" t="s">
        <v>42</v>
      </c>
      <c r="J27" s="212">
        <f>MID(B27,4,4)/100</f>
        <v>1.2</v>
      </c>
      <c r="K27" s="213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3">
        <v>46093</v>
      </c>
      <c r="AB27" s="123">
        <v>46108</v>
      </c>
      <c r="AC27" s="123">
        <v>46155</v>
      </c>
      <c r="AD27" s="123" t="s">
        <v>1866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6.95" hidden="1" customHeight="1" x14ac:dyDescent="0.3">
      <c r="A28" s="110" t="s">
        <v>1725</v>
      </c>
      <c r="B28" s="108" t="s">
        <v>1347</v>
      </c>
      <c r="C28" s="108" t="s">
        <v>1726</v>
      </c>
      <c r="D28" s="108" t="s">
        <v>1332</v>
      </c>
      <c r="E28" s="108">
        <v>16.028320000000001</v>
      </c>
      <c r="F28" s="210">
        <v>42227.410696379688</v>
      </c>
      <c r="G28" s="108" t="s">
        <v>24</v>
      </c>
      <c r="H28" s="108" t="s">
        <v>42</v>
      </c>
      <c r="J28" s="212">
        <v>0.65</v>
      </c>
      <c r="K28" s="213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3" t="s">
        <v>1728</v>
      </c>
      <c r="AB28" s="123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" hidden="1" customHeight="1" x14ac:dyDescent="0.3">
      <c r="A29" s="108"/>
      <c r="B29" s="108" t="s">
        <v>1331</v>
      </c>
      <c r="C29" s="108" t="s">
        <v>1729</v>
      </c>
      <c r="D29" s="216" t="s">
        <v>1332</v>
      </c>
      <c r="E29" s="108">
        <v>35.130000000000003</v>
      </c>
      <c r="F29" s="225">
        <v>35917.449999999997</v>
      </c>
      <c r="G29" s="108" t="s">
        <v>24</v>
      </c>
      <c r="H29" s="110" t="s">
        <v>42</v>
      </c>
      <c r="J29" s="235" t="s">
        <v>12</v>
      </c>
      <c r="K29" s="236"/>
      <c r="L29" s="237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8</v>
      </c>
      <c r="AA29" s="123">
        <v>46093</v>
      </c>
      <c r="AB29" s="123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hidden="1" customHeight="1" x14ac:dyDescent="0.3">
      <c r="A30" s="194" t="s">
        <v>1731</v>
      </c>
      <c r="B30" s="108" t="s">
        <v>315</v>
      </c>
      <c r="C30" s="108"/>
      <c r="D30" s="214" t="s">
        <v>1732</v>
      </c>
      <c r="E30" s="108">
        <v>22.5</v>
      </c>
      <c r="F30" s="210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3">
        <v>46120</v>
      </c>
      <c r="AB30" s="123">
        <v>46141</v>
      </c>
      <c r="AC30" s="123">
        <v>46134</v>
      </c>
      <c r="AD30" s="123" t="s">
        <v>1842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5" hidden="1" customHeight="1" x14ac:dyDescent="0.3">
      <c r="A31" s="194" t="s">
        <v>1682</v>
      </c>
      <c r="B31" s="108" t="s">
        <v>1324</v>
      </c>
      <c r="C31" s="108" t="s">
        <v>1683</v>
      </c>
      <c r="D31" s="214" t="s">
        <v>1734</v>
      </c>
      <c r="E31" s="108">
        <v>36.06</v>
      </c>
      <c r="F31" s="210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3">
        <v>46184</v>
      </c>
      <c r="AB31" s="123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" hidden="1" customHeight="1" x14ac:dyDescent="0.3">
      <c r="A32" s="195" t="s">
        <v>1725</v>
      </c>
      <c r="B32" s="108" t="s">
        <v>1353</v>
      </c>
      <c r="C32" s="108" t="s">
        <v>1726</v>
      </c>
      <c r="D32" s="214" t="s">
        <v>1355</v>
      </c>
      <c r="E32" s="108">
        <v>14.416587500000002</v>
      </c>
      <c r="F32" s="210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1728</v>
      </c>
      <c r="AB32" s="108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" hidden="1" customHeight="1" x14ac:dyDescent="0.3">
      <c r="A33" s="195" t="s">
        <v>1737</v>
      </c>
      <c r="B33" s="108" t="s">
        <v>48</v>
      </c>
      <c r="C33" s="108"/>
      <c r="D33" s="214" t="s">
        <v>183</v>
      </c>
      <c r="E33" s="108">
        <v>20</v>
      </c>
      <c r="F33" s="210">
        <v>115000</v>
      </c>
      <c r="G33" s="108" t="s">
        <v>34</v>
      </c>
      <c r="H33" s="110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3">
        <v>46118</v>
      </c>
      <c r="Z33" s="108" t="s">
        <v>8</v>
      </c>
      <c r="AA33" s="123">
        <v>46120</v>
      </c>
      <c r="AB33" s="123">
        <v>46150</v>
      </c>
      <c r="AC33" s="123">
        <v>46127</v>
      </c>
      <c r="AD33" s="123" t="s">
        <v>1842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" customHeight="1" x14ac:dyDescent="0.3">
      <c r="A34" s="110" t="s">
        <v>1725</v>
      </c>
      <c r="B34" s="108" t="s">
        <v>1345</v>
      </c>
      <c r="C34" s="108" t="s">
        <v>1726</v>
      </c>
      <c r="D34" s="214" t="s">
        <v>1741</v>
      </c>
      <c r="E34" s="215">
        <v>16.496479999999998</v>
      </c>
      <c r="F34" s="210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3">
        <v>46093</v>
      </c>
      <c r="AB34" s="123">
        <v>46108</v>
      </c>
      <c r="AC34" s="123">
        <v>46155</v>
      </c>
      <c r="AD34" s="123" t="s">
        <v>1866</v>
      </c>
      <c r="AE34" s="123">
        <v>46231</v>
      </c>
      <c r="AF34" s="123">
        <v>46248</v>
      </c>
      <c r="AG34" s="123">
        <v>46174</v>
      </c>
      <c r="AH34" s="123">
        <v>46174</v>
      </c>
      <c r="AI34" s="123">
        <v>46285</v>
      </c>
      <c r="AJ34" s="123" t="s">
        <v>1856</v>
      </c>
      <c r="AK34" s="148" t="s">
        <v>96</v>
      </c>
    </row>
    <row r="35" spans="1:40" ht="44.1" hidden="1" customHeight="1" x14ac:dyDescent="0.3">
      <c r="A35" s="110" t="s">
        <v>1725</v>
      </c>
      <c r="B35" s="108" t="s">
        <v>1375</v>
      </c>
      <c r="C35" s="108" t="s">
        <v>1726</v>
      </c>
      <c r="D35" s="214" t="s">
        <v>1310</v>
      </c>
      <c r="E35" s="215">
        <v>10.200945000000001</v>
      </c>
      <c r="F35" s="225">
        <f>13937.7508231501+12721.88</f>
        <v>26659.630823150099</v>
      </c>
      <c r="G35" s="108" t="s">
        <v>24</v>
      </c>
      <c r="H35" s="110" t="s">
        <v>42</v>
      </c>
      <c r="J35" s="187">
        <v>1.2</v>
      </c>
      <c r="K35" s="191" t="s">
        <v>1376</v>
      </c>
      <c r="L35" s="196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3">
        <v>46199</v>
      </c>
      <c r="AB35" s="108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" hidden="1" customHeight="1" x14ac:dyDescent="0.3">
      <c r="A36" s="110" t="s">
        <v>1725</v>
      </c>
      <c r="B36" s="108" t="s">
        <v>1358</v>
      </c>
      <c r="C36" s="108" t="s">
        <v>1726</v>
      </c>
      <c r="D36" s="214" t="s">
        <v>1359</v>
      </c>
      <c r="E36" s="215">
        <v>13.940079999999998</v>
      </c>
      <c r="F36" s="225">
        <v>26601.63473167178</v>
      </c>
      <c r="G36" s="108" t="s">
        <v>24</v>
      </c>
      <c r="H36" s="110" t="s">
        <v>42</v>
      </c>
      <c r="J36" s="187">
        <v>0.7</v>
      </c>
      <c r="K36" s="191" t="s">
        <v>215</v>
      </c>
      <c r="L36" s="196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3">
        <v>46199</v>
      </c>
      <c r="AB36" s="108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" hidden="1" customHeight="1" x14ac:dyDescent="0.3">
      <c r="A37" s="110" t="s">
        <v>1725</v>
      </c>
      <c r="B37" s="108" t="s">
        <v>1372</v>
      </c>
      <c r="C37" s="108" t="s">
        <v>1726</v>
      </c>
      <c r="D37" s="214" t="s">
        <v>1373</v>
      </c>
      <c r="E37" s="215">
        <v>10.848305</v>
      </c>
      <c r="F37" s="210">
        <v>20698.992122215666</v>
      </c>
      <c r="G37" s="108" t="s">
        <v>24</v>
      </c>
      <c r="H37" s="110" t="s">
        <v>42</v>
      </c>
      <c r="J37" s="188">
        <v>1.65</v>
      </c>
      <c r="K37" s="189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3">
        <v>46199</v>
      </c>
      <c r="AB37" s="123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8">
        <v>46456</v>
      </c>
      <c r="AJ37" s="108" t="s">
        <v>1849</v>
      </c>
      <c r="AK37" s="108" t="s">
        <v>1747</v>
      </c>
    </row>
    <row r="38" spans="1:40" ht="44.1" hidden="1" customHeight="1" x14ac:dyDescent="0.3">
      <c r="A38" s="110" t="s">
        <v>1725</v>
      </c>
      <c r="B38" s="108" t="s">
        <v>1399</v>
      </c>
      <c r="C38" s="108" t="s">
        <v>1726</v>
      </c>
      <c r="D38" s="214" t="s">
        <v>1359</v>
      </c>
      <c r="E38" s="215">
        <v>5.0187400000000002</v>
      </c>
      <c r="F38" s="210">
        <v>25247.000838780237</v>
      </c>
      <c r="G38" s="108" t="s">
        <v>24</v>
      </c>
      <c r="H38" s="110" t="s">
        <v>51</v>
      </c>
      <c r="J38" s="187">
        <v>0.7</v>
      </c>
      <c r="K38" s="191" t="s">
        <v>215</v>
      </c>
      <c r="L38" s="196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3">
        <v>46199</v>
      </c>
      <c r="AB38" s="108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" hidden="1" customHeight="1" x14ac:dyDescent="0.3">
      <c r="A39" s="110" t="s">
        <v>1748</v>
      </c>
      <c r="B39" s="108" t="s">
        <v>1749</v>
      </c>
      <c r="C39" s="108" t="s">
        <v>1750</v>
      </c>
      <c r="D39" s="214" t="s">
        <v>785</v>
      </c>
      <c r="E39" s="215">
        <v>1.37</v>
      </c>
      <c r="F39" s="210">
        <v>24586.690002966105</v>
      </c>
      <c r="G39" s="108" t="s">
        <v>24</v>
      </c>
      <c r="H39" s="110" t="s">
        <v>177</v>
      </c>
      <c r="J39" s="187">
        <v>1</v>
      </c>
      <c r="K39" s="191" t="s">
        <v>1751</v>
      </c>
      <c r="L39" s="196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3">
        <v>46199</v>
      </c>
      <c r="AB39" s="108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" hidden="1" customHeight="1" x14ac:dyDescent="0.3">
      <c r="A40" s="195" t="s">
        <v>1752</v>
      </c>
      <c r="B40" s="108" t="s">
        <v>243</v>
      </c>
      <c r="C40" s="108"/>
      <c r="D40" s="214" t="s">
        <v>244</v>
      </c>
      <c r="E40" s="215">
        <v>15.5</v>
      </c>
      <c r="F40" s="210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3">
        <v>46120</v>
      </c>
      <c r="AB40" s="123">
        <v>46141</v>
      </c>
      <c r="AC40" s="123">
        <v>46134</v>
      </c>
      <c r="AD40" s="123" t="s">
        <v>1842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" hidden="1" customHeight="1" x14ac:dyDescent="0.3">
      <c r="A41" s="110" t="s">
        <v>1748</v>
      </c>
      <c r="B41" s="108" t="s">
        <v>1409</v>
      </c>
      <c r="C41" s="108" t="s">
        <v>1750</v>
      </c>
      <c r="D41" s="214" t="s">
        <v>1410</v>
      </c>
      <c r="E41" s="215">
        <v>4.6100000000000003</v>
      </c>
      <c r="F41" s="210">
        <v>22999.954309605026</v>
      </c>
      <c r="G41" s="108" t="s">
        <v>24</v>
      </c>
      <c r="H41" s="110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8">
        <v>46294</v>
      </c>
      <c r="Z41" s="108" t="s">
        <v>10</v>
      </c>
      <c r="AA41" s="123"/>
      <c r="AB41" s="123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" hidden="1" customHeight="1" x14ac:dyDescent="0.3">
      <c r="A42" s="110" t="s">
        <v>1748</v>
      </c>
      <c r="B42" s="108" t="s">
        <v>1418</v>
      </c>
      <c r="C42" s="108" t="s">
        <v>1750</v>
      </c>
      <c r="D42" s="214" t="s">
        <v>1387</v>
      </c>
      <c r="E42" s="215">
        <v>4.1399999999999997</v>
      </c>
      <c r="F42" s="210">
        <v>40079.58</v>
      </c>
      <c r="G42" s="108" t="s">
        <v>24</v>
      </c>
      <c r="H42" s="110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8">
        <v>46294</v>
      </c>
      <c r="Z42" s="108" t="s">
        <v>10</v>
      </c>
      <c r="AA42" s="123"/>
      <c r="AB42" s="123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" hidden="1" customHeight="1" x14ac:dyDescent="0.3">
      <c r="A43" s="110" t="s">
        <v>1725</v>
      </c>
      <c r="B43" s="108" t="s">
        <v>1754</v>
      </c>
      <c r="C43" s="108" t="s">
        <v>1726</v>
      </c>
      <c r="D43" s="214" t="s">
        <v>1363</v>
      </c>
      <c r="E43" s="215">
        <v>13.9</v>
      </c>
      <c r="F43" s="225">
        <v>15706.677756106737</v>
      </c>
      <c r="G43" s="108" t="s">
        <v>24</v>
      </c>
      <c r="H43" s="110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1728</v>
      </c>
      <c r="AB43" s="108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" hidden="1" customHeight="1" x14ac:dyDescent="0.3">
      <c r="A44" s="110" t="s">
        <v>1748</v>
      </c>
      <c r="B44" s="108" t="s">
        <v>1423</v>
      </c>
      <c r="C44" s="108" t="s">
        <v>1750</v>
      </c>
      <c r="D44" s="214" t="s">
        <v>1424</v>
      </c>
      <c r="E44" s="215">
        <v>4</v>
      </c>
      <c r="F44" s="210">
        <v>18761.627807047204</v>
      </c>
      <c r="G44" s="108" t="s">
        <v>24</v>
      </c>
      <c r="H44" s="110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8">
        <v>46294</v>
      </c>
      <c r="Z44" s="108" t="s">
        <v>10</v>
      </c>
      <c r="AA44" s="123"/>
      <c r="AB44" s="123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" hidden="1" customHeight="1" x14ac:dyDescent="0.3">
      <c r="A45" s="110" t="s">
        <v>1725</v>
      </c>
      <c r="B45" s="108" t="s">
        <v>574</v>
      </c>
      <c r="C45" s="108" t="s">
        <v>1726</v>
      </c>
      <c r="D45" s="216" t="s">
        <v>1755</v>
      </c>
      <c r="E45" s="108">
        <v>15.71</v>
      </c>
      <c r="F45" s="210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1746</v>
      </c>
      <c r="N45" s="190" t="s">
        <v>1730</v>
      </c>
      <c r="O45" s="190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1728</v>
      </c>
      <c r="AB45" s="108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108" t="s">
        <v>1728</v>
      </c>
      <c r="AK45" s="108" t="s">
        <v>1865</v>
      </c>
    </row>
    <row r="46" spans="1:40" s="197" customFormat="1" ht="44.1" hidden="1" customHeight="1" x14ac:dyDescent="0.3">
      <c r="A46" s="108"/>
      <c r="B46" s="108" t="s">
        <v>1360</v>
      </c>
      <c r="C46" s="108" t="s">
        <v>1729</v>
      </c>
      <c r="D46" s="108" t="s">
        <v>1756</v>
      </c>
      <c r="E46" s="108">
        <v>12.53</v>
      </c>
      <c r="F46" s="226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2"/>
      <c r="O46" s="190"/>
      <c r="P46"/>
      <c r="Q46" t="s">
        <v>12</v>
      </c>
      <c r="R46" s="111" t="s">
        <v>12</v>
      </c>
      <c r="S46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3" t="s">
        <v>1673</v>
      </c>
      <c r="Z46" s="123" t="s">
        <v>8</v>
      </c>
      <c r="AA46" s="123">
        <v>46199</v>
      </c>
      <c r="AB46" s="123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08"/>
      <c r="AL46"/>
      <c r="AM46"/>
      <c r="AN46"/>
    </row>
    <row r="47" spans="1:40" ht="44.1" hidden="1" customHeight="1" x14ac:dyDescent="0.3">
      <c r="A47" s="110" t="s">
        <v>1725</v>
      </c>
      <c r="B47" s="108" t="s">
        <v>926</v>
      </c>
      <c r="C47" s="108" t="s">
        <v>1726</v>
      </c>
      <c r="D47" s="214" t="s">
        <v>1397</v>
      </c>
      <c r="E47" s="215">
        <v>5.6520000000000001</v>
      </c>
      <c r="F47" s="225">
        <v>10239.625233337503</v>
      </c>
      <c r="G47" s="108" t="s">
        <v>24</v>
      </c>
      <c r="H47" s="110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3">
        <v>46199</v>
      </c>
      <c r="AB47" s="123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108" t="s">
        <v>1728</v>
      </c>
      <c r="AK47" s="108"/>
    </row>
    <row r="48" spans="1:40" ht="44.1" hidden="1" customHeight="1" x14ac:dyDescent="0.3">
      <c r="A48" s="110" t="s">
        <v>1748</v>
      </c>
      <c r="B48" s="108" t="s">
        <v>1404</v>
      </c>
      <c r="C48" s="108" t="s">
        <v>1750</v>
      </c>
      <c r="D48" s="216" t="s">
        <v>1758</v>
      </c>
      <c r="E48" s="108">
        <v>5.69</v>
      </c>
      <c r="F48" s="210">
        <f>14582.7877499304+3700</f>
        <v>18282.787749930401</v>
      </c>
      <c r="G48" s="108" t="s">
        <v>24</v>
      </c>
      <c r="H48" s="110" t="s">
        <v>1575</v>
      </c>
      <c r="J48" s="111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8">
        <v>46294</v>
      </c>
      <c r="Z48" s="108" t="s">
        <v>10</v>
      </c>
      <c r="AA48" s="123"/>
      <c r="AB48" s="123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" hidden="1" customHeight="1" x14ac:dyDescent="0.3">
      <c r="A49" s="110" t="s">
        <v>1748</v>
      </c>
      <c r="B49" s="108" t="s">
        <v>1380</v>
      </c>
      <c r="C49" s="108" t="s">
        <v>1750</v>
      </c>
      <c r="D49" s="214" t="s">
        <v>1363</v>
      </c>
      <c r="E49" s="215">
        <v>8.6300000000000008</v>
      </c>
      <c r="F49" s="225">
        <v>12633.085718253134</v>
      </c>
      <c r="G49" s="108" t="s">
        <v>24</v>
      </c>
      <c r="H49" s="110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3">
        <v>46217</v>
      </c>
      <c r="AB49" s="123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" hidden="1" customHeight="1" x14ac:dyDescent="0.3">
      <c r="A50" s="110" t="s">
        <v>1748</v>
      </c>
      <c r="B50" s="108" t="s">
        <v>1425</v>
      </c>
      <c r="C50" s="108" t="s">
        <v>1750</v>
      </c>
      <c r="D50" s="216" t="s">
        <v>633</v>
      </c>
      <c r="E50" s="108">
        <v>4</v>
      </c>
      <c r="F50" s="210">
        <v>12157.462698176198</v>
      </c>
      <c r="G50" s="108" t="s">
        <v>24</v>
      </c>
      <c r="H50" s="110" t="s">
        <v>1575</v>
      </c>
      <c r="J50" s="111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8">
        <v>46294</v>
      </c>
      <c r="Z50" s="108" t="s">
        <v>10</v>
      </c>
      <c r="AA50" s="123"/>
      <c r="AB50" s="123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" hidden="1" customHeight="1" x14ac:dyDescent="0.3">
      <c r="A51" s="110" t="s">
        <v>1748</v>
      </c>
      <c r="B51" s="108" t="s">
        <v>1435</v>
      </c>
      <c r="C51" s="108" t="s">
        <v>1750</v>
      </c>
      <c r="D51" s="216" t="s">
        <v>1424</v>
      </c>
      <c r="E51" s="108">
        <v>2.74</v>
      </c>
      <c r="F51" s="210">
        <v>12062.94014484057</v>
      </c>
      <c r="G51" s="108" t="s">
        <v>24</v>
      </c>
      <c r="H51" s="110" t="s">
        <v>1575</v>
      </c>
      <c r="J51" s="111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8">
        <v>46294</v>
      </c>
      <c r="Z51" s="108" t="s">
        <v>10</v>
      </c>
      <c r="AA51" s="123"/>
      <c r="AB51" s="123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" hidden="1" customHeight="1" x14ac:dyDescent="0.3">
      <c r="A52" s="110" t="s">
        <v>1748</v>
      </c>
      <c r="B52" s="108" t="s">
        <v>1422</v>
      </c>
      <c r="C52" s="108" t="s">
        <v>1750</v>
      </c>
      <c r="D52" s="216" t="s">
        <v>1363</v>
      </c>
      <c r="E52" s="108">
        <v>4.5999999999999996</v>
      </c>
      <c r="F52" s="210">
        <v>11841.607961308147</v>
      </c>
      <c r="G52" s="108" t="s">
        <v>24</v>
      </c>
      <c r="H52" s="110" t="s">
        <v>1575</v>
      </c>
      <c r="J52" s="111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8">
        <v>46294</v>
      </c>
      <c r="Z52" s="108" t="s">
        <v>10</v>
      </c>
      <c r="AA52" s="123"/>
      <c r="AB52" s="123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" hidden="1" customHeight="1" x14ac:dyDescent="0.3">
      <c r="A53" s="110" t="s">
        <v>1725</v>
      </c>
      <c r="B53" s="108" t="s">
        <v>1390</v>
      </c>
      <c r="C53" s="108" t="s">
        <v>1726</v>
      </c>
      <c r="D53" s="214" t="s">
        <v>1392</v>
      </c>
      <c r="E53" s="215">
        <v>6.4512</v>
      </c>
      <c r="F53" s="210">
        <v>9529.5824094649397</v>
      </c>
      <c r="G53" s="108" t="s">
        <v>24</v>
      </c>
      <c r="H53" s="110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3">
        <v>46199</v>
      </c>
      <c r="AB53" s="123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8">
        <v>46456</v>
      </c>
      <c r="AJ53" s="108" t="s">
        <v>1849</v>
      </c>
      <c r="AK53" s="108" t="s">
        <v>1747</v>
      </c>
    </row>
    <row r="54" spans="1:37" ht="44.1" hidden="1" customHeight="1" x14ac:dyDescent="0.3">
      <c r="A54" s="110" t="s">
        <v>1725</v>
      </c>
      <c r="B54" s="108" t="s">
        <v>1761</v>
      </c>
      <c r="C54" s="108" t="s">
        <v>1726</v>
      </c>
      <c r="D54" s="214" t="s">
        <v>1370</v>
      </c>
      <c r="E54" s="215">
        <v>11.65</v>
      </c>
      <c r="F54" s="210">
        <v>10196.017828738581</v>
      </c>
      <c r="G54" s="108" t="s">
        <v>24</v>
      </c>
      <c r="H54" s="110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3">
        <v>46199</v>
      </c>
      <c r="AB54" s="123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" hidden="1" customHeight="1" x14ac:dyDescent="0.3">
      <c r="A55" s="110" t="s">
        <v>1748</v>
      </c>
      <c r="B55" s="108" t="s">
        <v>1467</v>
      </c>
      <c r="C55" s="108" t="s">
        <v>1750</v>
      </c>
      <c r="D55" s="214" t="s">
        <v>1468</v>
      </c>
      <c r="E55" s="215">
        <v>0.66</v>
      </c>
      <c r="F55" s="210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8">
        <v>46294</v>
      </c>
      <c r="Z55" s="108" t="s">
        <v>10</v>
      </c>
      <c r="AA55" s="123"/>
      <c r="AB55" s="123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" hidden="1" customHeight="1" x14ac:dyDescent="0.3">
      <c r="A56" s="110" t="s">
        <v>1748</v>
      </c>
      <c r="B56" s="108" t="s">
        <v>1430</v>
      </c>
      <c r="C56" s="108" t="s">
        <v>1750</v>
      </c>
      <c r="D56" s="214" t="s">
        <v>1363</v>
      </c>
      <c r="E56" s="215">
        <v>2.89</v>
      </c>
      <c r="F56" s="210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8">
        <v>46294</v>
      </c>
      <c r="Z56" s="108" t="s">
        <v>10</v>
      </c>
      <c r="AA56" s="123"/>
      <c r="AB56" s="123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" hidden="1" customHeight="1" x14ac:dyDescent="0.3">
      <c r="A57" s="110" t="s">
        <v>1725</v>
      </c>
      <c r="B57" s="108" t="s">
        <v>1401</v>
      </c>
      <c r="C57" s="108" t="s">
        <v>1726</v>
      </c>
      <c r="D57" s="214" t="s">
        <v>1402</v>
      </c>
      <c r="E57" s="215">
        <v>5.1935000000000002</v>
      </c>
      <c r="F57" s="225">
        <v>8902.0294336259212</v>
      </c>
      <c r="G57" s="108" t="s">
        <v>24</v>
      </c>
      <c r="H57" s="110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3">
        <v>46199</v>
      </c>
      <c r="AB57" s="123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" hidden="1" customHeight="1" x14ac:dyDescent="0.3">
      <c r="A58" s="110" t="s">
        <v>1748</v>
      </c>
      <c r="B58" s="108" t="s">
        <v>1386</v>
      </c>
      <c r="C58" s="108" t="s">
        <v>1750</v>
      </c>
      <c r="D58" s="108" t="s">
        <v>1387</v>
      </c>
      <c r="E58" s="108">
        <v>6.84</v>
      </c>
      <c r="F58" s="210">
        <v>8977.6446340546463</v>
      </c>
      <c r="G58" s="108" t="s">
        <v>24</v>
      </c>
      <c r="H58" s="108" t="s">
        <v>1575</v>
      </c>
      <c r="J58" s="111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8">
        <v>46294</v>
      </c>
      <c r="Z58" s="108" t="s">
        <v>10</v>
      </c>
      <c r="AA58" s="123"/>
      <c r="AB58" s="123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" hidden="1" customHeight="1" x14ac:dyDescent="0.3">
      <c r="A59" s="110" t="s">
        <v>1725</v>
      </c>
      <c r="B59" s="108" t="s">
        <v>1365</v>
      </c>
      <c r="C59" s="108" t="s">
        <v>1726</v>
      </c>
      <c r="D59" s="214" t="s">
        <v>1367</v>
      </c>
      <c r="E59" s="215">
        <v>12.333375</v>
      </c>
      <c r="F59" s="210">
        <v>8426.3931185615984</v>
      </c>
      <c r="G59" s="108" t="s">
        <v>24</v>
      </c>
      <c r="H59" s="110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3">
        <v>46199</v>
      </c>
      <c r="AB59" s="123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8">
        <v>46456</v>
      </c>
      <c r="AJ59" s="108" t="s">
        <v>1849</v>
      </c>
      <c r="AK59" s="108" t="s">
        <v>1747</v>
      </c>
    </row>
    <row r="60" spans="1:37" ht="44.1" hidden="1" customHeight="1" x14ac:dyDescent="0.3">
      <c r="A60" s="110" t="s">
        <v>1725</v>
      </c>
      <c r="B60" s="108" t="s">
        <v>1458</v>
      </c>
      <c r="C60" s="108" t="s">
        <v>1726</v>
      </c>
      <c r="D60" s="214" t="s">
        <v>1459</v>
      </c>
      <c r="E60" s="215">
        <v>1.0164</v>
      </c>
      <c r="F60" s="210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3">
        <v>46199</v>
      </c>
      <c r="AB60" s="123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8">
        <v>46456</v>
      </c>
      <c r="AJ60" s="108" t="s">
        <v>1849</v>
      </c>
      <c r="AK60" s="108" t="s">
        <v>1747</v>
      </c>
    </row>
    <row r="61" spans="1:37" ht="44.1" hidden="1" customHeight="1" x14ac:dyDescent="0.3">
      <c r="A61" s="195" t="s">
        <v>1768</v>
      </c>
      <c r="B61" s="108" t="s">
        <v>430</v>
      </c>
      <c r="C61" s="108"/>
      <c r="D61" s="214" t="s">
        <v>1769</v>
      </c>
      <c r="E61" s="108">
        <v>5.6</v>
      </c>
      <c r="F61" s="210">
        <v>13137.64</v>
      </c>
      <c r="G61" s="108" t="s">
        <v>34</v>
      </c>
      <c r="H61" s="110" t="s">
        <v>45</v>
      </c>
      <c r="J61" s="111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3">
        <v>46038</v>
      </c>
      <c r="Z61" s="108" t="s">
        <v>8</v>
      </c>
      <c r="AA61" s="123">
        <v>46038</v>
      </c>
      <c r="AB61" s="123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" hidden="1" customHeight="1" x14ac:dyDescent="0.3">
      <c r="A62" s="110" t="s">
        <v>1725</v>
      </c>
      <c r="B62" s="108" t="s">
        <v>1439</v>
      </c>
      <c r="C62" s="108" t="s">
        <v>1726</v>
      </c>
      <c r="D62" s="214" t="s">
        <v>1771</v>
      </c>
      <c r="E62" s="215">
        <v>2.2283600000000003</v>
      </c>
      <c r="F62" s="210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3">
        <v>46199</v>
      </c>
      <c r="AB62" s="108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" hidden="1" customHeight="1" x14ac:dyDescent="0.3">
      <c r="A63" s="110" t="s">
        <v>1748</v>
      </c>
      <c r="B63" s="108" t="s">
        <v>1388</v>
      </c>
      <c r="C63" s="108" t="s">
        <v>1750</v>
      </c>
      <c r="D63" s="214" t="s">
        <v>1363</v>
      </c>
      <c r="E63" s="215">
        <v>4.16</v>
      </c>
      <c r="F63" s="210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8">
        <v>46294</v>
      </c>
      <c r="Z63" s="108" t="s">
        <v>10</v>
      </c>
      <c r="AA63" s="123"/>
      <c r="AB63" s="123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" hidden="1" customHeight="1" x14ac:dyDescent="0.3">
      <c r="A64" s="110" t="s">
        <v>1725</v>
      </c>
      <c r="B64" s="108" t="s">
        <v>1444</v>
      </c>
      <c r="C64" s="108" t="s">
        <v>1726</v>
      </c>
      <c r="D64" s="214" t="s">
        <v>1772</v>
      </c>
      <c r="E64" s="215">
        <v>2.1937499999999996</v>
      </c>
      <c r="F64" s="225">
        <v>7375.3943988375131</v>
      </c>
      <c r="G64" s="108" t="s">
        <v>24</v>
      </c>
      <c r="H64" s="110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3">
        <v>46199</v>
      </c>
      <c r="AB64" s="108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" hidden="1" customHeight="1" x14ac:dyDescent="0.3">
      <c r="A65" s="110" t="s">
        <v>1725</v>
      </c>
      <c r="B65" s="108" t="s">
        <v>1419</v>
      </c>
      <c r="C65" s="108" t="s">
        <v>1726</v>
      </c>
      <c r="D65" s="214" t="s">
        <v>1420</v>
      </c>
      <c r="E65" s="215">
        <v>3.8872200000000001</v>
      </c>
      <c r="F65" s="210">
        <v>6848.7510031367929</v>
      </c>
      <c r="G65" s="108" t="s">
        <v>24</v>
      </c>
      <c r="H65" s="110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3">
        <v>46199</v>
      </c>
      <c r="AB65" s="123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8">
        <v>46456</v>
      </c>
      <c r="AJ65" s="108" t="s">
        <v>1849</v>
      </c>
      <c r="AK65" s="108" t="s">
        <v>1747</v>
      </c>
    </row>
    <row r="66" spans="1:37" ht="44.1" hidden="1" customHeight="1" x14ac:dyDescent="0.3">
      <c r="A66" s="110" t="s">
        <v>1725</v>
      </c>
      <c r="B66" s="108" t="s">
        <v>1411</v>
      </c>
      <c r="C66" s="108" t="s">
        <v>1726</v>
      </c>
      <c r="D66" s="214" t="s">
        <v>1412</v>
      </c>
      <c r="E66" s="215">
        <v>4.2117500000000003</v>
      </c>
      <c r="F66" s="210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3">
        <v>46199</v>
      </c>
      <c r="AB66" s="123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8">
        <v>46456</v>
      </c>
      <c r="AJ66" s="108" t="s">
        <v>1849</v>
      </c>
      <c r="AK66" s="108" t="s">
        <v>1747</v>
      </c>
    </row>
    <row r="67" spans="1:37" ht="44.1" hidden="1" customHeight="1" x14ac:dyDescent="0.3">
      <c r="A67" s="110" t="s">
        <v>1725</v>
      </c>
      <c r="B67" s="108" t="s">
        <v>1383</v>
      </c>
      <c r="C67" s="108" t="s">
        <v>1726</v>
      </c>
      <c r="D67" s="214" t="s">
        <v>1774</v>
      </c>
      <c r="E67" s="215">
        <v>6.5935199999999998</v>
      </c>
      <c r="F67" s="210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3">
        <v>46199</v>
      </c>
      <c r="AB67" s="108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" hidden="1" customHeight="1" x14ac:dyDescent="0.3">
      <c r="A68" s="110" t="s">
        <v>1725</v>
      </c>
      <c r="B68" s="108" t="s">
        <v>1395</v>
      </c>
      <c r="C68" s="108" t="s">
        <v>1726</v>
      </c>
      <c r="D68" s="214" t="s">
        <v>1396</v>
      </c>
      <c r="E68" s="215">
        <v>5.9535</v>
      </c>
      <c r="F68" s="210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3">
        <v>46199</v>
      </c>
      <c r="AB68" s="123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8">
        <v>46456</v>
      </c>
      <c r="AJ68" s="108" t="s">
        <v>1849</v>
      </c>
      <c r="AK68" s="108" t="s">
        <v>1747</v>
      </c>
    </row>
    <row r="69" spans="1:37" ht="44.1" hidden="1" customHeight="1" x14ac:dyDescent="0.3">
      <c r="A69" s="110" t="s">
        <v>1725</v>
      </c>
      <c r="B69" s="108" t="s">
        <v>1416</v>
      </c>
      <c r="C69" s="108" t="s">
        <v>1726</v>
      </c>
      <c r="D69" s="214" t="s">
        <v>1412</v>
      </c>
      <c r="E69" s="215">
        <v>3.9763875000000004</v>
      </c>
      <c r="F69" s="225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3">
        <v>46199</v>
      </c>
      <c r="AB69" s="108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" hidden="1" customHeight="1" x14ac:dyDescent="0.3">
      <c r="A70" s="110" t="s">
        <v>1725</v>
      </c>
      <c r="B70" s="108" t="s">
        <v>1447</v>
      </c>
      <c r="C70" s="108" t="s">
        <v>1726</v>
      </c>
      <c r="D70" s="214" t="s">
        <v>1448</v>
      </c>
      <c r="E70" s="215">
        <v>1.95</v>
      </c>
      <c r="F70" s="225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3">
        <v>46199</v>
      </c>
      <c r="AB70" s="108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hidden="1" customHeight="1" x14ac:dyDescent="0.3">
      <c r="A71" s="110" t="s">
        <v>1748</v>
      </c>
      <c r="B71" s="108" t="s">
        <v>1480</v>
      </c>
      <c r="C71" s="108" t="s">
        <v>1750</v>
      </c>
      <c r="D71" s="214" t="s">
        <v>1481</v>
      </c>
      <c r="E71" s="215">
        <v>0.05</v>
      </c>
      <c r="F71" s="210">
        <v>6241.7428491599348</v>
      </c>
      <c r="G71" s="108" t="s">
        <v>24</v>
      </c>
      <c r="H71" s="110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8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" hidden="1" customHeight="1" x14ac:dyDescent="0.3">
      <c r="A72" s="110" t="s">
        <v>1748</v>
      </c>
      <c r="B72" s="108" t="s">
        <v>1378</v>
      </c>
      <c r="C72" s="108" t="s">
        <v>1750</v>
      </c>
      <c r="D72" s="214" t="s">
        <v>916</v>
      </c>
      <c r="E72" s="215">
        <v>7.6096000000000004</v>
      </c>
      <c r="F72" s="225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3">
        <v>46199</v>
      </c>
      <c r="AB72" s="108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" hidden="1" customHeight="1" x14ac:dyDescent="0.3">
      <c r="A73" s="110" t="s">
        <v>1725</v>
      </c>
      <c r="B73" s="108" t="s">
        <v>1394</v>
      </c>
      <c r="C73" s="108" t="s">
        <v>1726</v>
      </c>
      <c r="D73" s="214" t="s">
        <v>1384</v>
      </c>
      <c r="E73" s="215">
        <v>5.7246000000000006</v>
      </c>
      <c r="F73" s="210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3">
        <v>46199</v>
      </c>
      <c r="AB73" s="108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" hidden="1" customHeight="1" x14ac:dyDescent="0.3">
      <c r="A74" s="110" t="s">
        <v>1748</v>
      </c>
      <c r="B74" s="108" t="s">
        <v>1474</v>
      </c>
      <c r="C74" s="108" t="s">
        <v>1750</v>
      </c>
      <c r="D74" s="214" t="s">
        <v>1776</v>
      </c>
      <c r="E74" s="215">
        <v>0.36</v>
      </c>
      <c r="F74" s="225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3">
        <v>46199</v>
      </c>
      <c r="AB74" s="108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" hidden="1" customHeight="1" x14ac:dyDescent="0.3">
      <c r="A75" s="110" t="s">
        <v>1748</v>
      </c>
      <c r="B75" s="108" t="s">
        <v>784</v>
      </c>
      <c r="C75" s="108" t="s">
        <v>1750</v>
      </c>
      <c r="D75" s="214" t="s">
        <v>785</v>
      </c>
      <c r="E75" s="215">
        <v>1.37</v>
      </c>
      <c r="F75" s="210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8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" hidden="1" customHeight="1" x14ac:dyDescent="0.3">
      <c r="A76" s="110" t="s">
        <v>1748</v>
      </c>
      <c r="B76" s="108" t="s">
        <v>1470</v>
      </c>
      <c r="C76" s="108" t="s">
        <v>1750</v>
      </c>
      <c r="D76" s="214" t="s">
        <v>1471</v>
      </c>
      <c r="E76" s="215">
        <v>0.63</v>
      </c>
      <c r="F76" s="210">
        <v>4306.029936390004</v>
      </c>
      <c r="G76" s="108" t="s">
        <v>24</v>
      </c>
      <c r="H76" s="110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8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" hidden="1" customHeight="1" x14ac:dyDescent="0.3">
      <c r="A77" s="110" t="s">
        <v>1748</v>
      </c>
      <c r="B77" s="108" t="s">
        <v>1407</v>
      </c>
      <c r="C77" s="108" t="s">
        <v>1750</v>
      </c>
      <c r="D77" s="214" t="s">
        <v>1396</v>
      </c>
      <c r="E77" s="215">
        <v>4.1760000000000002</v>
      </c>
      <c r="F77" s="210">
        <v>3984.5269882341654</v>
      </c>
      <c r="G77" s="108" t="s">
        <v>24</v>
      </c>
      <c r="H77" s="110" t="s">
        <v>42</v>
      </c>
      <c r="J77" s="111">
        <v>2.5</v>
      </c>
      <c r="K77" s="111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3">
        <v>46199</v>
      </c>
      <c r="AB77" s="123">
        <v>46245</v>
      </c>
      <c r="AC77" s="123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8">
        <v>46456</v>
      </c>
      <c r="AJ77" s="108" t="s">
        <v>1849</v>
      </c>
      <c r="AK77" s="108" t="s">
        <v>1747</v>
      </c>
    </row>
    <row r="78" spans="1:37" ht="44.1" hidden="1" customHeight="1" x14ac:dyDescent="0.3">
      <c r="A78" s="110" t="s">
        <v>1748</v>
      </c>
      <c r="B78" s="108" t="s">
        <v>1456</v>
      </c>
      <c r="C78" s="108" t="s">
        <v>1750</v>
      </c>
      <c r="D78" s="214" t="s">
        <v>1457</v>
      </c>
      <c r="E78" s="215">
        <v>1.1088</v>
      </c>
      <c r="F78" s="225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3">
        <v>46199</v>
      </c>
      <c r="AB78" s="108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" hidden="1" customHeight="1" x14ac:dyDescent="0.3">
      <c r="A79" s="110" t="s">
        <v>1748</v>
      </c>
      <c r="B79" s="108" t="s">
        <v>1432</v>
      </c>
      <c r="C79" s="108" t="s">
        <v>1750</v>
      </c>
      <c r="D79" s="214" t="s">
        <v>1433</v>
      </c>
      <c r="E79" s="215">
        <v>2.59335</v>
      </c>
      <c r="F79" s="225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3">
        <v>46199</v>
      </c>
      <c r="AB79" s="108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" hidden="1" customHeight="1" x14ac:dyDescent="0.3">
      <c r="A80" s="110" t="s">
        <v>1748</v>
      </c>
      <c r="B80" s="108" t="s">
        <v>1414</v>
      </c>
      <c r="C80" s="108" t="s">
        <v>1750</v>
      </c>
      <c r="D80" s="214" t="s">
        <v>1741</v>
      </c>
      <c r="E80" s="215">
        <v>3.6971999999999996</v>
      </c>
      <c r="F80" s="225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3">
        <v>46199</v>
      </c>
      <c r="AB80" s="108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hidden="1" customHeight="1" x14ac:dyDescent="0.3">
      <c r="A81" s="110" t="s">
        <v>1748</v>
      </c>
      <c r="B81" s="108" t="s">
        <v>1463</v>
      </c>
      <c r="C81" s="108" t="s">
        <v>1750</v>
      </c>
      <c r="D81" s="214" t="s">
        <v>1464</v>
      </c>
      <c r="E81" s="215">
        <v>0.77905849999999999</v>
      </c>
      <c r="F81" s="210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3">
        <v>46199</v>
      </c>
      <c r="AB81" s="108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" hidden="1" customHeight="1" x14ac:dyDescent="0.3">
      <c r="A82" s="110" t="s">
        <v>1748</v>
      </c>
      <c r="B82" s="108" t="s">
        <v>1450</v>
      </c>
      <c r="C82" s="108" t="s">
        <v>1750</v>
      </c>
      <c r="D82" s="214" t="s">
        <v>1451</v>
      </c>
      <c r="E82" s="215">
        <v>1.26</v>
      </c>
      <c r="F82" s="210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3">
        <v>46199</v>
      </c>
      <c r="AB82" s="108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" hidden="1" customHeight="1" x14ac:dyDescent="0.3">
      <c r="A83" s="110" t="s">
        <v>1748</v>
      </c>
      <c r="B83" s="108" t="s">
        <v>1436</v>
      </c>
      <c r="C83" s="108" t="s">
        <v>1750</v>
      </c>
      <c r="D83" s="214" t="s">
        <v>1437</v>
      </c>
      <c r="E83" s="215">
        <v>2.543625</v>
      </c>
      <c r="F83" s="225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3">
        <v>46199</v>
      </c>
      <c r="AB83" s="108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" hidden="1" customHeight="1" x14ac:dyDescent="0.3">
      <c r="A84" s="110" t="s">
        <v>1748</v>
      </c>
      <c r="B84" s="108" t="s">
        <v>1442</v>
      </c>
      <c r="C84" s="108" t="s">
        <v>1750</v>
      </c>
      <c r="D84" s="214" t="s">
        <v>916</v>
      </c>
      <c r="E84" s="215">
        <v>2.1473969999999998</v>
      </c>
      <c r="F84" s="225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3">
        <v>46199</v>
      </c>
      <c r="AB84" s="108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" hidden="1" customHeight="1" x14ac:dyDescent="0.3">
      <c r="A85" s="110" t="s">
        <v>1748</v>
      </c>
      <c r="B85" s="108" t="s">
        <v>1426</v>
      </c>
      <c r="C85" s="108" t="s">
        <v>1750</v>
      </c>
      <c r="D85" s="214" t="s">
        <v>1428</v>
      </c>
      <c r="E85" s="215">
        <v>3.29175</v>
      </c>
      <c r="F85" s="210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3">
        <v>46199</v>
      </c>
      <c r="AB85" s="123">
        <v>46245</v>
      </c>
      <c r="AC85" s="123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8">
        <v>46456</v>
      </c>
      <c r="AJ85" s="108" t="s">
        <v>1849</v>
      </c>
      <c r="AK85" s="108" t="s">
        <v>1747</v>
      </c>
    </row>
    <row r="86" spans="1:37" ht="44.1" hidden="1" customHeight="1" x14ac:dyDescent="0.3">
      <c r="A86" s="110" t="s">
        <v>1748</v>
      </c>
      <c r="B86" s="108" t="s">
        <v>1438</v>
      </c>
      <c r="C86" s="108" t="s">
        <v>1750</v>
      </c>
      <c r="D86" s="214" t="s">
        <v>1778</v>
      </c>
      <c r="E86" s="215">
        <v>2.5599999999999996</v>
      </c>
      <c r="F86" s="210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3">
        <v>46199</v>
      </c>
      <c r="AB86" s="123">
        <v>46245</v>
      </c>
      <c r="AC86" s="123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8">
        <v>46456</v>
      </c>
      <c r="AJ86" s="108" t="s">
        <v>1849</v>
      </c>
      <c r="AK86" s="108" t="s">
        <v>1747</v>
      </c>
    </row>
    <row r="87" spans="1:37" ht="44.1" hidden="1" customHeight="1" x14ac:dyDescent="0.3">
      <c r="A87" s="110" t="s">
        <v>1748</v>
      </c>
      <c r="B87" s="108" t="s">
        <v>1454</v>
      </c>
      <c r="C87" s="108" t="s">
        <v>1750</v>
      </c>
      <c r="D87" s="214" t="s">
        <v>1455</v>
      </c>
      <c r="E87" s="215">
        <v>1.2</v>
      </c>
      <c r="F87" s="210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8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" hidden="1" customHeight="1" x14ac:dyDescent="0.3">
      <c r="A88" s="110" t="s">
        <v>1748</v>
      </c>
      <c r="B88" s="108" t="s">
        <v>1461</v>
      </c>
      <c r="C88" s="108" t="s">
        <v>1750</v>
      </c>
      <c r="D88" s="214" t="s">
        <v>1779</v>
      </c>
      <c r="E88" s="215">
        <v>0.84000000000000008</v>
      </c>
      <c r="F88" s="210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3">
        <v>46199</v>
      </c>
      <c r="AB88" s="108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" hidden="1" customHeight="1" x14ac:dyDescent="0.3">
      <c r="A89" s="110" t="s">
        <v>1748</v>
      </c>
      <c r="B89" s="108" t="s">
        <v>1482</v>
      </c>
      <c r="C89" s="108" t="s">
        <v>1750</v>
      </c>
      <c r="D89" s="214" t="s">
        <v>1781</v>
      </c>
      <c r="E89" s="215">
        <v>0.02</v>
      </c>
      <c r="F89" s="210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8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" hidden="1" customHeight="1" x14ac:dyDescent="0.3">
      <c r="A90" s="110" t="s">
        <v>1748</v>
      </c>
      <c r="B90" s="108" t="s">
        <v>1465</v>
      </c>
      <c r="C90" s="108" t="s">
        <v>1750</v>
      </c>
      <c r="D90" s="214" t="s">
        <v>1466</v>
      </c>
      <c r="E90" s="215">
        <v>0.60875999999999997</v>
      </c>
      <c r="F90" s="225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3">
        <v>46199</v>
      </c>
      <c r="AB90" s="108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" hidden="1" customHeight="1" x14ac:dyDescent="0.3">
      <c r="A91" s="110" t="s">
        <v>1748</v>
      </c>
      <c r="B91" s="108" t="s">
        <v>1472</v>
      </c>
      <c r="C91" s="108" t="s">
        <v>1750</v>
      </c>
      <c r="D91" s="214" t="s">
        <v>1782</v>
      </c>
      <c r="E91" s="215">
        <v>0.40049999999999997</v>
      </c>
      <c r="F91" s="225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3">
        <v>46199</v>
      </c>
      <c r="AB91" s="108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" hidden="1" customHeight="1" x14ac:dyDescent="0.3">
      <c r="A92" s="110" t="s">
        <v>1725</v>
      </c>
      <c r="B92" s="108" t="s">
        <v>1783</v>
      </c>
      <c r="C92" s="108" t="s">
        <v>1726</v>
      </c>
      <c r="D92" s="214" t="s">
        <v>1755</v>
      </c>
      <c r="E92" s="215">
        <v>15.71</v>
      </c>
      <c r="F92" s="210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3">
        <v>46199</v>
      </c>
      <c r="AB92" s="108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" hidden="1" customHeight="1" x14ac:dyDescent="0.3">
      <c r="A93" s="110" t="s">
        <v>1748</v>
      </c>
      <c r="B93" s="108" t="s">
        <v>1477</v>
      </c>
      <c r="C93" s="108" t="s">
        <v>1750</v>
      </c>
      <c r="D93" s="214" t="s">
        <v>1478</v>
      </c>
      <c r="E93" s="215">
        <v>0.13750000000000001</v>
      </c>
      <c r="F93" s="225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3">
        <v>46199</v>
      </c>
      <c r="AB93" s="108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35" hidden="1" customHeight="1" x14ac:dyDescent="0.3">
      <c r="A94" s="110" t="s">
        <v>1748</v>
      </c>
      <c r="B94" s="108" t="s">
        <v>1479</v>
      </c>
      <c r="C94" s="108" t="s">
        <v>1750</v>
      </c>
      <c r="D94" s="214" t="s">
        <v>1359</v>
      </c>
      <c r="E94" s="215">
        <v>0.14774400000000001</v>
      </c>
      <c r="F94" s="225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3">
        <v>46199</v>
      </c>
      <c r="AB94" s="108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hidden="1" customHeight="1" x14ac:dyDescent="0.3">
      <c r="A95" s="195" t="s">
        <v>1784</v>
      </c>
      <c r="B95" s="108" t="s">
        <v>46</v>
      </c>
      <c r="C95" s="108"/>
      <c r="D95" s="214" t="s">
        <v>221</v>
      </c>
      <c r="E95" s="215">
        <v>36.24</v>
      </c>
      <c r="F95" s="210">
        <v>128107.04</v>
      </c>
      <c r="G95" s="108" t="s">
        <v>34</v>
      </c>
      <c r="H95" s="110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123">
        <v>46078</v>
      </c>
      <c r="Z95" s="108" t="s">
        <v>8</v>
      </c>
      <c r="AA95" s="123">
        <v>46093</v>
      </c>
      <c r="AB95" s="123">
        <v>46237</v>
      </c>
      <c r="AC95" s="123">
        <v>46204</v>
      </c>
      <c r="AD95" s="123" t="s">
        <v>1842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" customHeight="1" x14ac:dyDescent="0.3">
      <c r="A96" s="110" t="s">
        <v>1682</v>
      </c>
      <c r="B96" s="108" t="s">
        <v>1308</v>
      </c>
      <c r="C96" s="108" t="s">
        <v>1683</v>
      </c>
      <c r="D96" s="110" t="s">
        <v>1787</v>
      </c>
      <c r="E96" s="108">
        <v>59.36</v>
      </c>
      <c r="F96" s="210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1866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1728</v>
      </c>
      <c r="AK96" s="108" t="s">
        <v>1788</v>
      </c>
    </row>
    <row r="97" spans="1:37" ht="44.1" customHeight="1" x14ac:dyDescent="0.3">
      <c r="A97" s="110" t="s">
        <v>1682</v>
      </c>
      <c r="B97" s="110" t="s">
        <v>1789</v>
      </c>
      <c r="C97" s="110" t="s">
        <v>1683</v>
      </c>
      <c r="D97" s="214" t="s">
        <v>1790</v>
      </c>
      <c r="E97" s="108">
        <v>43.23</v>
      </c>
      <c r="F97" s="210">
        <v>0</v>
      </c>
      <c r="G97" s="108" t="s">
        <v>24</v>
      </c>
      <c r="H97" s="110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1866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1728</v>
      </c>
      <c r="AK97" s="108" t="s">
        <v>1792</v>
      </c>
    </row>
    <row r="98" spans="1:37" ht="44.1" hidden="1" customHeight="1" x14ac:dyDescent="0.3">
      <c r="A98" s="108"/>
      <c r="B98" s="108" t="s">
        <v>311</v>
      </c>
      <c r="C98" s="108"/>
      <c r="D98" s="214" t="s">
        <v>1793</v>
      </c>
      <c r="E98" s="214">
        <v>18.899999999999999</v>
      </c>
      <c r="F98" s="225"/>
      <c r="G98" s="214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3">
        <v>46199</v>
      </c>
      <c r="AB98" s="123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" hidden="1" customHeight="1" x14ac:dyDescent="0.3">
      <c r="A99" s="108"/>
      <c r="B99" s="108" t="s">
        <v>386</v>
      </c>
      <c r="C99" s="108"/>
      <c r="D99" s="214" t="s">
        <v>1794</v>
      </c>
      <c r="E99" s="214">
        <v>11.18</v>
      </c>
      <c r="F99" s="225"/>
      <c r="G99" s="214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3">
        <v>46199</v>
      </c>
      <c r="AB99" s="123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" hidden="1" customHeight="1" x14ac:dyDescent="0.3">
      <c r="A100" s="108"/>
      <c r="B100" s="108" t="s">
        <v>404</v>
      </c>
      <c r="C100" s="108"/>
      <c r="D100" s="214" t="s">
        <v>1795</v>
      </c>
      <c r="E100" s="214">
        <v>8</v>
      </c>
      <c r="F100" s="225"/>
      <c r="G100" s="214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3">
        <v>46199</v>
      </c>
      <c r="AB100" s="123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" hidden="1" customHeight="1" x14ac:dyDescent="0.3">
      <c r="A101" s="195" t="s">
        <v>1796</v>
      </c>
      <c r="B101" s="108" t="s">
        <v>1797</v>
      </c>
      <c r="C101" s="108"/>
      <c r="D101" s="214" t="s">
        <v>1528</v>
      </c>
      <c r="E101" s="108">
        <v>6.88</v>
      </c>
      <c r="F101" s="210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3" t="s">
        <v>1842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" hidden="1" customHeight="1" x14ac:dyDescent="0.3">
      <c r="A102" s="108"/>
      <c r="B102" s="108" t="s">
        <v>275</v>
      </c>
      <c r="C102" s="108"/>
      <c r="D102" s="214" t="s">
        <v>276</v>
      </c>
      <c r="E102" s="108">
        <v>25.574999999999999</v>
      </c>
      <c r="F102" s="225"/>
      <c r="G102" s="108" t="s">
        <v>34</v>
      </c>
      <c r="H102" s="110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3">
        <v>46199</v>
      </c>
      <c r="AB102" s="108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85" hidden="1" customHeight="1" x14ac:dyDescent="0.3">
      <c r="A103" s="195" t="s">
        <v>1800</v>
      </c>
      <c r="B103" s="108" t="s">
        <v>328</v>
      </c>
      <c r="C103" s="108"/>
      <c r="D103" s="214" t="s">
        <v>1801</v>
      </c>
      <c r="E103" s="108">
        <v>16.989999999999998</v>
      </c>
      <c r="F103" s="225">
        <v>70963.59</v>
      </c>
      <c r="G103" s="108" t="s">
        <v>34</v>
      </c>
      <c r="H103" s="110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123">
        <v>46142</v>
      </c>
      <c r="Z103" s="108" t="s">
        <v>8</v>
      </c>
      <c r="AA103" s="123">
        <v>46199</v>
      </c>
      <c r="AB103" s="123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" hidden="1" customHeight="1" x14ac:dyDescent="0.3">
      <c r="A104" s="108"/>
      <c r="B104" s="108" t="s">
        <v>1007</v>
      </c>
      <c r="C104" s="108"/>
      <c r="D104" s="214" t="s">
        <v>1802</v>
      </c>
      <c r="E104" s="108">
        <v>37.409999999999997</v>
      </c>
      <c r="F104" s="210">
        <v>115203.58357199997</v>
      </c>
      <c r="G104" s="108" t="s">
        <v>27</v>
      </c>
      <c r="H104" s="110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123">
        <v>46172</v>
      </c>
      <c r="Z104" s="219" t="s">
        <v>8</v>
      </c>
      <c r="AA104" s="205" t="s">
        <v>1728</v>
      </c>
      <c r="AB104" s="205" t="s">
        <v>1728</v>
      </c>
      <c r="AC104" s="205" t="s">
        <v>1728</v>
      </c>
      <c r="AD104" s="205" t="s">
        <v>1728</v>
      </c>
      <c r="AE104" s="205" t="s">
        <v>1728</v>
      </c>
      <c r="AF104" s="205" t="s">
        <v>1728</v>
      </c>
      <c r="AG104" s="205" t="s">
        <v>1728</v>
      </c>
      <c r="AH104" s="205" t="s">
        <v>1728</v>
      </c>
      <c r="AI104" s="205" t="s">
        <v>1728</v>
      </c>
      <c r="AJ104" s="205" t="s">
        <v>1728</v>
      </c>
      <c r="AK104" s="110" t="s">
        <v>1807</v>
      </c>
    </row>
    <row r="105" spans="1:37" ht="61.35" hidden="1" customHeight="1" x14ac:dyDescent="0.3">
      <c r="A105" s="108"/>
      <c r="B105" s="108" t="s">
        <v>280</v>
      </c>
      <c r="C105" s="108"/>
      <c r="D105" s="214" t="s">
        <v>1112</v>
      </c>
      <c r="E105" s="108">
        <v>29.09</v>
      </c>
      <c r="F105" s="210">
        <v>44357.51</v>
      </c>
      <c r="G105" s="108" t="s">
        <v>27</v>
      </c>
      <c r="H105" s="110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123">
        <v>46203</v>
      </c>
      <c r="Z105" s="220" t="s">
        <v>12</v>
      </c>
      <c r="AA105" s="220" t="s">
        <v>12</v>
      </c>
      <c r="AB105" s="221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" hidden="1" customHeight="1" x14ac:dyDescent="0.3">
      <c r="A106" s="108"/>
      <c r="B106" s="108" t="s">
        <v>1003</v>
      </c>
      <c r="C106" s="108"/>
      <c r="D106" s="214" t="s">
        <v>958</v>
      </c>
      <c r="E106" s="108">
        <v>30.92</v>
      </c>
      <c r="F106" s="225">
        <v>0</v>
      </c>
      <c r="G106" s="108" t="s">
        <v>27</v>
      </c>
      <c r="H106" s="110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3">
        <v>46238</v>
      </c>
      <c r="Z106" s="219" t="s">
        <v>8</v>
      </c>
      <c r="AA106" s="205">
        <v>46269</v>
      </c>
      <c r="AB106" s="222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" hidden="1" customHeight="1" x14ac:dyDescent="0.3">
      <c r="A107" s="108"/>
      <c r="B107" s="108" t="s">
        <v>1047</v>
      </c>
      <c r="C107" s="108"/>
      <c r="D107" s="214" t="s">
        <v>1034</v>
      </c>
      <c r="E107" s="108">
        <v>13.39</v>
      </c>
      <c r="F107" s="210">
        <v>27672.57</v>
      </c>
      <c r="G107" s="108" t="s">
        <v>27</v>
      </c>
      <c r="H107" s="110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3">
        <v>46238</v>
      </c>
      <c r="Z107" s="219" t="s">
        <v>8</v>
      </c>
      <c r="AA107" s="205">
        <v>46240</v>
      </c>
      <c r="AB107" s="222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" hidden="1" customHeight="1" x14ac:dyDescent="0.3">
      <c r="A108" s="108"/>
      <c r="B108" s="108" t="s">
        <v>1033</v>
      </c>
      <c r="C108" s="108"/>
      <c r="D108" s="214" t="s">
        <v>1034</v>
      </c>
      <c r="E108" s="108">
        <v>13.94</v>
      </c>
      <c r="F108" s="210">
        <v>14891.724396000045</v>
      </c>
      <c r="G108" s="108" t="s">
        <v>27</v>
      </c>
      <c r="H108" s="110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3">
        <v>46238</v>
      </c>
      <c r="Z108" s="219" t="s">
        <v>8</v>
      </c>
      <c r="AA108" s="205">
        <v>46240</v>
      </c>
      <c r="AB108" s="222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" hidden="1" customHeight="1" x14ac:dyDescent="0.3">
      <c r="A109" s="108"/>
      <c r="B109" s="108" t="s">
        <v>1023</v>
      </c>
      <c r="C109" s="108"/>
      <c r="D109" s="214" t="s">
        <v>1024</v>
      </c>
      <c r="E109" s="108">
        <v>26.39</v>
      </c>
      <c r="F109" s="225">
        <v>3778.79</v>
      </c>
      <c r="G109" s="108" t="s">
        <v>27</v>
      </c>
      <c r="H109" s="110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3">
        <v>46240</v>
      </c>
      <c r="Z109" s="219" t="s">
        <v>8</v>
      </c>
      <c r="AA109" s="205">
        <v>46269</v>
      </c>
      <c r="AB109" s="222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" hidden="1" customHeight="1" x14ac:dyDescent="0.3">
      <c r="A110" s="108"/>
      <c r="B110" s="108" t="s">
        <v>1041</v>
      </c>
      <c r="C110" s="108"/>
      <c r="D110" s="214" t="s">
        <v>972</v>
      </c>
      <c r="E110" s="108">
        <v>14.55</v>
      </c>
      <c r="F110" s="223">
        <v>12996.11</v>
      </c>
      <c r="G110" s="108" t="s">
        <v>27</v>
      </c>
      <c r="H110" s="110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3">
        <v>46241</v>
      </c>
      <c r="Z110" s="219" t="s">
        <v>10</v>
      </c>
      <c r="AA110" s="220"/>
      <c r="AB110" s="221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7.6" hidden="1" x14ac:dyDescent="0.3">
      <c r="A111" s="108"/>
      <c r="B111" s="110" t="s">
        <v>1823</v>
      </c>
      <c r="C111" s="108"/>
      <c r="D111" s="214" t="s">
        <v>1824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123">
        <v>46248</v>
      </c>
      <c r="Z111" s="219" t="s">
        <v>12</v>
      </c>
      <c r="AA111" s="220" t="s">
        <v>12</v>
      </c>
      <c r="AB111" s="221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" customHeight="1" x14ac:dyDescent="0.3">
      <c r="A112" s="108"/>
      <c r="B112" s="108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18"/>
      <c r="AB112" s="138"/>
      <c r="AC112" s="12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" customHeight="1" x14ac:dyDescent="0.3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" customHeight="1" x14ac:dyDescent="0.3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17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" customHeight="1" x14ac:dyDescent="0.3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" customHeight="1" x14ac:dyDescent="0.3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" customHeight="1" x14ac:dyDescent="0.3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" customHeight="1" x14ac:dyDescent="0.3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>
    <filterColumn colId="34">
      <filters>
        <filter val="N/A"/>
        <dateGroupItem year="2026" month="8" dateTimeGrouping="month"/>
        <dateGroupItem year="2026" month="9" dateTimeGrouping="month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f5ab1930-d403-4c69-b2cd-8cc48f527d10"/>
    <ds:schemaRef ds:uri="http://schemas.microsoft.com/office/2006/documentManagement/types"/>
    <ds:schemaRef ds:uri="c06ce65c-ed18-47f4-a957-afd315448c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2026-09-29T21:02:38Z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