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835" documentId="1_{DDE4A242-D13A-46DE-8B65-653B9F6ECEB2}" xr6:coauthVersionLast="47" xr6:coauthVersionMax="47" xr10:uidLastSave="{DEAF20B0-9399-4F8A-8409-22F9172E6583}"/>
  <bookViews>
    <workbookView xWindow="-108" yWindow="-108" windowWidth="23256" windowHeight="12456" xr2:uid="{3E398004-7492-4AA0-94C2-EA9B761AAA49}"/>
  </bookViews>
  <sheets>
    <sheet name="Controle" sheetId="1" r:id="rId1"/>
    <sheet name="Planilha1" sheetId="3" r:id="rId2"/>
    <sheet name="Formulas" sheetId="2" state="hidden" r:id="rId3"/>
  </sheets>
  <definedNames>
    <definedName name="_xlnm._FilterDatabase" localSheetId="0" hidden="1">Controle!$A$2:$AL$707</definedName>
    <definedName name="_xlnm._FilterDatabase" localSheetId="2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3" i="1" l="1"/>
  <c r="AG4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2" i="2"/>
  <c r="F6" i="2" s="1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89" i="1"/>
  <c r="B42" i="2" l="1"/>
  <c r="AG5" i="1"/>
  <c r="AG6" i="1"/>
  <c r="AG7" i="1"/>
  <c r="AH7" i="1" s="1"/>
  <c r="AG8" i="1"/>
  <c r="AH8" i="1" s="1"/>
  <c r="AG9" i="1"/>
  <c r="AG10" i="1"/>
  <c r="AG11" i="1"/>
  <c r="AG12" i="1"/>
  <c r="AG13" i="1"/>
  <c r="AG14" i="1"/>
  <c r="AG15" i="1"/>
  <c r="AG16" i="1"/>
  <c r="AH16" i="1" s="1"/>
  <c r="AG17" i="1"/>
  <c r="AH17" i="1" s="1"/>
  <c r="AG18" i="1"/>
  <c r="AH18" i="1" s="1"/>
  <c r="AG19" i="1"/>
  <c r="AG20" i="1"/>
  <c r="AG21" i="1"/>
  <c r="AG22" i="1"/>
  <c r="AG23" i="1"/>
  <c r="AG24" i="1"/>
  <c r="AH24" i="1" s="1"/>
  <c r="AG25" i="1"/>
  <c r="AG26" i="1"/>
  <c r="AH26" i="1" s="1"/>
  <c r="AG27" i="1"/>
  <c r="AH27" i="1" s="1"/>
  <c r="AG28" i="1"/>
  <c r="AH28" i="1" s="1"/>
  <c r="AG29" i="1"/>
  <c r="AH29" i="1" s="1"/>
  <c r="AG30" i="1"/>
  <c r="AG31" i="1"/>
  <c r="AG32" i="1"/>
  <c r="AH32" i="1" s="1"/>
  <c r="AG33" i="1"/>
  <c r="AH33" i="1" s="1"/>
  <c r="AG34" i="1"/>
  <c r="AH34" i="1" s="1"/>
  <c r="AG35" i="1"/>
  <c r="AH35" i="1" s="1"/>
  <c r="AG36" i="1"/>
  <c r="AH36" i="1" s="1"/>
  <c r="AG37" i="1"/>
  <c r="AH37" i="1" s="1"/>
  <c r="AG38" i="1"/>
  <c r="AH38" i="1" s="1"/>
  <c r="AG39" i="1"/>
  <c r="AH39" i="1" s="1"/>
  <c r="AG40" i="1"/>
  <c r="AH40" i="1" s="1"/>
  <c r="AG41" i="1"/>
  <c r="AH41" i="1" s="1"/>
  <c r="AG42" i="1"/>
  <c r="AG43" i="1"/>
  <c r="AH43" i="1" s="1"/>
  <c r="AG44" i="1"/>
  <c r="AH44" i="1" s="1"/>
  <c r="AG45" i="1"/>
  <c r="AG46" i="1"/>
  <c r="AH46" i="1" s="1"/>
  <c r="AG47" i="1"/>
  <c r="AH47" i="1" s="1"/>
  <c r="AG48" i="1"/>
  <c r="AH48" i="1" s="1"/>
  <c r="AG49" i="1"/>
  <c r="AH49" i="1" s="1"/>
  <c r="AG50" i="1"/>
  <c r="AH50" i="1" s="1"/>
  <c r="AG51" i="1"/>
  <c r="AH51" i="1" s="1"/>
  <c r="AG52" i="1"/>
  <c r="AH52" i="1" s="1"/>
  <c r="AG53" i="1"/>
  <c r="AH53" i="1" s="1"/>
  <c r="AG54" i="1"/>
  <c r="AH54" i="1" s="1"/>
  <c r="AG55" i="1"/>
  <c r="AG56" i="1"/>
  <c r="AH56" i="1" s="1"/>
  <c r="AG57" i="1"/>
  <c r="AG58" i="1"/>
  <c r="AH58" i="1" s="1"/>
  <c r="AG59" i="1"/>
  <c r="AH59" i="1" s="1"/>
  <c r="AG60" i="1"/>
  <c r="AH60" i="1" s="1"/>
  <c r="AG61" i="1"/>
  <c r="AH61" i="1" s="1"/>
  <c r="AG62" i="1"/>
  <c r="AH62" i="1" s="1"/>
  <c r="AG63" i="1"/>
  <c r="AH63" i="1" s="1"/>
  <c r="AG64" i="1"/>
  <c r="AH64" i="1" s="1"/>
  <c r="AG65" i="1"/>
  <c r="AH65" i="1" s="1"/>
  <c r="AG66" i="1"/>
  <c r="AH66" i="1" s="1"/>
  <c r="AG67" i="1"/>
  <c r="AH67" i="1" s="1"/>
  <c r="AG68" i="1"/>
  <c r="AH68" i="1" s="1"/>
  <c r="AG69" i="1"/>
  <c r="AH69" i="1" s="1"/>
  <c r="AG70" i="1"/>
  <c r="AH70" i="1" s="1"/>
  <c r="AG71" i="1"/>
  <c r="AH71" i="1" s="1"/>
  <c r="AG72" i="1"/>
  <c r="AH72" i="1" s="1"/>
  <c r="AG73" i="1"/>
  <c r="AG74" i="1"/>
  <c r="AH74" i="1" s="1"/>
  <c r="AG75" i="1"/>
  <c r="AH75" i="1" s="1"/>
  <c r="AG76" i="1"/>
  <c r="AH76" i="1" s="1"/>
  <c r="AG77" i="1"/>
  <c r="AH77" i="1" s="1"/>
  <c r="AG78" i="1"/>
  <c r="AH78" i="1" s="1"/>
  <c r="AG79" i="1"/>
  <c r="AH79" i="1" s="1"/>
  <c r="AG80" i="1"/>
  <c r="AH80" i="1" s="1"/>
  <c r="AG81" i="1"/>
  <c r="AH81" i="1" s="1"/>
  <c r="AG82" i="1"/>
  <c r="AH82" i="1" s="1"/>
  <c r="AG83" i="1"/>
  <c r="AH83" i="1" s="1"/>
  <c r="AG84" i="1"/>
  <c r="AH84" i="1" s="1"/>
  <c r="AG85" i="1"/>
  <c r="AH85" i="1" s="1"/>
  <c r="AG86" i="1"/>
  <c r="AH86" i="1" s="1"/>
  <c r="AG87" i="1"/>
  <c r="AH87" i="1" s="1"/>
  <c r="AG88" i="1"/>
  <c r="AH88" i="1" s="1"/>
  <c r="AG90" i="1"/>
  <c r="AH90" i="1" s="1"/>
  <c r="AG91" i="1"/>
  <c r="AH91" i="1" s="1"/>
  <c r="AG92" i="1"/>
  <c r="AH92" i="1" s="1"/>
  <c r="AG93" i="1"/>
  <c r="AH93" i="1" s="1"/>
  <c r="AG94" i="1"/>
  <c r="AH94" i="1" s="1"/>
  <c r="AG95" i="1"/>
  <c r="AH95" i="1" s="1"/>
  <c r="AG96" i="1"/>
  <c r="AH96" i="1" s="1"/>
  <c r="AG97" i="1"/>
  <c r="AH97" i="1" s="1"/>
  <c r="AG98" i="1"/>
  <c r="AG99" i="1"/>
  <c r="AG100" i="1"/>
  <c r="AG101" i="1"/>
  <c r="AH101" i="1" s="1"/>
  <c r="AG102" i="1"/>
  <c r="AH102" i="1" s="1"/>
  <c r="AG103" i="1"/>
  <c r="AH103" i="1" s="1"/>
  <c r="AG104" i="1"/>
  <c r="AH104" i="1" s="1"/>
  <c r="AG105" i="1"/>
  <c r="AH105" i="1" s="1"/>
  <c r="AG106" i="1"/>
  <c r="AH106" i="1" s="1"/>
  <c r="AG107" i="1"/>
  <c r="AH107" i="1" s="1"/>
  <c r="AG108" i="1"/>
  <c r="AH108" i="1" s="1"/>
  <c r="AG109" i="1"/>
  <c r="AH109" i="1" s="1"/>
  <c r="AG110" i="1"/>
  <c r="AH110" i="1" s="1"/>
  <c r="AG111" i="1"/>
  <c r="AG112" i="1"/>
  <c r="AG113" i="1"/>
  <c r="AG114" i="1"/>
  <c r="AH114" i="1" s="1"/>
  <c r="AG115" i="1"/>
  <c r="AG116" i="1"/>
  <c r="AH116" i="1" s="1"/>
  <c r="AG117" i="1"/>
  <c r="AH117" i="1" s="1"/>
  <c r="AG118" i="1"/>
  <c r="AH118" i="1" s="1"/>
  <c r="AG119" i="1"/>
  <c r="AH119" i="1" s="1"/>
  <c r="AG120" i="1"/>
  <c r="AH120" i="1" s="1"/>
  <c r="AG121" i="1"/>
  <c r="AH121" i="1" s="1"/>
  <c r="AG122" i="1"/>
  <c r="AH122" i="1" s="1"/>
  <c r="AG123" i="1"/>
  <c r="AH123" i="1" s="1"/>
  <c r="AG124" i="1"/>
  <c r="AH124" i="1" s="1"/>
  <c r="AG125" i="1"/>
  <c r="AH125" i="1" s="1"/>
  <c r="AG126" i="1"/>
  <c r="AH126" i="1" s="1"/>
  <c r="AG127" i="1"/>
  <c r="AH127" i="1" s="1"/>
  <c r="AG128" i="1"/>
  <c r="AH128" i="1" s="1"/>
  <c r="AG129" i="1"/>
  <c r="AH129" i="1" s="1"/>
  <c r="AG130" i="1"/>
  <c r="AH130" i="1" s="1"/>
  <c r="AG131" i="1"/>
  <c r="AH131" i="1" s="1"/>
  <c r="AG132" i="1"/>
  <c r="AH132" i="1" s="1"/>
  <c r="AG133" i="1"/>
  <c r="AH133" i="1" s="1"/>
  <c r="AG134" i="1"/>
  <c r="AG135" i="1"/>
  <c r="AG136" i="1"/>
  <c r="AG137" i="1"/>
  <c r="AG138" i="1"/>
  <c r="AG139" i="1"/>
  <c r="AH139" i="1" s="1"/>
  <c r="AG140" i="1"/>
  <c r="AH140" i="1" s="1"/>
  <c r="AG141" i="1"/>
  <c r="AH141" i="1" s="1"/>
  <c r="AG142" i="1"/>
  <c r="AH142" i="1" s="1"/>
  <c r="AG143" i="1"/>
  <c r="AH143" i="1" s="1"/>
  <c r="AG144" i="1"/>
  <c r="AH144" i="1" s="1"/>
  <c r="AG145" i="1"/>
  <c r="AH145" i="1" s="1"/>
  <c r="AG146" i="1"/>
  <c r="AH146" i="1" s="1"/>
  <c r="AG147" i="1"/>
  <c r="AH147" i="1" s="1"/>
  <c r="AG148" i="1"/>
  <c r="AH148" i="1" s="1"/>
  <c r="AG149" i="1"/>
  <c r="AH149" i="1" s="1"/>
  <c r="AG150" i="1"/>
  <c r="AH150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279" i="1"/>
  <c r="AH279" i="1" s="1"/>
  <c r="AG280" i="1"/>
  <c r="AH280" i="1" s="1"/>
  <c r="AG281" i="1"/>
  <c r="AH281" i="1" s="1"/>
  <c r="AG282" i="1"/>
  <c r="AH282" i="1" s="1"/>
  <c r="AG283" i="1"/>
  <c r="AH283" i="1" s="1"/>
  <c r="AG284" i="1"/>
  <c r="AH284" i="1" s="1"/>
  <c r="AG285" i="1"/>
  <c r="AH285" i="1" s="1"/>
  <c r="AG286" i="1"/>
  <c r="AH286" i="1" s="1"/>
  <c r="AG287" i="1"/>
  <c r="AH287" i="1" s="1"/>
  <c r="AG288" i="1"/>
  <c r="AH288" i="1" s="1"/>
  <c r="AG289" i="1"/>
  <c r="AH289" i="1" s="1"/>
  <c r="AG290" i="1"/>
  <c r="AH290" i="1" s="1"/>
  <c r="AG291" i="1"/>
  <c r="AH291" i="1" s="1"/>
  <c r="AG292" i="1"/>
  <c r="AH292" i="1" s="1"/>
  <c r="AG293" i="1"/>
  <c r="AH293" i="1" s="1"/>
  <c r="AG294" i="1"/>
  <c r="AH294" i="1" s="1"/>
  <c r="AG295" i="1"/>
  <c r="AH295" i="1" s="1"/>
  <c r="AG296" i="1"/>
  <c r="AH296" i="1" s="1"/>
  <c r="AG297" i="1"/>
  <c r="AH297" i="1" s="1"/>
  <c r="AG298" i="1"/>
  <c r="AH298" i="1" s="1"/>
  <c r="AG299" i="1"/>
  <c r="AH299" i="1" s="1"/>
  <c r="AG300" i="1"/>
  <c r="AH300" i="1" s="1"/>
  <c r="AG301" i="1"/>
  <c r="AH301" i="1" s="1"/>
  <c r="AG302" i="1"/>
  <c r="AH302" i="1" s="1"/>
  <c r="AG303" i="1"/>
  <c r="AH303" i="1" s="1"/>
  <c r="AG304" i="1"/>
  <c r="AH304" i="1" s="1"/>
  <c r="AG305" i="1"/>
  <c r="AH305" i="1" s="1"/>
  <c r="AG306" i="1"/>
  <c r="AH306" i="1" s="1"/>
  <c r="AG307" i="1"/>
  <c r="AH307" i="1" s="1"/>
  <c r="AG308" i="1"/>
  <c r="AH308" i="1" s="1"/>
  <c r="AG309" i="1"/>
  <c r="AH309" i="1" s="1"/>
  <c r="AG310" i="1"/>
  <c r="AH310" i="1" s="1"/>
  <c r="AG311" i="1"/>
  <c r="AH311" i="1" s="1"/>
  <c r="AG312" i="1"/>
  <c r="AH312" i="1" s="1"/>
  <c r="AG313" i="1"/>
  <c r="AH313" i="1" s="1"/>
  <c r="AG314" i="1"/>
  <c r="AH314" i="1" s="1"/>
  <c r="AG315" i="1"/>
  <c r="AH315" i="1" s="1"/>
  <c r="AG316" i="1"/>
  <c r="AH316" i="1" s="1"/>
  <c r="AG317" i="1"/>
  <c r="AH317" i="1" s="1"/>
  <c r="AG318" i="1"/>
  <c r="AH318" i="1" s="1"/>
  <c r="AG319" i="1"/>
  <c r="AH319" i="1" s="1"/>
  <c r="AG320" i="1"/>
  <c r="AH320" i="1" s="1"/>
  <c r="AG321" i="1"/>
  <c r="AH321" i="1" s="1"/>
  <c r="AG322" i="1"/>
  <c r="AH322" i="1" s="1"/>
  <c r="AG323" i="1"/>
  <c r="AH323" i="1" s="1"/>
  <c r="AG324" i="1"/>
  <c r="AH324" i="1" s="1"/>
  <c r="AG325" i="1"/>
  <c r="AH325" i="1" s="1"/>
  <c r="AG326" i="1"/>
  <c r="AH326" i="1" s="1"/>
  <c r="AG327" i="1"/>
  <c r="AH327" i="1" s="1"/>
  <c r="AG328" i="1"/>
  <c r="AH328" i="1" s="1"/>
  <c r="AG329" i="1"/>
  <c r="AH329" i="1" s="1"/>
  <c r="AG330" i="1"/>
  <c r="AH330" i="1" s="1"/>
  <c r="AG331" i="1"/>
  <c r="AH331" i="1" s="1"/>
  <c r="AG332" i="1"/>
  <c r="AH332" i="1" s="1"/>
  <c r="AG333" i="1"/>
  <c r="AH333" i="1" s="1"/>
  <c r="AG334" i="1"/>
  <c r="AH334" i="1" s="1"/>
  <c r="AG335" i="1"/>
  <c r="AH335" i="1" s="1"/>
  <c r="AG336" i="1"/>
  <c r="AH336" i="1" s="1"/>
  <c r="AG337" i="1"/>
  <c r="AH337" i="1" s="1"/>
  <c r="AG338" i="1"/>
  <c r="AH338" i="1" s="1"/>
  <c r="AG339" i="1"/>
  <c r="AH339" i="1" s="1"/>
  <c r="AG340" i="1"/>
  <c r="AH340" i="1" s="1"/>
  <c r="AG341" i="1"/>
  <c r="AH341" i="1" s="1"/>
  <c r="AG342" i="1"/>
  <c r="AH342" i="1" s="1"/>
  <c r="AG343" i="1"/>
  <c r="AH343" i="1" s="1"/>
  <c r="AG344" i="1"/>
  <c r="AH344" i="1" s="1"/>
  <c r="AG345" i="1"/>
  <c r="AH345" i="1" s="1"/>
  <c r="AG346" i="1"/>
  <c r="AH346" i="1" s="1"/>
  <c r="AG347" i="1"/>
  <c r="AH347" i="1" s="1"/>
  <c r="AG348" i="1"/>
  <c r="AH348" i="1" s="1"/>
  <c r="AG349" i="1"/>
  <c r="AH349" i="1" s="1"/>
  <c r="AG350" i="1"/>
  <c r="AH350" i="1" s="1"/>
  <c r="AG351" i="1"/>
  <c r="AH351" i="1" s="1"/>
  <c r="AG352" i="1"/>
  <c r="AH352" i="1" s="1"/>
  <c r="AG353" i="1"/>
  <c r="AH353" i="1" s="1"/>
  <c r="AG354" i="1"/>
  <c r="AH354" i="1" s="1"/>
  <c r="AG355" i="1"/>
  <c r="AH355" i="1" s="1"/>
  <c r="AG356" i="1"/>
  <c r="AH356" i="1" s="1"/>
  <c r="AG357" i="1"/>
  <c r="AH357" i="1" s="1"/>
  <c r="AG358" i="1"/>
  <c r="AH358" i="1" s="1"/>
  <c r="AG359" i="1"/>
  <c r="AH359" i="1" s="1"/>
  <c r="AG360" i="1"/>
  <c r="AH360" i="1" s="1"/>
  <c r="AG361" i="1"/>
  <c r="AH361" i="1" s="1"/>
  <c r="AG362" i="1"/>
  <c r="AH362" i="1" s="1"/>
  <c r="AG363" i="1"/>
  <c r="AH363" i="1" s="1"/>
  <c r="AG364" i="1"/>
  <c r="AH364" i="1" s="1"/>
  <c r="AG365" i="1"/>
  <c r="AH365" i="1" s="1"/>
  <c r="AG366" i="1"/>
  <c r="AH366" i="1" s="1"/>
  <c r="AG367" i="1"/>
  <c r="AH367" i="1" s="1"/>
  <c r="AG368" i="1"/>
  <c r="AH368" i="1" s="1"/>
  <c r="AG369" i="1"/>
  <c r="AH369" i="1" s="1"/>
  <c r="AG370" i="1"/>
  <c r="AH370" i="1" s="1"/>
  <c r="AG371" i="1"/>
  <c r="AH371" i="1" s="1"/>
  <c r="AG372" i="1"/>
  <c r="AH372" i="1" s="1"/>
  <c r="AG373" i="1"/>
  <c r="AH373" i="1" s="1"/>
  <c r="AG374" i="1"/>
  <c r="AH374" i="1" s="1"/>
  <c r="AG375" i="1"/>
  <c r="AH375" i="1" s="1"/>
  <c r="AG376" i="1"/>
  <c r="AH376" i="1" s="1"/>
  <c r="AG377" i="1"/>
  <c r="AH377" i="1" s="1"/>
  <c r="AG378" i="1"/>
  <c r="AH378" i="1" s="1"/>
  <c r="AG379" i="1"/>
  <c r="AH379" i="1" s="1"/>
  <c r="AG380" i="1"/>
  <c r="AH380" i="1" s="1"/>
  <c r="AG381" i="1"/>
  <c r="AH381" i="1" s="1"/>
  <c r="AG382" i="1"/>
  <c r="AH382" i="1" s="1"/>
  <c r="AG383" i="1"/>
  <c r="AH383" i="1" s="1"/>
  <c r="AG384" i="1"/>
  <c r="AH384" i="1" s="1"/>
  <c r="AG385" i="1"/>
  <c r="AH385" i="1" s="1"/>
  <c r="AG386" i="1"/>
  <c r="AH386" i="1" s="1"/>
  <c r="AG387" i="1"/>
  <c r="AH387" i="1" s="1"/>
  <c r="AG388" i="1"/>
  <c r="AH388" i="1" s="1"/>
  <c r="AG389" i="1"/>
  <c r="AH389" i="1" s="1"/>
  <c r="AG390" i="1"/>
  <c r="AH390" i="1" s="1"/>
  <c r="AG391" i="1"/>
  <c r="AH391" i="1" s="1"/>
  <c r="AG392" i="1"/>
  <c r="AH392" i="1" s="1"/>
  <c r="AG393" i="1"/>
  <c r="AH393" i="1" s="1"/>
  <c r="AG394" i="1"/>
  <c r="AH394" i="1" s="1"/>
  <c r="AG395" i="1"/>
  <c r="AH395" i="1" s="1"/>
  <c r="AG396" i="1"/>
  <c r="AH396" i="1" s="1"/>
  <c r="AG397" i="1"/>
  <c r="AH397" i="1" s="1"/>
  <c r="AG398" i="1"/>
  <c r="AH398" i="1" s="1"/>
  <c r="AG399" i="1"/>
  <c r="AH399" i="1" s="1"/>
  <c r="AG400" i="1"/>
  <c r="AH400" i="1" s="1"/>
  <c r="AG401" i="1"/>
  <c r="AH401" i="1" s="1"/>
  <c r="AG402" i="1"/>
  <c r="AH402" i="1" s="1"/>
  <c r="AG403" i="1"/>
  <c r="AH403" i="1" s="1"/>
  <c r="AG404" i="1"/>
  <c r="AH404" i="1" s="1"/>
  <c r="AG405" i="1"/>
  <c r="AH405" i="1" s="1"/>
  <c r="AG406" i="1"/>
  <c r="AH406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H415" i="1" s="1"/>
  <c r="AG416" i="1"/>
  <c r="AH416" i="1" s="1"/>
  <c r="AG417" i="1"/>
  <c r="AH417" i="1" s="1"/>
  <c r="AG418" i="1"/>
  <c r="AH418" i="1" s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656" i="1"/>
  <c r="AH656" i="1" s="1"/>
  <c r="AG657" i="1"/>
  <c r="AH657" i="1" s="1"/>
  <c r="AG563" i="1"/>
  <c r="AH563" i="1" s="1"/>
  <c r="AG565" i="1"/>
  <c r="AH565" i="1" s="1"/>
  <c r="AG566" i="1"/>
  <c r="AH566" i="1" s="1"/>
  <c r="AG567" i="1"/>
  <c r="AH567" i="1" s="1"/>
  <c r="AG568" i="1"/>
  <c r="AH568" i="1" s="1"/>
  <c r="AG569" i="1"/>
  <c r="AH569" i="1" s="1"/>
  <c r="AG570" i="1"/>
  <c r="AH570" i="1" s="1"/>
  <c r="AG571" i="1"/>
  <c r="AH571" i="1" s="1"/>
  <c r="AG572" i="1"/>
  <c r="AH572" i="1" s="1"/>
  <c r="AG573" i="1"/>
  <c r="AH573" i="1" s="1"/>
  <c r="AG574" i="1"/>
  <c r="AH574" i="1" s="1"/>
  <c r="AG575" i="1"/>
  <c r="AH575" i="1" s="1"/>
  <c r="AG576" i="1"/>
  <c r="AH576" i="1" s="1"/>
  <c r="AG577" i="1"/>
  <c r="AH577" i="1" s="1"/>
  <c r="AG578" i="1"/>
  <c r="AH578" i="1" s="1"/>
  <c r="AG579" i="1"/>
  <c r="AH579" i="1" s="1"/>
  <c r="AG580" i="1"/>
  <c r="AH580" i="1" s="1"/>
  <c r="AG581" i="1"/>
  <c r="AH581" i="1" s="1"/>
  <c r="AG582" i="1"/>
  <c r="AH582" i="1" s="1"/>
  <c r="AG583" i="1"/>
  <c r="AH583" i="1" s="1"/>
  <c r="AG584" i="1"/>
  <c r="AH584" i="1" s="1"/>
  <c r="AG585" i="1"/>
  <c r="AH585" i="1" s="1"/>
  <c r="AG586" i="1"/>
  <c r="AH586" i="1" s="1"/>
  <c r="AG587" i="1"/>
  <c r="AH587" i="1" s="1"/>
  <c r="AG588" i="1"/>
  <c r="AH588" i="1" s="1"/>
  <c r="AG589" i="1"/>
  <c r="AH589" i="1" s="1"/>
  <c r="AG590" i="1"/>
  <c r="AH590" i="1" s="1"/>
  <c r="AG591" i="1"/>
  <c r="AH591" i="1" s="1"/>
  <c r="AG592" i="1"/>
  <c r="AH592" i="1" s="1"/>
  <c r="AG650" i="1"/>
  <c r="AH650" i="1" s="1"/>
  <c r="AG593" i="1"/>
  <c r="AH593" i="1" s="1"/>
  <c r="AG594" i="1"/>
  <c r="AH594" i="1" s="1"/>
  <c r="AG595" i="1"/>
  <c r="AH595" i="1" s="1"/>
  <c r="AG596" i="1"/>
  <c r="AH596" i="1" s="1"/>
  <c r="AG597" i="1"/>
  <c r="AH597" i="1" s="1"/>
  <c r="AG598" i="1"/>
  <c r="AH598" i="1" s="1"/>
  <c r="AG599" i="1"/>
  <c r="AH599" i="1" s="1"/>
  <c r="AG600" i="1"/>
  <c r="AH600" i="1" s="1"/>
  <c r="AG601" i="1"/>
  <c r="AH601" i="1" s="1"/>
  <c r="AG602" i="1"/>
  <c r="AH602" i="1" s="1"/>
  <c r="AG603" i="1"/>
  <c r="AH603" i="1" s="1"/>
  <c r="AG604" i="1"/>
  <c r="AH604" i="1" s="1"/>
  <c r="AG605" i="1"/>
  <c r="AH605" i="1" s="1"/>
  <c r="AG606" i="1"/>
  <c r="AH606" i="1" s="1"/>
  <c r="AG607" i="1"/>
  <c r="AH607" i="1" s="1"/>
  <c r="AG608" i="1"/>
  <c r="AH608" i="1" s="1"/>
  <c r="AG609" i="1"/>
  <c r="AH609" i="1" s="1"/>
  <c r="AG610" i="1"/>
  <c r="AH610" i="1" s="1"/>
  <c r="AG611" i="1"/>
  <c r="AH611" i="1" s="1"/>
  <c r="AG612" i="1"/>
  <c r="AH612" i="1" s="1"/>
  <c r="AG613" i="1"/>
  <c r="AH613" i="1" s="1"/>
  <c r="AG614" i="1"/>
  <c r="AH614" i="1" s="1"/>
  <c r="AG615" i="1"/>
  <c r="AH615" i="1" s="1"/>
  <c r="AG616" i="1"/>
  <c r="AH616" i="1" s="1"/>
  <c r="AG617" i="1"/>
  <c r="AH617" i="1" s="1"/>
  <c r="AG618" i="1"/>
  <c r="AH618" i="1" s="1"/>
  <c r="AG619" i="1"/>
  <c r="AH619" i="1" s="1"/>
  <c r="AG620" i="1"/>
  <c r="AH620" i="1" s="1"/>
  <c r="AG621" i="1"/>
  <c r="AH621" i="1" s="1"/>
  <c r="AG622" i="1"/>
  <c r="AH622" i="1" s="1"/>
  <c r="AG623" i="1"/>
  <c r="AH623" i="1" s="1"/>
  <c r="AG624" i="1"/>
  <c r="AH624" i="1" s="1"/>
  <c r="AG625" i="1"/>
  <c r="AH625" i="1" s="1"/>
  <c r="AG626" i="1"/>
  <c r="AH626" i="1" s="1"/>
  <c r="AG627" i="1"/>
  <c r="AH627" i="1" s="1"/>
  <c r="AG628" i="1"/>
  <c r="AH628" i="1" s="1"/>
  <c r="AG629" i="1"/>
  <c r="AH629" i="1" s="1"/>
  <c r="AG630" i="1"/>
  <c r="AH630" i="1" s="1"/>
  <c r="AG631" i="1"/>
  <c r="AH631" i="1" s="1"/>
  <c r="AG564" i="1"/>
  <c r="AH564" i="1" s="1"/>
  <c r="AG632" i="1"/>
  <c r="AH632" i="1" s="1"/>
  <c r="AG633" i="1"/>
  <c r="AH633" i="1" s="1"/>
  <c r="AG634" i="1"/>
  <c r="AH634" i="1" s="1"/>
  <c r="AG635" i="1"/>
  <c r="AH635" i="1" s="1"/>
  <c r="AG636" i="1"/>
  <c r="AH636" i="1" s="1"/>
  <c r="AG637" i="1"/>
  <c r="AH637" i="1" s="1"/>
  <c r="AG638" i="1"/>
  <c r="AH638" i="1" s="1"/>
  <c r="AG639" i="1"/>
  <c r="AH639" i="1" s="1"/>
  <c r="AG640" i="1"/>
  <c r="AH640" i="1" s="1"/>
  <c r="AG641" i="1"/>
  <c r="AH641" i="1" s="1"/>
  <c r="AG642" i="1"/>
  <c r="AH642" i="1" s="1"/>
  <c r="AG643" i="1"/>
  <c r="AH643" i="1" s="1"/>
  <c r="AG644" i="1"/>
  <c r="AH644" i="1" s="1"/>
  <c r="AG645" i="1"/>
  <c r="AH645" i="1" s="1"/>
  <c r="AG646" i="1"/>
  <c r="AH646" i="1" s="1"/>
  <c r="AG647" i="1"/>
  <c r="AH647" i="1" s="1"/>
  <c r="AG648" i="1"/>
  <c r="AH648" i="1" s="1"/>
  <c r="AG649" i="1"/>
  <c r="AH649" i="1" s="1"/>
  <c r="AG651" i="1"/>
  <c r="AH651" i="1" s="1"/>
  <c r="AG652" i="1"/>
  <c r="AH652" i="1" s="1"/>
  <c r="AG653" i="1"/>
  <c r="AH653" i="1" s="1"/>
  <c r="AG654" i="1"/>
  <c r="AH654" i="1" s="1"/>
  <c r="AG655" i="1"/>
  <c r="AH655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2" i="1"/>
  <c r="AH492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498" i="1"/>
  <c r="AH498" i="1" s="1"/>
  <c r="AG499" i="1"/>
  <c r="AH499" i="1" s="1"/>
  <c r="AG500" i="1"/>
  <c r="AH500" i="1" s="1"/>
  <c r="AG501" i="1"/>
  <c r="AH501" i="1" s="1"/>
  <c r="AG502" i="1"/>
  <c r="AH502" i="1" s="1"/>
  <c r="AG503" i="1"/>
  <c r="AH503" i="1" s="1"/>
  <c r="AG504" i="1"/>
  <c r="AH504" i="1" s="1"/>
  <c r="AG505" i="1"/>
  <c r="AH505" i="1" s="1"/>
  <c r="AG506" i="1"/>
  <c r="AH506" i="1" s="1"/>
  <c r="AG507" i="1"/>
  <c r="AH507" i="1" s="1"/>
  <c r="AG508" i="1"/>
  <c r="AH508" i="1" s="1"/>
  <c r="AG509" i="1"/>
  <c r="AH509" i="1" s="1"/>
  <c r="AG510" i="1"/>
  <c r="AH510" i="1" s="1"/>
  <c r="AG511" i="1"/>
  <c r="AH511" i="1" s="1"/>
  <c r="AG512" i="1"/>
  <c r="AH512" i="1" s="1"/>
  <c r="AG513" i="1"/>
  <c r="AH513" i="1" s="1"/>
  <c r="AG514" i="1"/>
  <c r="AH514" i="1" s="1"/>
  <c r="AG515" i="1"/>
  <c r="AH515" i="1" s="1"/>
  <c r="AG516" i="1"/>
  <c r="AH516" i="1" s="1"/>
  <c r="AG517" i="1"/>
  <c r="AH517" i="1" s="1"/>
  <c r="AG518" i="1"/>
  <c r="AH518" i="1" s="1"/>
  <c r="AG519" i="1"/>
  <c r="AH519" i="1" s="1"/>
  <c r="AG520" i="1"/>
  <c r="AH520" i="1" s="1"/>
  <c r="AG521" i="1"/>
  <c r="AH521" i="1" s="1"/>
  <c r="AG522" i="1"/>
  <c r="AH522" i="1" s="1"/>
  <c r="AG523" i="1"/>
  <c r="AH523" i="1" s="1"/>
  <c r="AG524" i="1"/>
  <c r="AH524" i="1" s="1"/>
  <c r="AG525" i="1"/>
  <c r="AH525" i="1" s="1"/>
  <c r="AG526" i="1"/>
  <c r="AH526" i="1" s="1"/>
  <c r="AG527" i="1"/>
  <c r="AH527" i="1" s="1"/>
  <c r="AG528" i="1"/>
  <c r="AH528" i="1" s="1"/>
  <c r="AG529" i="1"/>
  <c r="AH529" i="1" s="1"/>
  <c r="AG530" i="1"/>
  <c r="AH530" i="1" s="1"/>
  <c r="AG531" i="1"/>
  <c r="AH531" i="1" s="1"/>
  <c r="AG532" i="1"/>
  <c r="AH532" i="1" s="1"/>
  <c r="AG533" i="1"/>
  <c r="AH533" i="1" s="1"/>
  <c r="AG534" i="1"/>
  <c r="AH534" i="1" s="1"/>
  <c r="AG535" i="1"/>
  <c r="AH535" i="1" s="1"/>
  <c r="AG536" i="1"/>
  <c r="AH536" i="1" s="1"/>
  <c r="AG537" i="1"/>
  <c r="AH537" i="1" s="1"/>
  <c r="AG538" i="1"/>
  <c r="AH538" i="1" s="1"/>
  <c r="AG539" i="1"/>
  <c r="AH539" i="1" s="1"/>
  <c r="AG540" i="1"/>
  <c r="AH540" i="1" s="1"/>
  <c r="AG541" i="1"/>
  <c r="AH541" i="1" s="1"/>
  <c r="AG542" i="1"/>
  <c r="AH542" i="1" s="1"/>
  <c r="AG543" i="1"/>
  <c r="AH543" i="1" s="1"/>
  <c r="AG544" i="1"/>
  <c r="AH544" i="1" s="1"/>
  <c r="AG545" i="1"/>
  <c r="AH545" i="1" s="1"/>
  <c r="AG546" i="1"/>
  <c r="AH546" i="1" s="1"/>
  <c r="AG547" i="1"/>
  <c r="AH547" i="1" s="1"/>
  <c r="AG548" i="1"/>
  <c r="AH548" i="1" s="1"/>
  <c r="AG549" i="1"/>
  <c r="AH549" i="1" s="1"/>
  <c r="AG550" i="1"/>
  <c r="AH550" i="1" s="1"/>
  <c r="AG551" i="1"/>
  <c r="AH551" i="1" s="1"/>
  <c r="AG552" i="1"/>
  <c r="AH552" i="1" s="1"/>
  <c r="AG553" i="1"/>
  <c r="AH553" i="1" s="1"/>
  <c r="AG554" i="1"/>
  <c r="AH554" i="1" s="1"/>
  <c r="AG555" i="1"/>
  <c r="AH555" i="1" s="1"/>
  <c r="AG556" i="1"/>
  <c r="AH556" i="1" s="1"/>
  <c r="AG557" i="1"/>
  <c r="AH557" i="1" s="1"/>
  <c r="AG558" i="1"/>
  <c r="AH558" i="1" s="1"/>
  <c r="AG559" i="1"/>
  <c r="AH559" i="1" s="1"/>
  <c r="AG560" i="1"/>
  <c r="AH560" i="1" s="1"/>
  <c r="AG561" i="1"/>
  <c r="AH561" i="1" s="1"/>
  <c r="AG562" i="1"/>
  <c r="AH562" i="1" s="1"/>
  <c r="AG658" i="1"/>
  <c r="AH658" i="1" s="1"/>
  <c r="AG659" i="1"/>
  <c r="AH659" i="1" s="1"/>
  <c r="AG660" i="1"/>
  <c r="AH660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Y4" i="1" l="1"/>
  <c r="AH4" i="1" s="1"/>
  <c r="Y6" i="1"/>
  <c r="AH6" i="1" s="1"/>
  <c r="Y7" i="1"/>
  <c r="Y5" i="1"/>
  <c r="AH5" i="1" s="1"/>
  <c r="Y8" i="1"/>
  <c r="Y15" i="1"/>
  <c r="AH15" i="1" s="1"/>
  <c r="Y9" i="1"/>
  <c r="AH9" i="1" s="1"/>
  <c r="Y10" i="1"/>
  <c r="AH10" i="1" s="1"/>
  <c r="Y11" i="1"/>
  <c r="AH11" i="1" s="1"/>
  <c r="Y12" i="1"/>
  <c r="AH12" i="1" s="1"/>
  <c r="Y13" i="1"/>
  <c r="AH13" i="1" s="1"/>
  <c r="Y19" i="1"/>
  <c r="AH19" i="1" s="1"/>
  <c r="Y14" i="1"/>
  <c r="AH14" i="1" s="1"/>
  <c r="Y17" i="1"/>
  <c r="Y16" i="1"/>
  <c r="Y18" i="1"/>
  <c r="Y20" i="1"/>
  <c r="Y21" i="1"/>
  <c r="AH21" i="1" s="1"/>
  <c r="Y23" i="1"/>
  <c r="AH23" i="1" s="1"/>
  <c r="Y22" i="1"/>
  <c r="AH22" i="1" s="1"/>
  <c r="Y24" i="1"/>
  <c r="Y27" i="1"/>
  <c r="Y29" i="1"/>
  <c r="Y25" i="1"/>
  <c r="AH25" i="1" s="1"/>
  <c r="Y26" i="1"/>
  <c r="Y28" i="1"/>
  <c r="Y33" i="1"/>
  <c r="C25" i="2" s="1"/>
  <c r="Y35" i="1"/>
  <c r="Y31" i="1"/>
  <c r="AH31" i="1" s="1"/>
  <c r="Y30" i="1"/>
  <c r="AH30" i="1" s="1"/>
  <c r="Y34" i="1"/>
  <c r="Y37" i="1"/>
  <c r="Y36" i="1"/>
  <c r="Y39" i="1"/>
  <c r="Y44" i="1"/>
  <c r="Y41" i="1"/>
  <c r="Y43" i="1"/>
  <c r="Y38" i="1"/>
  <c r="Y40" i="1"/>
  <c r="Y32" i="1"/>
  <c r="Y49" i="1"/>
  <c r="Y42" i="1"/>
  <c r="AH42" i="1" s="1"/>
  <c r="Y47" i="1"/>
  <c r="Y46" i="1"/>
  <c r="Y48" i="1"/>
  <c r="Y51" i="1"/>
  <c r="Y45" i="1"/>
  <c r="AH45" i="1" s="1"/>
  <c r="Y62" i="1"/>
  <c r="Y52" i="1"/>
  <c r="Y50" i="1"/>
  <c r="Y56" i="1"/>
  <c r="Y58" i="1"/>
  <c r="Y57" i="1"/>
  <c r="AH57" i="1" s="1"/>
  <c r="Y59" i="1"/>
  <c r="Y55" i="1"/>
  <c r="AH55" i="1" s="1"/>
  <c r="Y54" i="1"/>
  <c r="Y66" i="1"/>
  <c r="Y53" i="1"/>
  <c r="Y61" i="1"/>
  <c r="Y60" i="1"/>
  <c r="Y67" i="1"/>
  <c r="Y63" i="1"/>
  <c r="Y68" i="1"/>
  <c r="Y69" i="1"/>
  <c r="Y71" i="1"/>
  <c r="Y65" i="1"/>
  <c r="Y73" i="1"/>
  <c r="AH73" i="1" s="1"/>
  <c r="Y75" i="1"/>
  <c r="Y64" i="1"/>
  <c r="Y76" i="1"/>
  <c r="Y70" i="1"/>
  <c r="Y72" i="1"/>
  <c r="Y96" i="1"/>
  <c r="Y77" i="1"/>
  <c r="Y78" i="1"/>
  <c r="Y79" i="1"/>
  <c r="Y81" i="1"/>
  <c r="Y80" i="1"/>
  <c r="Y85" i="1"/>
  <c r="Y74" i="1"/>
  <c r="Y83" i="1"/>
  <c r="Y87" i="1"/>
  <c r="Y90" i="1"/>
  <c r="Y88" i="1"/>
  <c r="Y86" i="1"/>
  <c r="Y92" i="1"/>
  <c r="Y84" i="1"/>
  <c r="Y91" i="1"/>
  <c r="Y97" i="1"/>
  <c r="Y100" i="1"/>
  <c r="AH100" i="1" s="1"/>
  <c r="Y89" i="1"/>
  <c r="AH89" i="1" s="1"/>
  <c r="Y82" i="1"/>
  <c r="Y98" i="1"/>
  <c r="C21" i="2" s="1"/>
  <c r="Y99" i="1"/>
  <c r="AH99" i="1" s="1"/>
  <c r="Y94" i="1"/>
  <c r="Y93" i="1"/>
  <c r="Y102" i="1"/>
  <c r="Y95" i="1"/>
  <c r="Y103" i="1"/>
  <c r="Y107" i="1"/>
  <c r="Y101" i="1"/>
  <c r="Y106" i="1"/>
  <c r="C30" i="2" s="1"/>
  <c r="Y109" i="1"/>
  <c r="Y104" i="1"/>
  <c r="Y108" i="1"/>
  <c r="Y105" i="1"/>
  <c r="Y110" i="1"/>
  <c r="Y114" i="1"/>
  <c r="Y111" i="1"/>
  <c r="AH111" i="1" s="1"/>
  <c r="Y117" i="1"/>
  <c r="Y113" i="1"/>
  <c r="AH113" i="1" s="1"/>
  <c r="Y115" i="1"/>
  <c r="AH115" i="1" s="1"/>
  <c r="Y119" i="1"/>
  <c r="Y116" i="1"/>
  <c r="Y112" i="1"/>
  <c r="AH112" i="1" s="1"/>
  <c r="Y126" i="1"/>
  <c r="Y121" i="1"/>
  <c r="C31" i="2" s="1"/>
  <c r="Y118" i="1"/>
  <c r="Y120" i="1"/>
  <c r="Y124" i="1"/>
  <c r="Y122" i="1"/>
  <c r="Y129" i="1"/>
  <c r="Y128" i="1"/>
  <c r="Y130" i="1"/>
  <c r="Y125" i="1"/>
  <c r="Y134" i="1"/>
  <c r="AH134" i="1" s="1"/>
  <c r="Y131" i="1"/>
  <c r="Y123" i="1"/>
  <c r="Y132" i="1"/>
  <c r="Y127" i="1"/>
  <c r="Y135" i="1"/>
  <c r="AH135" i="1" s="1"/>
  <c r="Y142" i="1"/>
  <c r="Y141" i="1"/>
  <c r="Y133" i="1"/>
  <c r="Y140" i="1"/>
  <c r="Y137" i="1"/>
  <c r="AH137" i="1" s="1"/>
  <c r="Y138" i="1"/>
  <c r="AH138" i="1" s="1"/>
  <c r="D5" i="2" s="1"/>
  <c r="Y143" i="1"/>
  <c r="Y144" i="1"/>
  <c r="Y148" i="1"/>
  <c r="Y136" i="1"/>
  <c r="AH136" i="1" s="1"/>
  <c r="Y151" i="1"/>
  <c r="Y149" i="1"/>
  <c r="Y145" i="1"/>
  <c r="Y163" i="1"/>
  <c r="Y139" i="1"/>
  <c r="Y156" i="1"/>
  <c r="Y152" i="1"/>
  <c r="Y154" i="1"/>
  <c r="Y160" i="1"/>
  <c r="Y146" i="1"/>
  <c r="Y155" i="1"/>
  <c r="Y150" i="1"/>
  <c r="Y166" i="1"/>
  <c r="Y147" i="1"/>
  <c r="Y159" i="1"/>
  <c r="Y157" i="1"/>
  <c r="Y153" i="1"/>
  <c r="Y165" i="1"/>
  <c r="Y162" i="1"/>
  <c r="Y172" i="1"/>
  <c r="Y181" i="1"/>
  <c r="Y173" i="1"/>
  <c r="Y158" i="1"/>
  <c r="Y168" i="1"/>
  <c r="Y174" i="1"/>
  <c r="Y167" i="1"/>
  <c r="Y171" i="1"/>
  <c r="Y170" i="1"/>
  <c r="Y164" i="1"/>
  <c r="Y177" i="1"/>
  <c r="Y161" i="1"/>
  <c r="Y180" i="1"/>
  <c r="Y169" i="1"/>
  <c r="Y175" i="1"/>
  <c r="Y176" i="1"/>
  <c r="Y184" i="1"/>
  <c r="Y179" i="1"/>
  <c r="Y183" i="1"/>
  <c r="Y178" i="1"/>
  <c r="Y182" i="1"/>
  <c r="Y186" i="1"/>
  <c r="Y188" i="1"/>
  <c r="Y189" i="1"/>
  <c r="Y185" i="1"/>
  <c r="Y191" i="1"/>
  <c r="Y196" i="1"/>
  <c r="Y192" i="1"/>
  <c r="Y190" i="1"/>
  <c r="Y194" i="1"/>
  <c r="Y187" i="1"/>
  <c r="Y195" i="1"/>
  <c r="Y193" i="1"/>
  <c r="Y198" i="1"/>
  <c r="Y197" i="1"/>
  <c r="Y199" i="1"/>
  <c r="Y205" i="1"/>
  <c r="Y200" i="1"/>
  <c r="Y208" i="1"/>
  <c r="Y204" i="1"/>
  <c r="Y206" i="1"/>
  <c r="Y201" i="1"/>
  <c r="Y202" i="1"/>
  <c r="Y215" i="1"/>
  <c r="Y207" i="1"/>
  <c r="Y209" i="1"/>
  <c r="Y212" i="1"/>
  <c r="Y203" i="1"/>
  <c r="Y210" i="1"/>
  <c r="Y211" i="1"/>
  <c r="Y214" i="1"/>
  <c r="Y217" i="1"/>
  <c r="Y219" i="1"/>
  <c r="Y228" i="1"/>
  <c r="Y343" i="1"/>
  <c r="Y216" i="1"/>
  <c r="Y220" i="1"/>
  <c r="Y224" i="1"/>
  <c r="Y225" i="1"/>
  <c r="Y218" i="1"/>
  <c r="Y221" i="1"/>
  <c r="Y222" i="1"/>
  <c r="Y213" i="1"/>
  <c r="Y226" i="1"/>
  <c r="Y227" i="1"/>
  <c r="Y229" i="1"/>
  <c r="Y232" i="1"/>
  <c r="Y240" i="1"/>
  <c r="Y223" i="1"/>
  <c r="Y241" i="1"/>
  <c r="Y234" i="1"/>
  <c r="Y230" i="1"/>
  <c r="Y231" i="1"/>
  <c r="Y238" i="1"/>
  <c r="Y247" i="1"/>
  <c r="Y236" i="1"/>
  <c r="Y237" i="1"/>
  <c r="Y245" i="1"/>
  <c r="Y235" i="1"/>
  <c r="Y233" i="1"/>
  <c r="Y243" i="1"/>
  <c r="Y239" i="1"/>
  <c r="Y266" i="1"/>
  <c r="Y250" i="1"/>
  <c r="Y242" i="1"/>
  <c r="Y251" i="1"/>
  <c r="Y252" i="1"/>
  <c r="Y423" i="1"/>
  <c r="Y255" i="1"/>
  <c r="Y244" i="1"/>
  <c r="Y259" i="1"/>
  <c r="Y256" i="1"/>
  <c r="Y258" i="1"/>
  <c r="Y248" i="1"/>
  <c r="Y249" i="1"/>
  <c r="Y246" i="1"/>
  <c r="Y260" i="1"/>
  <c r="Y263" i="1"/>
  <c r="Y262" i="1"/>
  <c r="Y253" i="1"/>
  <c r="Y267" i="1"/>
  <c r="Y254" i="1"/>
  <c r="Y261" i="1"/>
  <c r="Y264" i="1"/>
  <c r="Y257" i="1"/>
  <c r="Y265" i="1"/>
  <c r="Y273" i="1"/>
  <c r="Y269" i="1"/>
  <c r="Y268" i="1"/>
  <c r="Y270" i="1"/>
  <c r="Y277" i="1"/>
  <c r="Y272" i="1"/>
  <c r="Y281" i="1"/>
  <c r="Y271" i="1"/>
  <c r="Y279" i="1"/>
  <c r="Y280" i="1"/>
  <c r="Y278" i="1"/>
  <c r="Y274" i="1"/>
  <c r="Y282" i="1"/>
  <c r="Y287" i="1"/>
  <c r="Y275" i="1"/>
  <c r="Y291" i="1"/>
  <c r="Y283" i="1"/>
  <c r="Y276" i="1"/>
  <c r="Y285" i="1"/>
  <c r="Y289" i="1"/>
  <c r="Y296" i="1"/>
  <c r="Y284" i="1"/>
  <c r="Y286" i="1"/>
  <c r="Y288" i="1"/>
  <c r="Y300" i="1"/>
  <c r="Y292" i="1"/>
  <c r="Y297" i="1"/>
  <c r="Y294" i="1"/>
  <c r="Y301" i="1"/>
  <c r="Y293" i="1"/>
  <c r="Y312" i="1"/>
  <c r="Y304" i="1"/>
  <c r="Y307" i="1"/>
  <c r="Y290" i="1"/>
  <c r="Y303" i="1"/>
  <c r="Y309" i="1"/>
  <c r="Y311" i="1"/>
  <c r="Y424" i="1"/>
  <c r="Y308" i="1"/>
  <c r="Y313" i="1"/>
  <c r="Y295" i="1"/>
  <c r="Y298" i="1"/>
  <c r="Y325" i="1"/>
  <c r="Y318" i="1"/>
  <c r="Y299" i="1"/>
  <c r="Y316" i="1"/>
  <c r="Y327" i="1"/>
  <c r="Y314" i="1"/>
  <c r="Y302" i="1"/>
  <c r="Y305" i="1"/>
  <c r="Y306" i="1"/>
  <c r="Y319" i="1"/>
  <c r="C41" i="2" s="1"/>
  <c r="Y310" i="1"/>
  <c r="Y333" i="1"/>
  <c r="Y320" i="1"/>
  <c r="Y321" i="1"/>
  <c r="Y323" i="1"/>
  <c r="Y324" i="1"/>
  <c r="Y315" i="1"/>
  <c r="Y317" i="1"/>
  <c r="Y329" i="1"/>
  <c r="Y322" i="1"/>
  <c r="Y331" i="1"/>
  <c r="Y330" i="1"/>
  <c r="Y326" i="1"/>
  <c r="Y336" i="1"/>
  <c r="Y334" i="1"/>
  <c r="Y328" i="1"/>
  <c r="Y338" i="1"/>
  <c r="Y337" i="1"/>
  <c r="Y332" i="1"/>
  <c r="Y342" i="1"/>
  <c r="Y339" i="1"/>
  <c r="Y425" i="1"/>
  <c r="Y335" i="1"/>
  <c r="Y355" i="1"/>
  <c r="Y344" i="1"/>
  <c r="Y346" i="1"/>
  <c r="Y426" i="1"/>
  <c r="Y340" i="1"/>
  <c r="Y341" i="1"/>
  <c r="Y347" i="1"/>
  <c r="Y358" i="1"/>
  <c r="Y345" i="1"/>
  <c r="Y348" i="1"/>
  <c r="Y353" i="1"/>
  <c r="Y349" i="1"/>
  <c r="Y351" i="1"/>
  <c r="Y354" i="1"/>
  <c r="Y377" i="1"/>
  <c r="Y352" i="1"/>
  <c r="Y356" i="1"/>
  <c r="Y350" i="1"/>
  <c r="Y357" i="1"/>
  <c r="Y362" i="1"/>
  <c r="Y363" i="1"/>
  <c r="Y359" i="1"/>
  <c r="Y360" i="1"/>
  <c r="Y361" i="1"/>
  <c r="Y373" i="1"/>
  <c r="Y374" i="1"/>
  <c r="Y366" i="1"/>
  <c r="Y364" i="1"/>
  <c r="Y365" i="1"/>
  <c r="Y367" i="1"/>
  <c r="Y427" i="1"/>
  <c r="Y368" i="1"/>
  <c r="Y369" i="1"/>
  <c r="Y370" i="1"/>
  <c r="Y382" i="1"/>
  <c r="Y371" i="1"/>
  <c r="Y375" i="1"/>
  <c r="Y376" i="1"/>
  <c r="Y372" i="1"/>
  <c r="Y384" i="1"/>
  <c r="Y380" i="1"/>
  <c r="Y381" i="1"/>
  <c r="Y378" i="1"/>
  <c r="Y379" i="1"/>
  <c r="Y385" i="1"/>
  <c r="Y383" i="1"/>
  <c r="Y388" i="1"/>
  <c r="Y389" i="1"/>
  <c r="Y391" i="1"/>
  <c r="Y386" i="1"/>
  <c r="Y387" i="1"/>
  <c r="Y394" i="1"/>
  <c r="Y390" i="1"/>
  <c r="Y392" i="1"/>
  <c r="Y393" i="1"/>
  <c r="Y398" i="1"/>
  <c r="Y428" i="1"/>
  <c r="Y397" i="1"/>
  <c r="Y400" i="1"/>
  <c r="Y395" i="1"/>
  <c r="Y396" i="1"/>
  <c r="Y399" i="1"/>
  <c r="Y429" i="1"/>
  <c r="Y401" i="1"/>
  <c r="Y402" i="1"/>
  <c r="Y430" i="1"/>
  <c r="Y404" i="1"/>
  <c r="Y411" i="1"/>
  <c r="Y403" i="1"/>
  <c r="Y406" i="1"/>
  <c r="Y431" i="1"/>
  <c r="Y407" i="1"/>
  <c r="Y414" i="1"/>
  <c r="Y432" i="1"/>
  <c r="Y409" i="1"/>
  <c r="Y405" i="1"/>
  <c r="Y408" i="1"/>
  <c r="Y410" i="1"/>
  <c r="Y412" i="1"/>
  <c r="Y413" i="1"/>
  <c r="Y415" i="1"/>
  <c r="Y416" i="1"/>
  <c r="Y433" i="1"/>
  <c r="Y434" i="1"/>
  <c r="Y417" i="1"/>
  <c r="Y418" i="1"/>
  <c r="Y419" i="1"/>
  <c r="Y656" i="1"/>
  <c r="Y420" i="1"/>
  <c r="Y421" i="1"/>
  <c r="Y657" i="1"/>
  <c r="Y422" i="1"/>
  <c r="Y563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650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564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1" i="1"/>
  <c r="Y652" i="1"/>
  <c r="Y653" i="1"/>
  <c r="Y654" i="1"/>
  <c r="Y655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D4" i="2" l="1"/>
  <c r="C35" i="2"/>
  <c r="C33" i="2"/>
  <c r="C39" i="2"/>
  <c r="C20" i="2"/>
  <c r="C18" i="2"/>
  <c r="C15" i="2"/>
  <c r="AH3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98" i="1"/>
  <c r="AH20" i="1"/>
  <c r="C2" i="2"/>
  <c r="C5" i="2"/>
  <c r="E5" i="2" s="1"/>
  <c r="C4" i="2"/>
  <c r="C3" i="2"/>
  <c r="Y708" i="1"/>
  <c r="E2" i="2" l="1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  <author>Vera Rodrigues</author>
    <author>Eliana Santana de Oliveira Augusto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3" authorId="0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4" authorId="0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10" authorId="0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13" authorId="0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2" authorId="0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48" authorId="1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160" authorId="2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91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212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243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28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286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321" authorId="1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65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<sst xmlns="http://schemas.openxmlformats.org/spreadsheetml/2006/main" count="6327" uniqueCount="1427">
  <si>
    <t>Código
Bobina Mâe</t>
  </si>
  <si>
    <t>Tipo</t>
  </si>
  <si>
    <t>Esp.
(mm)</t>
  </si>
  <si>
    <t>Larg
(mm)</t>
  </si>
  <si>
    <t>Compr
(mm)</t>
  </si>
  <si>
    <t>Tolerância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</si>
  <si>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</si>
  <si>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</si>
  <si>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</si>
  <si>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</si>
  <si>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</si>
  <si>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</si>
  <si>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</si>
  <si>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</si>
  <si>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</si>
  <si>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</si>
  <si>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</si>
  <si>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</si>
  <si>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</si>
  <si>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</si>
  <si>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</si>
  <si>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</si>
  <si>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</si>
  <si>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</si>
  <si>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</si>
  <si>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</si>
  <si>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</si>
  <si>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</si>
  <si>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</si>
  <si>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</si>
  <si>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</si>
  <si>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</si>
  <si>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</si>
  <si>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</si>
  <si>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</si>
  <si>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</si>
  <si>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</si>
  <si>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</si>
  <si>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</si>
  <si>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</si>
  <si>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</si>
  <si>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</si>
  <si>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</si>
  <si>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</si>
  <si>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</si>
  <si>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</si>
  <si>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</si>
  <si>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Diadema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</si>
  <si>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</si>
  <si>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</si>
  <si>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</si>
  <si>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</si>
  <si>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</si>
  <si>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</si>
  <si>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</si>
  <si>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</si>
  <si>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t>BOQ0285EE0885</t>
  </si>
  <si>
    <t>2,85 MTH</t>
  </si>
  <si>
    <t>NBR-6656-16-LNE-500</t>
  </si>
  <si>
    <t>ANCHIETA / VOLVO</t>
  </si>
  <si>
    <t>Projeto Fuel Tank - Projeto Especial ( VOLVO)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</si>
  <si>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</si>
  <si>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</si>
  <si>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</si>
  <si>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</si>
  <si>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</si>
  <si>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</si>
  <si>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CHF0100HA06250872</t>
  </si>
  <si>
    <t>BF</t>
  </si>
  <si>
    <t>BOB EN10268 HC260LA 1,00X1250 M10440489</t>
  </si>
  <si>
    <t>M10440489</t>
  </si>
  <si>
    <t>FERROLENE</t>
  </si>
  <si>
    <t>BOQ0575LN1200</t>
  </si>
  <si>
    <t>EN-10149-2-13-S420MC</t>
  </si>
  <si>
    <t>ARCELOR</t>
  </si>
  <si>
    <t>ANCHIETA / SCANIA</t>
  </si>
  <si>
    <t>AD 5699-22 ( Telha e Chifre)</t>
  </si>
  <si>
    <t>CHF0180SF07500640</t>
  </si>
  <si>
    <t>CHF</t>
  </si>
  <si>
    <t>BOB DIN EN10130 + A1 DC01 Am 1,80X1500MM</t>
  </si>
  <si>
    <t>VW - SBC</t>
  </si>
  <si>
    <t>BOF0100UQ1200</t>
  </si>
  <si>
    <t>±0,04</t>
  </si>
  <si>
    <t>GMW3399M-ST-S-CR980T/700Y-MP-LCE-UNC</t>
  </si>
  <si>
    <t>GM/JARINU</t>
  </si>
  <si>
    <t>TRACKER</t>
  </si>
  <si>
    <t>CHZ0180GZ05270841</t>
  </si>
  <si>
    <t>±0,14</t>
  </si>
  <si>
    <t>EN10292 HX300YD Z100</t>
  </si>
  <si>
    <t>BOZ0065HV1050</t>
  </si>
  <si>
    <t>GMW2M-ST-S-CR3-HD60G60G-U 0,65X1050</t>
  </si>
  <si>
    <t>BOQ0630IH1300</t>
  </si>
  <si>
    <t>CHQ NBR6656 LNE28 6,00X1200X2000</t>
  </si>
  <si>
    <t>ANCHIETA</t>
  </si>
  <si>
    <t>MBB</t>
  </si>
  <si>
    <t>CHF0180SF04000900</t>
  </si>
  <si>
    <t>BOB DIN EN10130 + A1 DC01 Am 1,80X1200MM</t>
  </si>
  <si>
    <t>BOZ0150HX1000</t>
  </si>
  <si>
    <t>NÃO</t>
  </si>
  <si>
    <t>GMW3032M-ST-S-340LA-HD60G60G-U 1,5X1000</t>
  </si>
  <si>
    <t>CHZ0100SE12000540</t>
  </si>
  <si>
    <t xml:space="preserve">VW50065 CR3 GI40/40 </t>
  </si>
  <si>
    <t>M10441440</t>
  </si>
  <si>
    <t>BOQ0375PQ1550</t>
  </si>
  <si>
    <t>MTH</t>
  </si>
  <si>
    <t>EN10149-2 S460MC 3,75MTH x 1550</t>
  </si>
  <si>
    <t>FERRAZ</t>
  </si>
  <si>
    <t>Suporte do tanque (Scania)</t>
  </si>
  <si>
    <t>Jarinu</t>
  </si>
  <si>
    <t>BOQ0800ZN1300</t>
  </si>
  <si>
    <t>BOQ EN10149-2 S500MC 8,00X1300</t>
  </si>
  <si>
    <t>ANCHIETA / MBB / SCANIA</t>
  </si>
  <si>
    <t>MBB Boomerang / Scania Facão</t>
  </si>
  <si>
    <t>CHF0120TL02100570</t>
  </si>
  <si>
    <t>BO VW50065 CR300LA UC 1,20X1050MM</t>
  </si>
  <si>
    <t>JARINU</t>
  </si>
  <si>
    <t>POLO / VIRTUS PA / NIVUS</t>
  </si>
  <si>
    <t>BOZ0100CN1200</t>
  </si>
  <si>
    <t>BOB EN10327 DX53 Z100 1,00X1200 MM **1100mm**</t>
  </si>
  <si>
    <t>MERCEDES</t>
  </si>
  <si>
    <t>Lâmina</t>
  </si>
  <si>
    <t>SLZ0180SI0285</t>
  </si>
  <si>
    <t>BO VW50065 CR300LA-GI40/40U 1,80X1150MM</t>
  </si>
  <si>
    <t>Polo/Virtus/Nivus</t>
  </si>
  <si>
    <t>BOF0150ZM1050</t>
  </si>
  <si>
    <t>Cintas Scania</t>
  </si>
  <si>
    <t>BOF0130UQ0950</t>
  </si>
  <si>
    <t>BOQ0700IS1300</t>
  </si>
  <si>
    <t>6656 LNE50 7,0(+0/-0,3 MTL)X1300</t>
  </si>
  <si>
    <t>CHF0275KO06400290</t>
  </si>
  <si>
    <t>EN10130 DC03 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</si>
  <si>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</si>
  <si>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</si>
  <si>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</si>
  <si>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</si>
  <si>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</si>
  <si>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</si>
  <si>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CHZ0250SE02900636</t>
  </si>
  <si>
    <t>EN10346 DX54DZ100MBO 2,50X1160 M10441443</t>
  </si>
  <si>
    <t>BOZ0150HX1250</t>
  </si>
  <si>
    <t>SLZ0060TD0455</t>
  </si>
  <si>
    <t>CR240LA-GI40/40U0,6X1000</t>
  </si>
  <si>
    <t>POLO /NIVUS /VIRTUS</t>
  </si>
  <si>
    <t>BOZ0140HX1100</t>
  </si>
  <si>
    <t>BOB1,40X1000 GMW3032M-ST-S-CR340LA-HD60G</t>
  </si>
  <si>
    <t>JOY/JOY PLUS</t>
  </si>
  <si>
    <t>Sul</t>
  </si>
  <si>
    <t>SLQ0300ED0433</t>
  </si>
  <si>
    <t>SLQ</t>
  </si>
  <si>
    <t>BOB NBR 6656 LNE38 D/O 3,00X1300MM</t>
  </si>
  <si>
    <t>VW-SJP</t>
  </si>
  <si>
    <t>CHZ0060TD05000500</t>
  </si>
  <si>
    <t>CHZ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</si>
  <si>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</si>
  <si>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</si>
  <si>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</si>
  <si>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</si>
  <si>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</si>
  <si>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</si>
  <si>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</si>
  <si>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</si>
  <si>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</si>
  <si>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</si>
  <si>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</si>
  <si>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</si>
  <si>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BOQ0300BF1450</t>
  </si>
  <si>
    <t>BOB EN10149-2 S355MC 3,00X1500 MTL D/O</t>
  </si>
  <si>
    <t>Mundguard / Front Module /New Mundguard</t>
  </si>
  <si>
    <t>BOQ0600DW1050</t>
  </si>
  <si>
    <t>BOB NBR6656 LNE280 6,00X1050MM</t>
  </si>
  <si>
    <t>Console</t>
  </si>
  <si>
    <t>BOZ0120IC1100</t>
  </si>
  <si>
    <t xml:space="preserve">GMW3032M STS CR420LA HD60G60GU </t>
  </si>
  <si>
    <t>SPIN</t>
  </si>
  <si>
    <t>BOQ0475EE1230</t>
  </si>
  <si>
    <t xml:space="preserve">CH NBR6656 LNE50 D/O </t>
  </si>
  <si>
    <t>BOZ0065ZH1050</t>
  </si>
  <si>
    <t>GMW2M / ST-S-CR3-HD50G50GU#0,65x1050</t>
  </si>
  <si>
    <t>BOQ0375PQ0880</t>
  </si>
  <si>
    <t xml:space="preserve"> EN10149-2 S460MC 3,75MTHx830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</si>
  <si>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</si>
  <si>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</si>
  <si>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</si>
  <si>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</si>
  <si>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</si>
  <si>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</si>
  <si>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</si>
  <si>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</si>
  <si>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BOQ0300BF1100</t>
  </si>
  <si>
    <t>BOB EN10149-2 S355MC 3,00x1100 MTL D/O</t>
  </si>
  <si>
    <t>Front Module /New Mundguard</t>
  </si>
  <si>
    <t>BLZ0140SI02870460</t>
  </si>
  <si>
    <t>BLZ</t>
  </si>
  <si>
    <t>BLZ CR300LA GI40/40U 1,40X287X460BX257B</t>
  </si>
  <si>
    <t>GONVARRI</t>
  </si>
  <si>
    <t>VW</t>
  </si>
  <si>
    <t>VW-246</t>
  </si>
  <si>
    <t>CHF0100TF03250720</t>
  </si>
  <si>
    <t>VW50065 CR240LA - UC-U-O 1,00X1300MM</t>
  </si>
  <si>
    <t>SLZ0250CO0200</t>
  </si>
  <si>
    <t>BOB EN10346 DX54D Z100</t>
  </si>
  <si>
    <t>BOZ0120HV1100</t>
  </si>
  <si>
    <t>GMW2M-ST-S-CR3-HD60G60G-U 1,20X1100</t>
  </si>
  <si>
    <t>ONIX (HB)/ONIX PLUS (NB)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</si>
  <si>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</si>
  <si>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</si>
  <si>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</si>
  <si>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</si>
  <si>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</si>
  <si>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</si>
  <si>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</si>
  <si>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</si>
  <si>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</si>
  <si>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</si>
  <si>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</si>
  <si>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</si>
  <si>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</si>
  <si>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</si>
  <si>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</si>
  <si>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</si>
  <si>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</si>
  <si>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BOF0120OO1100</t>
  </si>
  <si>
    <t>GMW3032M-ST-S-420LA-UNCOATED-U 1,20X1100</t>
  </si>
  <si>
    <t>BOF0120HY1300</t>
  </si>
  <si>
    <t>BOB1,2X1300 GMW3032M-ST-S-CR340 LA UNC.</t>
  </si>
  <si>
    <t>SLZ0070QH0800</t>
  </si>
  <si>
    <t>VW 50065 CR4 GI40/40 -U-O  0,70X800MM</t>
  </si>
  <si>
    <t>CHZ0120VS03250315</t>
  </si>
  <si>
    <t>CHQ0300EB11501520</t>
  </si>
  <si>
    <t>CHQ</t>
  </si>
  <si>
    <t>±0,25</t>
  </si>
  <si>
    <t>CHQ NBR6656 LNE280-J1 3,00X1150X1520 D/O</t>
  </si>
  <si>
    <t>BOZ0060HU1100</t>
  </si>
  <si>
    <t>GMW2M-ST-S-CR2-HD60G60G-</t>
  </si>
  <si>
    <t>BOF0100HZ1200</t>
  </si>
  <si>
    <t>GMW2M-ST-S-CR2/UNCOATED #1,00X400</t>
  </si>
  <si>
    <t>CHQ0200AT12501280</t>
  </si>
  <si>
    <t>BOQ NBR6656 LNE50 2,00X1250 D/O</t>
  </si>
  <si>
    <t>ANCHIETA / FAURECIA / VOLVO</t>
  </si>
  <si>
    <t>Diversos</t>
  </si>
  <si>
    <t>SLZ0120ZG0525</t>
  </si>
  <si>
    <t>W50065 CR240LA GI60/60-U 1,20X525MM</t>
  </si>
  <si>
    <t>POLO / VIRTUS PA</t>
  </si>
  <si>
    <t>BOZ0120HU1200</t>
  </si>
  <si>
    <t>GMW2M-ST-S-CR2 HD60G60G-</t>
  </si>
  <si>
    <t>CHZ0250CO01500260</t>
  </si>
  <si>
    <t>BOF0060JG1100</t>
  </si>
  <si>
    <t>BOB GMW3032MSTS CR300LA 0,60X1100 MM</t>
  </si>
  <si>
    <t>LEALFER / DISTRIBUIÇÃO</t>
  </si>
  <si>
    <t>CHE0100VR02500415</t>
  </si>
  <si>
    <t>BEG</t>
  </si>
  <si>
    <t>SLZ0120UL0575</t>
  </si>
  <si>
    <t>VW50065 - CR2 -GI40/40-U  1,20X575MM</t>
  </si>
  <si>
    <t>BOQ0400BF1100</t>
  </si>
  <si>
    <t xml:space="preserve"> EN10149-2 S355MC 4,00x1100 MTL D/O</t>
  </si>
  <si>
    <t>New Mundguard SCANA</t>
  </si>
  <si>
    <t>SLZ0120TD0450</t>
  </si>
  <si>
    <t>VW50065-CR240LA-GI40/40 1,20X1350MM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</si>
  <si>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</si>
  <si>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</si>
  <si>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</si>
  <si>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</si>
  <si>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</si>
  <si>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</si>
  <si>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</si>
  <si>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CHQ0200OP01000190</t>
  </si>
  <si>
    <t xml:space="preserve">DIN EN10111 DD13 </t>
  </si>
  <si>
    <t>saveiro</t>
  </si>
  <si>
    <t>CHQ0265AP12002000</t>
  </si>
  <si>
    <t>CH ACO LNE26 2,65X1200X2000 D/O</t>
  </si>
  <si>
    <t>CHF0150SF02200230</t>
  </si>
  <si>
    <t>DIN EN10130 DC01 1,50X220X230MM</t>
  </si>
  <si>
    <t>BOQ0300JU1220</t>
  </si>
  <si>
    <t>CH S275JR D/O 3,0+0,05/-0,25X1220X1750</t>
  </si>
  <si>
    <t>ANCHIETA /  MAN /MBB / VOLVO</t>
  </si>
  <si>
    <t>BOQ0400EJ1350</t>
  </si>
  <si>
    <t>CH EN10025 S275JR 4,00X1350X1850</t>
  </si>
  <si>
    <t>ANCHIETA/ MBB / VOLVO</t>
  </si>
  <si>
    <t>SLQ0190EA0178</t>
  </si>
  <si>
    <t xml:space="preserve">NBR6656 LNE26 </t>
  </si>
  <si>
    <t>Ralo Fino + parachoque central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</si>
  <si>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</si>
  <si>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</si>
  <si>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</si>
  <si>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</si>
  <si>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</si>
  <si>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</si>
  <si>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SLZ0070QH0191</t>
  </si>
  <si>
    <t>BOB VW 50065 CR4 GI40/40-U-O 0,70X1600MM</t>
  </si>
  <si>
    <t>CHQ0400EJ12001550</t>
  </si>
  <si>
    <t>CH EN10025 S275JR 4,00X1200X1550</t>
  </si>
  <si>
    <t>Suporte Pedaleira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</si>
  <si>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</si>
  <si>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</si>
  <si>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</si>
  <si>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</si>
  <si>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</si>
  <si>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</si>
  <si>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</si>
  <si>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</si>
  <si>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</si>
  <si>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MULTIAÇOS / DISTRIBUIÇÃO</t>
  </si>
  <si>
    <t>(mp transferido de ferraz)</t>
  </si>
  <si>
    <t>SLZ0100CO0721</t>
  </si>
  <si>
    <t>EN10327 DX54D Z100 1X1450(MTL) M10483022</t>
  </si>
  <si>
    <t>VW- VINH</t>
  </si>
  <si>
    <t>Saveiro - sup rad</t>
  </si>
  <si>
    <t>CHZ0100SE02100160</t>
  </si>
  <si>
    <t>BG EN 10327 DX54D Z100MB 1,00X210X160</t>
  </si>
  <si>
    <t>Gol/Voyage/Saveiro</t>
  </si>
  <si>
    <t>CHQ0475AP12002000</t>
  </si>
  <si>
    <t>CHQ NBR6656 LNE26 4,75X1200X2000 D/O</t>
  </si>
  <si>
    <t>SLZ0150CF0256</t>
  </si>
  <si>
    <t xml:space="preserve"> EN10346 HX340LAD Z100</t>
  </si>
  <si>
    <t>Gol/Voyage</t>
  </si>
  <si>
    <t>SLF0150LL0698</t>
  </si>
  <si>
    <t xml:space="preserve">EN10268 HC380LA </t>
  </si>
  <si>
    <t>Estola</t>
  </si>
  <si>
    <t>CHQ0400ED12002220</t>
  </si>
  <si>
    <t>CH NBR6656 LQ LNE38 4,00X1200X2220 MM</t>
  </si>
  <si>
    <t>BOZ0100CO1200</t>
  </si>
  <si>
    <t>EN-10346-15-DX54D+Z</t>
  </si>
  <si>
    <t>PLASCAR</t>
  </si>
  <si>
    <t xml:space="preserve">Projetos Perseu 2V3.831.311/312 </t>
  </si>
  <si>
    <t>CHQ0200ED12001900</t>
  </si>
  <si>
    <t>SLQ0425AS0071</t>
  </si>
  <si>
    <t>SL NBR6656 LNE 380 DO 4,25 X 71 MM D/O</t>
  </si>
  <si>
    <t>BOF0150SF1100</t>
  </si>
  <si>
    <t>BOB DIN EN 10130 DC01 1,50X1100MM</t>
  </si>
  <si>
    <t>Lamina</t>
  </si>
  <si>
    <t>CHQ0400EA12002000</t>
  </si>
  <si>
    <t>NBR6656 LNE26 4,00X1200X2000 D/O</t>
  </si>
  <si>
    <t>JUMELLO</t>
  </si>
  <si>
    <t>BOQ0400ED1150</t>
  </si>
  <si>
    <t>NBR6656 LNE38 4,00X1150 D/O</t>
  </si>
  <si>
    <t xml:space="preserve">Volvo Travessa </t>
  </si>
  <si>
    <t>SLQ0400EE0625</t>
  </si>
  <si>
    <t>BOQ0375PQ1350</t>
  </si>
  <si>
    <t>EN10149-2 S460MC 3,75MTH x 1350</t>
  </si>
  <si>
    <t>CHF0100BC12002000</t>
  </si>
  <si>
    <t>USISTAR470 1,00X1200X2000</t>
  </si>
  <si>
    <t>CHC0200DV12001125</t>
  </si>
  <si>
    <t>CHC</t>
  </si>
  <si>
    <t>SLQ0475AS0178</t>
  </si>
  <si>
    <t>SLQ0250KD0144</t>
  </si>
  <si>
    <t>LQ TL 1111 2,50x144MM D/O</t>
  </si>
  <si>
    <t>SLZ0065ID0430</t>
  </si>
  <si>
    <t>GMW3032M / ST-S-CR210B2 0,65 X 1400</t>
  </si>
  <si>
    <t>BOZ0120SE1250</t>
  </si>
  <si>
    <t>BOB EN 10346 DX54D Z100 MBO 1,20X1350MM</t>
  </si>
  <si>
    <t>SLF0120AH0101</t>
  </si>
  <si>
    <t>SL NBR5915 LF EM 1,20X100 -1,00MM</t>
  </si>
  <si>
    <t>CHF0200DV10001700</t>
  </si>
  <si>
    <t>CHF NBR5915 EM 2,00X1000X1700</t>
  </si>
  <si>
    <t>BOF0125TU1200</t>
  </si>
  <si>
    <t>EN-10346-15-HX420-LAD</t>
  </si>
  <si>
    <t>CHZ0065ID14000900</t>
  </si>
  <si>
    <t>BDZ</t>
  </si>
  <si>
    <t>BOF0150IO1150</t>
  </si>
  <si>
    <t xml:space="preserve">DIN EN10130 DC04 </t>
  </si>
  <si>
    <t>VW -SC -VINH
Boccar</t>
  </si>
  <si>
    <t>Motor 1.6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</si>
  <si>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</si>
  <si>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</si>
  <si>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</si>
  <si>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</si>
  <si>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</si>
  <si>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</si>
  <si>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SLZ0140ID0600</t>
  </si>
  <si>
    <t>GMW3032M / ST-S-CR210B2</t>
  </si>
  <si>
    <t>SLQ0200EJ0050</t>
  </si>
  <si>
    <t>CH NBR5906 EM SC D/O 2,00X1200X1125mm</t>
  </si>
  <si>
    <t>CHQ0475EJ14502140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</si>
  <si>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</si>
  <si>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</si>
  <si>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</si>
  <si>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</si>
  <si>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</si>
  <si>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</si>
  <si>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</si>
  <si>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</si>
  <si>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</si>
  <si>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</si>
  <si>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CHZ0060HU14001000</t>
  </si>
  <si>
    <t>CHQ0200SB12002000</t>
  </si>
  <si>
    <t>SLZ0100HU0112</t>
  </si>
  <si>
    <t>GMW2M-ST-S_CR2 HD60G60G U</t>
  </si>
  <si>
    <t>SLZ0120HV0350</t>
  </si>
  <si>
    <t>GMW2M-ST-S-CR3 HD60G60G</t>
  </si>
  <si>
    <t>SLZ0120CO0600</t>
  </si>
  <si>
    <t>SLZ0100HU0100</t>
  </si>
  <si>
    <t>GMW2M-ST-S-CR2-HD60G60G-U</t>
  </si>
  <si>
    <t>CHF0265AK12002000</t>
  </si>
  <si>
    <t>CH NBR5915 LF EEP 2,65X1200X2000 MM</t>
  </si>
  <si>
    <t>BOF0150AK1100</t>
  </si>
  <si>
    <t xml:space="preserve">NBR5915 LF EEP </t>
  </si>
  <si>
    <t>BOQ0475GB1050</t>
  </si>
  <si>
    <t>CHQ0200EH12002000</t>
  </si>
  <si>
    <t>CHQ NBR6655 LN280 2,00X1200X2000 D/O</t>
  </si>
  <si>
    <t>Volvo - VB323</t>
  </si>
  <si>
    <t>SLZ0100TB0350</t>
  </si>
  <si>
    <t>GMW2M-ST-S-CR4/HD60G60G-U 1,00X350</t>
  </si>
  <si>
    <t>CHF0106AH10001520</t>
  </si>
  <si>
    <t>SLZ0150HX0212</t>
  </si>
  <si>
    <t>BOQ0800IH1200</t>
  </si>
  <si>
    <t>CHQ0475AS12001390</t>
  </si>
  <si>
    <t>BOF0190AM1100</t>
  </si>
  <si>
    <t>BOB NBR5915 LF EEP G3 1,90X1100 MM</t>
  </si>
  <si>
    <t>Parachoque laterl - Ponteiras</t>
  </si>
  <si>
    <t>BOF0190AK1100</t>
  </si>
  <si>
    <t>BOQ0190EA1000</t>
  </si>
  <si>
    <t>CHF0085AH12001760</t>
  </si>
  <si>
    <t>SLF0100IA0470</t>
  </si>
  <si>
    <t>GMW3032M / ST-S-CR180B2</t>
  </si>
  <si>
    <t>CHQ0600KX12201750</t>
  </si>
  <si>
    <t>CHQ NBR6656 LNE38 6,00X1220X1750 MTL D/O</t>
  </si>
  <si>
    <t>BOF0190AK1200</t>
  </si>
  <si>
    <t xml:space="preserve">DISTRIBUIÇÃO </t>
  </si>
  <si>
    <t>SLZ0080TB0506</t>
  </si>
  <si>
    <t>GMW2M-ST-S-CR4 HD60G60G-E 0,80X1050</t>
  </si>
  <si>
    <t>JOY</t>
  </si>
  <si>
    <t>CHF0080HY12000490</t>
  </si>
  <si>
    <t>BOB0,80X1200 GMW3032M-ST-S-CR340LA-UNCOA</t>
  </si>
  <si>
    <t>BOF0100GI0920</t>
  </si>
  <si>
    <t>EN10268 HC300LA 1</t>
  </si>
  <si>
    <t>FOX</t>
  </si>
  <si>
    <t>SLF0150IB0050</t>
  </si>
  <si>
    <t>GMW3032M-STS-270LA-UNCOAT-U#1,5MMx1200MM</t>
  </si>
  <si>
    <t>BOF0090HW1500</t>
  </si>
  <si>
    <t xml:space="preserve">JOY 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</si>
  <si>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</si>
  <si>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</si>
  <si>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</si>
  <si>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</si>
  <si>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</si>
  <si>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</si>
  <si>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</si>
  <si>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</si>
  <si>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</si>
  <si>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</si>
  <si>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</si>
  <si>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</si>
  <si>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</si>
  <si>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</si>
  <si>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</si>
  <si>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</si>
  <si>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</si>
  <si>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</si>
  <si>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</si>
  <si>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</si>
  <si>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</si>
  <si>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</si>
  <si>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</si>
  <si>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</si>
  <si>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</si>
  <si>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</si>
  <si>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</si>
  <si>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</si>
  <si>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</si>
  <si>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</si>
  <si>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</si>
  <si>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</si>
  <si>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</si>
  <si>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</si>
  <si>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</si>
  <si>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</si>
  <si>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</si>
  <si>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</si>
  <si>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</si>
  <si>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</si>
  <si>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</si>
  <si>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</si>
  <si>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</si>
  <si>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</si>
  <si>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</si>
  <si>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</si>
  <si>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</si>
  <si>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</si>
  <si>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</si>
  <si>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</si>
  <si>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</si>
  <si>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</si>
  <si>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</si>
  <si>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</si>
  <si>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</si>
  <si>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</si>
  <si>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</si>
  <si>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</si>
  <si>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</si>
  <si>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</si>
  <si>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</si>
  <si>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</si>
  <si>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</si>
  <si>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</si>
  <si>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</si>
  <si>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BOQ0575PQ1150</t>
  </si>
  <si>
    <t>EN10149-2 S460MC 5,75MTH x 1150</t>
  </si>
  <si>
    <t>FERRAZ / ANCHIETA / SCANIA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</si>
  <si>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</si>
  <si>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</si>
  <si>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</si>
  <si>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</si>
  <si>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</si>
  <si>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</si>
  <si>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</si>
  <si>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</si>
  <si>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</si>
  <si>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</si>
  <si>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</si>
  <si>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</si>
  <si>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</si>
  <si>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</si>
  <si>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</si>
  <si>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</si>
  <si>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</si>
  <si>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</si>
  <si>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</si>
  <si>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</si>
  <si>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</si>
  <si>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</si>
  <si>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</si>
  <si>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</si>
  <si>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</si>
  <si>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</si>
  <si>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</si>
  <si>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</si>
  <si>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</si>
  <si>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</si>
  <si>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</si>
  <si>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</si>
  <si>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</si>
  <si>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</si>
  <si>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</si>
  <si>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</si>
  <si>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</si>
  <si>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</si>
  <si>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</si>
  <si>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</si>
  <si>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</si>
  <si>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</si>
  <si>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</si>
  <si>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</si>
  <si>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</si>
  <si>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</si>
  <si>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</si>
  <si>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</si>
  <si>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</si>
  <si>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</si>
  <si>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</si>
  <si>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</si>
  <si>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</si>
  <si>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</si>
  <si>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</si>
  <si>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</si>
  <si>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</si>
  <si>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</si>
  <si>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</si>
  <si>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</si>
  <si>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</si>
  <si>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</si>
  <si>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</si>
  <si>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</si>
  <si>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</si>
  <si>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</si>
  <si>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</si>
  <si>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</si>
  <si>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</si>
  <si>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</si>
  <si>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</si>
  <si>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</si>
  <si>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</si>
  <si>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</si>
  <si>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</si>
  <si>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</si>
  <si>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</si>
  <si>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</si>
  <si>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</si>
  <si>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</si>
  <si>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</si>
  <si>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</si>
  <si>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</si>
  <si>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</si>
  <si>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</si>
  <si>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</si>
  <si>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</si>
  <si>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</si>
  <si>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</si>
  <si>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</si>
  <si>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</si>
  <si>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</si>
  <si>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</si>
  <si>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</si>
  <si>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</si>
  <si>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</si>
  <si>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</si>
  <si>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</si>
  <si>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</si>
  <si>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</si>
  <si>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</si>
  <si>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</si>
  <si>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</si>
  <si>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</si>
  <si>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</si>
  <si>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</si>
  <si>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</si>
  <si>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</si>
  <si>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</si>
  <si>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</si>
  <si>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</si>
  <si>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</si>
  <si>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</si>
  <si>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</si>
  <si>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</si>
  <si>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</si>
  <si>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</si>
  <si>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</si>
  <si>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</si>
  <si>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</si>
  <si>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</si>
  <si>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</si>
  <si>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</si>
  <si>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</si>
  <si>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</si>
  <si>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</si>
  <si>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</si>
  <si>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</si>
  <si>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</si>
  <si>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</si>
  <si>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</si>
  <si>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</si>
  <si>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</si>
  <si>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</si>
  <si>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</si>
  <si>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</si>
  <si>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</si>
  <si>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</si>
  <si>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</si>
  <si>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</si>
  <si>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</si>
  <si>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</si>
  <si>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</si>
  <si>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</si>
  <si>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</si>
  <si>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</si>
  <si>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</si>
  <si>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</si>
  <si>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</si>
  <si>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</si>
  <si>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</si>
  <si>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</si>
  <si>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</si>
  <si>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</si>
  <si>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</si>
  <si>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</si>
  <si>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</si>
  <si>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</si>
  <si>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</si>
  <si>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</si>
  <si>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</si>
  <si>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</si>
  <si>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</si>
  <si>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</si>
  <si>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</si>
  <si>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</si>
  <si>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</si>
  <si>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</si>
  <si>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</si>
  <si>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</si>
  <si>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</si>
  <si>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</si>
  <si>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</si>
  <si>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</si>
  <si>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</si>
  <si>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</si>
  <si>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</si>
  <si>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</si>
  <si>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</si>
  <si>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</si>
  <si>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</si>
  <si>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</si>
  <si>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</si>
  <si>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</si>
  <si>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</si>
  <si>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</si>
  <si>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</si>
  <si>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</si>
  <si>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</si>
  <si>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</si>
  <si>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</si>
  <si>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</si>
  <si>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</si>
  <si>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A</t>
  </si>
  <si>
    <t>Ferraz</t>
  </si>
  <si>
    <t>X</t>
  </si>
  <si>
    <t>AM000062PA
AM000063PA</t>
  </si>
  <si>
    <t>Adequação de tolerância de largura e espessura</t>
  </si>
  <si>
    <t>BOQ1575BA1250</t>
  </si>
  <si>
    <t>AM000075PA
AM000064PA</t>
  </si>
  <si>
    <t>Adequação de tolerância de largura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</si>
  <si>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</si>
  <si>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</si>
  <si>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</si>
  <si>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</si>
  <si>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</si>
  <si>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</si>
  <si>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</si>
  <si>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</si>
  <si>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</si>
  <si>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</si>
  <si>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</si>
  <si>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</si>
  <si>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</si>
  <si>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</si>
  <si>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</si>
  <si>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</si>
  <si>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</si>
  <si>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</si>
  <si>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</si>
  <si>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</si>
  <si>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BOQ1275BA1250</t>
  </si>
  <si>
    <t>AM000101PA
AM000106PA</t>
  </si>
  <si>
    <t>CHQ1275AZ24406900</t>
  </si>
  <si>
    <t>USISAR60A</t>
  </si>
  <si>
    <t>DANA</t>
  </si>
  <si>
    <t>Carcaça 174</t>
  </si>
  <si>
    <t>DN000174PA</t>
  </si>
  <si>
    <t>Material em processo de migração para bobina</t>
  </si>
  <si>
    <t>CHQ1250AZ23306970</t>
  </si>
  <si>
    <t>Carcaça 179/183</t>
  </si>
  <si>
    <t>DN000179PA</t>
  </si>
  <si>
    <t>CHQ0975AZ23006550</t>
  </si>
  <si>
    <t>Carcaça 166</t>
  </si>
  <si>
    <t>DN000166PA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</si>
  <si>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</si>
  <si>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</si>
  <si>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</si>
  <si>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Em estudo</t>
  </si>
  <si>
    <t>BOQ0580TV1500</t>
  </si>
  <si>
    <t>S700MC</t>
  </si>
  <si>
    <t>Bim</t>
  </si>
  <si>
    <t>SV000122PL
SV000122LE
SV000122LF</t>
  </si>
  <si>
    <t>Desenvolvimento de nova chapa</t>
  </si>
  <si>
    <t>BOQ0680TV1500</t>
  </si>
  <si>
    <t>-0,10 / +0,40</t>
  </si>
  <si>
    <t>Plate</t>
  </si>
  <si>
    <t>BOQ1075AZ1155</t>
  </si>
  <si>
    <t>Carcaça TGX</t>
  </si>
  <si>
    <t>MBB / VOLVO / MAXION</t>
  </si>
  <si>
    <t>NBRLNE380</t>
  </si>
  <si>
    <t>BOQ1100AY1050</t>
  </si>
  <si>
    <t>Carcaça 170</t>
  </si>
  <si>
    <t>BOQ0975AZ1300</t>
  </si>
  <si>
    <t>carcaça 170</t>
  </si>
  <si>
    <t>BOQ0975AB1250</t>
  </si>
  <si>
    <t>-0,00 / +0,56</t>
  </si>
  <si>
    <t>SAE1008</t>
  </si>
  <si>
    <t>B</t>
  </si>
  <si>
    <t>AM000093AP</t>
  </si>
  <si>
    <t>Desenvolvimento de nova bobina</t>
  </si>
  <si>
    <t>BOQ0600AO1200</t>
  </si>
  <si>
    <t>LNE23</t>
  </si>
  <si>
    <t xml:space="preserve">MAN 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</si>
  <si>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</si>
  <si>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</si>
  <si>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</si>
  <si>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</si>
  <si>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</si>
  <si>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</si>
  <si>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</si>
  <si>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METALSA / MBB / SCANIA / MAN</t>
  </si>
  <si>
    <t>LF</t>
  </si>
  <si>
    <t>NBR5915EM</t>
  </si>
  <si>
    <t>BOQ0600KX1450</t>
  </si>
  <si>
    <t>MAN / MBB</t>
  </si>
  <si>
    <t>LNE-380</t>
  </si>
  <si>
    <t>MBB / MAN</t>
  </si>
  <si>
    <t>/unificar larg - 1150</t>
  </si>
  <si>
    <t>CHQ0700LN12001900</t>
  </si>
  <si>
    <t xml:space="preserve">S420MC </t>
  </si>
  <si>
    <t>MAXION/MERCEDES</t>
  </si>
  <si>
    <t>S275-JR</t>
  </si>
  <si>
    <t>Reservatorio</t>
  </si>
  <si>
    <t>BOQ0600AO1110</t>
  </si>
  <si>
    <t>BOQ0725BF1100</t>
  </si>
  <si>
    <t>S355MC</t>
  </si>
  <si>
    <t>CSN</t>
  </si>
  <si>
    <t>EN_S275JR/04</t>
  </si>
  <si>
    <t>CUMMINS</t>
  </si>
  <si>
    <t>S500MC</t>
  </si>
  <si>
    <t>CHQ0775LN11002130</t>
  </si>
  <si>
    <t>S420MC</t>
  </si>
  <si>
    <t>Mercado</t>
  </si>
  <si>
    <t>BOQ1075BA1250</t>
  </si>
  <si>
    <t>C</t>
  </si>
  <si>
    <t>CHG1800BJ26008505</t>
  </si>
  <si>
    <t xml:space="preserve"> ASTM A36</t>
  </si>
  <si>
    <t>anel</t>
  </si>
  <si>
    <t>BOQ0775AB1100</t>
  </si>
  <si>
    <t>tampa</t>
  </si>
  <si>
    <t>BOQ0775BF1100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</si>
  <si>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</si>
  <si>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</si>
  <si>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</si>
  <si>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</si>
  <si>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</si>
  <si>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</si>
  <si>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</si>
  <si>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</si>
  <si>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CHQ1600EB12002000</t>
  </si>
  <si>
    <t>c</t>
  </si>
  <si>
    <t>EN100252S275JR</t>
  </si>
  <si>
    <t>BOQ0400ED1200</t>
  </si>
  <si>
    <t>CHQ0350EA12002000</t>
  </si>
  <si>
    <t>CHQ0300BF12002900</t>
  </si>
  <si>
    <t>EN_S355MC/13</t>
  </si>
  <si>
    <t>Setefer</t>
  </si>
  <si>
    <t>CHQ0400EJ13501850</t>
  </si>
  <si>
    <t>MBB / SCANIA / VOLVO / MAN</t>
  </si>
  <si>
    <t>CHQ0800IH12002590</t>
  </si>
  <si>
    <t>CHQ0800IH12002000</t>
  </si>
  <si>
    <t>CHQ0300DX12002100</t>
  </si>
  <si>
    <t>NBR-5906-08-EPA</t>
  </si>
  <si>
    <t>cnh</t>
  </si>
  <si>
    <t>CHQ0950AT12003000</t>
  </si>
  <si>
    <t>Multiaços</t>
  </si>
  <si>
    <t>SLQ0600DW0250</t>
  </si>
  <si>
    <t>LNE28</t>
  </si>
  <si>
    <t>FORD</t>
  </si>
  <si>
    <t>CHQ0800IH12001570</t>
  </si>
  <si>
    <t>1200</t>
  </si>
  <si>
    <t xml:space="preserve">LNE50 </t>
  </si>
  <si>
    <t>CHF0150AK12001030</t>
  </si>
  <si>
    <t>NBR5915EEPG1</t>
  </si>
  <si>
    <t>Carter</t>
  </si>
  <si>
    <t>CHF0150AK10301845</t>
  </si>
  <si>
    <t>CHQ0300LN12002000</t>
  </si>
  <si>
    <t>s420</t>
  </si>
  <si>
    <t>CHQ0800JW12001735</t>
  </si>
  <si>
    <t xml:space="preserve"> LN28 </t>
  </si>
  <si>
    <t>CHQ0600AV12002000</t>
  </si>
  <si>
    <t>CH NBR6655 LN24 6,00X1100X2000 D/O</t>
  </si>
  <si>
    <t>CHQ0950AS12002160</t>
  </si>
  <si>
    <t>SCANIA / MAN / MBB</t>
  </si>
  <si>
    <t>CHQ1250AS12002900</t>
  </si>
  <si>
    <t xml:space="preserve">LNE38 </t>
  </si>
  <si>
    <t>CHQ0300AO12003000</t>
  </si>
  <si>
    <t>lne23</t>
  </si>
  <si>
    <t>CHQ0400EJ13502850</t>
  </si>
  <si>
    <t>CHQ0300EA11502550</t>
  </si>
  <si>
    <t>lne26</t>
  </si>
  <si>
    <t>CHQ0800IH12001900</t>
  </si>
  <si>
    <t xml:space="preserve">CHQ0300EG12002000     </t>
  </si>
  <si>
    <t>LNE24</t>
  </si>
  <si>
    <t>CHQ0600AP12002000</t>
  </si>
  <si>
    <t>LNE26</t>
  </si>
  <si>
    <t>CHF0150AK10301230</t>
  </si>
  <si>
    <t>CHQ0300ed12002870</t>
  </si>
  <si>
    <t>CHQ0400EG12002000</t>
  </si>
  <si>
    <t>CHQ0300EE10001600</t>
  </si>
  <si>
    <t>1000</t>
  </si>
  <si>
    <t>LNE50</t>
  </si>
  <si>
    <t>CHF0150AK12002250</t>
  </si>
  <si>
    <t>BLD0150DP04901130</t>
  </si>
  <si>
    <t>chapa dupla</t>
  </si>
  <si>
    <t xml:space="preserve">WOLVERINE TEKNO </t>
  </si>
  <si>
    <t>MWM</t>
  </si>
  <si>
    <t>CHQ0800IH12002680</t>
  </si>
  <si>
    <t>CHQ0600LN14002000</t>
  </si>
  <si>
    <t>1400</t>
  </si>
  <si>
    <t>DELGA ANCHIETA</t>
  </si>
  <si>
    <t>CHQ0200AO11502840</t>
  </si>
  <si>
    <t>BLF0150AK10301240</t>
  </si>
  <si>
    <t>BLD0150DP07552060</t>
  </si>
  <si>
    <t>CHF0106AH08001520</t>
  </si>
  <si>
    <t>0800</t>
  </si>
  <si>
    <t>CH NBR5915 EM 1,06x800X1520</t>
  </si>
  <si>
    <t>CHQ0300EA11502450</t>
  </si>
  <si>
    <t>BLD0150DP04901150</t>
  </si>
  <si>
    <t>1150</t>
  </si>
  <si>
    <t>EP</t>
  </si>
  <si>
    <t>CHQ0475AV12002000</t>
  </si>
  <si>
    <t>LN24</t>
  </si>
  <si>
    <t>CHQ0475DZ12502880</t>
  </si>
  <si>
    <t>LN23</t>
  </si>
  <si>
    <t>CHF0190AL12001030</t>
  </si>
  <si>
    <t xml:space="preserve">EEP PC GR2 </t>
  </si>
  <si>
    <t>CHQ0700AS10002000</t>
  </si>
  <si>
    <t>BLD0150DP04901230</t>
  </si>
  <si>
    <t>CHQ0200LN12002000</t>
  </si>
  <si>
    <t xml:space="preserve"> S420MC </t>
  </si>
  <si>
    <t>CHQ0700AO12002360</t>
  </si>
  <si>
    <t>lealfer</t>
  </si>
  <si>
    <t>CHQ0200EG10501600</t>
  </si>
  <si>
    <t>1050</t>
  </si>
  <si>
    <t xml:space="preserve"> LN240</t>
  </si>
  <si>
    <t>CHF0150CV12002000</t>
  </si>
  <si>
    <t>CH EN10346 DX51D+Z275 1,50x1200x2000</t>
  </si>
  <si>
    <t>CHQ0950AO12502890</t>
  </si>
  <si>
    <t>CHQ2000BF12506000</t>
  </si>
  <si>
    <t xml:space="preserve">S355MC </t>
  </si>
  <si>
    <t>CHQ0200ED12002430</t>
  </si>
  <si>
    <t>EPA</t>
  </si>
  <si>
    <t>DELGA DIADEMA</t>
  </si>
  <si>
    <t>CHQ0300ED12003000</t>
  </si>
  <si>
    <t xml:space="preserve"> LN280 </t>
  </si>
  <si>
    <t xml:space="preserve">CHF0150BC11002000  </t>
  </si>
  <si>
    <t>1100</t>
  </si>
  <si>
    <t>USI STAR470</t>
  </si>
  <si>
    <t>VOLVO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</si>
  <si>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</si>
  <si>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</si>
  <si>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</si>
  <si>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</si>
  <si>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</si>
  <si>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</si>
  <si>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HC420LA</t>
  </si>
  <si>
    <t xml:space="preserve"> EM</t>
  </si>
  <si>
    <t>CHF0150AK12001536</t>
  </si>
  <si>
    <t>BLD0150DP04902000</t>
  </si>
  <si>
    <t>CHF0120HJ11502000</t>
  </si>
  <si>
    <t xml:space="preserve"> EEP</t>
  </si>
  <si>
    <t>CHF0150AK12001340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</si>
  <si>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</si>
  <si>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</si>
  <si>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</si>
  <si>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</si>
  <si>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</si>
  <si>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</si>
  <si>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</si>
  <si>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</si>
  <si>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</si>
  <si>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</si>
  <si>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</si>
  <si>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</si>
  <si>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</si>
  <si>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</si>
  <si>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</si>
  <si>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</si>
  <si>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</si>
  <si>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</si>
  <si>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</si>
  <si>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</si>
  <si>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</si>
  <si>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</si>
  <si>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</si>
  <si>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</si>
  <si>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</si>
  <si>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</si>
  <si>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</si>
  <si>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</si>
  <si>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</si>
  <si>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</si>
  <si>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</si>
  <si>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</si>
  <si>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</si>
  <si>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</si>
  <si>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</si>
  <si>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</si>
  <si>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</si>
  <si>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</si>
  <si>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</si>
  <si>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</si>
  <si>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</si>
  <si>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</si>
  <si>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</si>
  <si>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</si>
  <si>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</si>
  <si>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</si>
  <si>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</si>
  <si>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</si>
  <si>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</si>
  <si>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</si>
  <si>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</si>
  <si>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</si>
  <si>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</si>
  <si>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</si>
  <si>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</si>
  <si>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</si>
  <si>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</si>
  <si>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</si>
  <si>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</si>
  <si>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</si>
  <si>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</si>
  <si>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</si>
  <si>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</si>
  <si>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</si>
  <si>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</si>
  <si>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</si>
  <si>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</si>
  <si>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</si>
  <si>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</si>
  <si>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</si>
  <si>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</si>
  <si>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</si>
  <si>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</si>
  <si>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</si>
  <si>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</si>
  <si>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</si>
  <si>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</si>
  <si>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</si>
  <si>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mbb</t>
  </si>
  <si>
    <t>CHQ0375DW12002000</t>
  </si>
  <si>
    <t>CHQ0400AT12002000</t>
  </si>
  <si>
    <t>lne500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</si>
  <si>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</si>
  <si>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</si>
  <si>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</si>
  <si>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</si>
  <si>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</si>
  <si>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</si>
  <si>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</si>
  <si>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</si>
  <si>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</si>
  <si>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</si>
  <si>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</si>
  <si>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</si>
  <si>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</si>
  <si>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</si>
  <si>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</si>
  <si>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</si>
  <si>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</si>
  <si>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</si>
  <si>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</si>
  <si>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</si>
  <si>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</si>
  <si>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</si>
  <si>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</si>
  <si>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</si>
  <si>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</si>
  <si>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</si>
  <si>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</si>
  <si>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</si>
  <si>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</si>
  <si>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</si>
  <si>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</si>
  <si>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</si>
  <si>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</si>
  <si>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</si>
  <si>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</si>
  <si>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</si>
  <si>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</si>
  <si>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</si>
  <si>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</si>
  <si>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</si>
  <si>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</si>
  <si>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</si>
  <si>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</si>
  <si>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</si>
  <si>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</si>
  <si>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</si>
  <si>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</si>
  <si>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</si>
  <si>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</si>
  <si>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</si>
  <si>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</si>
  <si>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</si>
  <si>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</si>
  <si>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Grelha</t>
  </si>
  <si>
    <t>BOQ0630LA1220</t>
  </si>
  <si>
    <t>CHQ1200AT11002150</t>
  </si>
  <si>
    <t>CHF0200AH12002000</t>
  </si>
  <si>
    <t>dc01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</si>
  <si>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</si>
  <si>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</si>
  <si>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</si>
  <si>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</si>
  <si>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</si>
  <si>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</si>
  <si>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</si>
  <si>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</si>
  <si>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</si>
  <si>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</si>
  <si>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</si>
  <si>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</si>
  <si>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</si>
  <si>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</si>
  <si>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</si>
  <si>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</si>
  <si>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</si>
  <si>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SLZ0180SI0325</t>
  </si>
  <si>
    <t>+/-0,08</t>
  </si>
  <si>
    <t>BDZ0070TD16000675</t>
  </si>
  <si>
    <t>+/-0,055</t>
  </si>
  <si>
    <t>VW50065 CR240LA-GI40/40-U</t>
  </si>
  <si>
    <t>GRUPO 02</t>
  </si>
  <si>
    <t>AMG Araucaria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</si>
  <si>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</si>
  <si>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</si>
  <si>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</si>
  <si>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</si>
  <si>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</si>
  <si>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</si>
  <si>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</si>
  <si>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</si>
  <si>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</si>
  <si>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</si>
  <si>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</si>
  <si>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</si>
  <si>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</si>
  <si>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BOZ0070TD1500</t>
  </si>
  <si>
    <t>VW50065-CR240LA-GI40/40</t>
  </si>
  <si>
    <t>SLZ0120UI1250</t>
  </si>
  <si>
    <t>VW50065 CR3-GI40/40-U-O</t>
  </si>
  <si>
    <t>BDZ0140SI03120950</t>
  </si>
  <si>
    <t>+/-0,075</t>
  </si>
  <si>
    <t>SLZ0180SI0466</t>
  </si>
  <si>
    <t>VW50065CR300LA-GI40/40U</t>
  </si>
  <si>
    <t>SLZ0070SH0275</t>
  </si>
  <si>
    <t>+/-0,04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</si>
  <si>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</si>
  <si>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</si>
  <si>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</si>
  <si>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</si>
  <si>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</si>
  <si>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</si>
  <si>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</si>
  <si>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</si>
  <si>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</si>
  <si>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</si>
  <si>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</si>
  <si>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</si>
  <si>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</si>
  <si>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</si>
  <si>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</si>
  <si>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</si>
  <si>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</si>
  <si>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BOZ0150HV1150</t>
  </si>
  <si>
    <t>GMW2M-ST-S-CR3-HD60G60G-U</t>
  </si>
  <si>
    <t>GM Gravataí</t>
  </si>
  <si>
    <t>Tracker</t>
  </si>
  <si>
    <t>SLZ0070QH0550</t>
  </si>
  <si>
    <t>VW50065CR4GI40/40-U-O</t>
  </si>
  <si>
    <t>BOZ0070UI0800</t>
  </si>
  <si>
    <t>VW50065-CR3GI40/40U-O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</si>
  <si>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</si>
  <si>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</si>
  <si>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</si>
  <si>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</si>
  <si>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</si>
  <si>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</si>
  <si>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</si>
  <si>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</si>
  <si>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</si>
  <si>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</si>
  <si>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</si>
  <si>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BOZ0150HV1100</t>
  </si>
  <si>
    <t xml:space="preserve">VW50065 CR2 GI40/40-U </t>
  </si>
  <si>
    <t>SLZ0120SK0600</t>
  </si>
  <si>
    <t>VW 50065 - CR2-GI40/40-U</t>
  </si>
  <si>
    <t>BOZ0120HU1150</t>
  </si>
  <si>
    <t>Onix Joy</t>
  </si>
  <si>
    <t>BOQ0300HL1050</t>
  </si>
  <si>
    <t>GMW3032M-ST-S-340LA-UNCOATED-U</t>
  </si>
  <si>
    <t>SLZ0120SK0375</t>
  </si>
  <si>
    <t>VW50065-CR2-GI40/40-U-O</t>
  </si>
  <si>
    <t>SLF0250TK0525</t>
  </si>
  <si>
    <t>±0,135</t>
  </si>
  <si>
    <t>VW50065-CR240LA-U</t>
  </si>
  <si>
    <t>BOZ0120HU1300</t>
  </si>
  <si>
    <t xml:space="preserve">GMW2MSTS-CR2 HD60G60G-U TO GMW8 </t>
  </si>
  <si>
    <t>Onix/Prisma</t>
  </si>
  <si>
    <t>SLF0250TF0500</t>
  </si>
  <si>
    <t>VW50065-CR240LA-UC-U-O</t>
  </si>
  <si>
    <t>SLZ0120UL0467</t>
  </si>
  <si>
    <t>VW50065CR2GI40/40-U-O</t>
  </si>
  <si>
    <t>VW50065-CR4-UC-U-O</t>
  </si>
  <si>
    <t>SLZ0080SL0350</t>
  </si>
  <si>
    <t>VW50065CR180IF-GI40/40</t>
  </si>
  <si>
    <t>SLZ0070QH0750</t>
  </si>
  <si>
    <t>BOZ0070HU1350</t>
  </si>
  <si>
    <t>GMW2M-ST-S-CR2+HD60G60G-U</t>
  </si>
  <si>
    <t>SLF0150TN0350</t>
  </si>
  <si>
    <t>INAVW50065CR270LA</t>
  </si>
  <si>
    <t>SLF0250TF0175</t>
  </si>
  <si>
    <t>BOZ0150HV1050</t>
  </si>
  <si>
    <t>BOF0140HY1050</t>
  </si>
  <si>
    <t>BOZ0120HU1000</t>
  </si>
  <si>
    <t>BOF0100HY1050</t>
  </si>
  <si>
    <t>GMW3032M-ST-S-CR340LA-U</t>
  </si>
  <si>
    <t>SLF0150TN0367</t>
  </si>
  <si>
    <t>SLF0160TF0417</t>
  </si>
  <si>
    <t>VW50065CR240LA-UC-U-O</t>
  </si>
  <si>
    <t>SLZ0080SK0350</t>
  </si>
  <si>
    <t>SLF0180SO0190</t>
  </si>
  <si>
    <t>±0,065</t>
  </si>
  <si>
    <t>VW50065CR210LA-UC-U</t>
  </si>
  <si>
    <t>BOZ0100HV1200</t>
  </si>
  <si>
    <t>SLF0150TF0417</t>
  </si>
  <si>
    <t>BOF0100HY1400</t>
  </si>
  <si>
    <t>SLZ0060TJ0312</t>
  </si>
  <si>
    <t>VW50065CR210LAGI4040UO</t>
  </si>
  <si>
    <t>SLZ0200SM0190</t>
  </si>
  <si>
    <t>VW50065CR240LA-GI40/40</t>
  </si>
  <si>
    <t>SLF0120HA0280</t>
  </si>
  <si>
    <t>VW50060-1HC260LA</t>
  </si>
  <si>
    <t>SLZ0150TG0350</t>
  </si>
  <si>
    <t>VW50065CR270LAGI4040-U-O</t>
  </si>
  <si>
    <t>SLZ0120SK0350</t>
  </si>
  <si>
    <t>SL VW50065 - CR2 -GI40/40-U  1,20X350MM</t>
  </si>
  <si>
    <t>Virtus PA</t>
  </si>
  <si>
    <t>SLZ0120UL0238</t>
  </si>
  <si>
    <t>SLZ0070TJ0270</t>
  </si>
  <si>
    <t>VW50065 CR210LAGI4040-U-O</t>
  </si>
  <si>
    <t>BOZ0100RJ1150</t>
  </si>
  <si>
    <t>GMW3032M-STS-CR240LAHD60G60G-U</t>
  </si>
  <si>
    <t>SLZ0080TD0337</t>
  </si>
  <si>
    <t>VW50065 CR240LAGI40/40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</si>
  <si>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</si>
  <si>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</si>
  <si>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</si>
  <si>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</si>
  <si>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</si>
  <si>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</si>
  <si>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SLZ0065TD0172</t>
  </si>
  <si>
    <t>SLZ0150SM0157</t>
  </si>
  <si>
    <t>VW50065 CR240LA GI40/40</t>
  </si>
  <si>
    <t>SLF0120TF0325</t>
  </si>
  <si>
    <t>VW50065CR240LA-UC-U</t>
  </si>
  <si>
    <t>BOZ0120HU1400</t>
  </si>
  <si>
    <t>GMW2M-ST-S-CR2 HD60G60G-U 1,2x1100</t>
  </si>
  <si>
    <t>Prisma</t>
  </si>
  <si>
    <t>BOZ0060HV1000</t>
  </si>
  <si>
    <t>GMW2M-ST-S-CR3-HD60G60G-U 0,60X1000</t>
  </si>
  <si>
    <t>SLZ0200TP0165</t>
  </si>
  <si>
    <t>CR300LAGI40/40-U</t>
  </si>
  <si>
    <t>SLZ0100UA0120</t>
  </si>
  <si>
    <t>VW50065-CR1GI40/40-U</t>
  </si>
  <si>
    <t>SLZ0070TD0300</t>
  </si>
  <si>
    <t>SL VW50065-CR240LA-GI40/40-U  0,70X300MM</t>
  </si>
  <si>
    <t>SLZ0070UI0101</t>
  </si>
  <si>
    <t>SLZ0070QH0060</t>
  </si>
  <si>
    <t>SLZ0160CM0105</t>
  </si>
  <si>
    <t>EN10346DX52DZ100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</si>
  <si>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</si>
  <si>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</si>
  <si>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</si>
  <si>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</si>
  <si>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</si>
  <si>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</si>
  <si>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</si>
  <si>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</si>
  <si>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</si>
  <si>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</si>
  <si>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</si>
  <si>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</si>
  <si>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</si>
  <si>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</si>
  <si>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</si>
  <si>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</si>
  <si>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</si>
  <si>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</si>
  <si>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</si>
  <si>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</si>
  <si>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</si>
  <si>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</si>
  <si>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</si>
  <si>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</si>
  <si>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</si>
  <si>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</si>
  <si>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</si>
  <si>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</si>
  <si>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</si>
  <si>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</si>
  <si>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</si>
  <si>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</si>
  <si>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</si>
  <si>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</si>
  <si>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CHQ0300DS15003000</t>
  </si>
  <si>
    <t>CHQ0600KX14503800</t>
  </si>
  <si>
    <t>CHF0200DV10000774</t>
  </si>
  <si>
    <t>NBR5915 EM</t>
  </si>
  <si>
    <t>NBR6656 LNE26</t>
  </si>
  <si>
    <t>CHQ0600KX14502900</t>
  </si>
  <si>
    <t>NBR6656 LNE280-J1</t>
  </si>
  <si>
    <t>CHG2500RA20006000</t>
  </si>
  <si>
    <t>CHQ0630IH13001380</t>
  </si>
  <si>
    <t>CHQ0800ED12003000</t>
  </si>
  <si>
    <t>CHQ0600ED12003000</t>
  </si>
  <si>
    <t>CHQ0950ED15003000</t>
  </si>
  <si>
    <t>CHQ0475EE12303625</t>
  </si>
  <si>
    <t>NBR6656 LNE50</t>
  </si>
  <si>
    <t>SLZ0150HU0525</t>
  </si>
  <si>
    <t>JARINU (GM)</t>
  </si>
  <si>
    <t>CHQ1575BA12501830</t>
  </si>
  <si>
    <t>B105-13</t>
  </si>
  <si>
    <t>CHQ0375LN14002900</t>
  </si>
  <si>
    <t>10149-2 S420MC</t>
  </si>
  <si>
    <t>NBR5906 EPA</t>
  </si>
  <si>
    <t>CHQ0475ED12501970</t>
  </si>
  <si>
    <t>CHF0200DV10001850</t>
  </si>
  <si>
    <t>CHG30000RA24406000</t>
  </si>
  <si>
    <t>CHQ0375PQ15501800</t>
  </si>
  <si>
    <t>EN10149-2 S460MC</t>
  </si>
  <si>
    <t>Delga Jarinu</t>
  </si>
  <si>
    <t>BDZ0065ID14000900</t>
  </si>
  <si>
    <t>NBR6655 LN24</t>
  </si>
  <si>
    <t>NBR5915 EEP</t>
  </si>
  <si>
    <t>CHG4500RA20006000</t>
  </si>
  <si>
    <t>CHQ0200ED10002550</t>
  </si>
  <si>
    <t>CHQ0400BF12002000</t>
  </si>
  <si>
    <t>EN10149-2 S355MC</t>
  </si>
  <si>
    <t>CHQ0950ED12003000</t>
  </si>
  <si>
    <t>CHQ0475ED12502650</t>
  </si>
  <si>
    <t>CHQ0300JU12201960</t>
  </si>
  <si>
    <t>CHQ0975AZ13001450</t>
  </si>
  <si>
    <t>USI SAR60</t>
  </si>
  <si>
    <t>CHQ0200ED10001835</t>
  </si>
  <si>
    <t>CHQ1225BA12501900</t>
  </si>
  <si>
    <t>CHF0190AH12002000</t>
  </si>
  <si>
    <t>CH0500INOX15003000</t>
  </si>
  <si>
    <t>INOX AISI 304</t>
  </si>
  <si>
    <t>CHQ1250ED12003000</t>
  </si>
  <si>
    <t>CHQ0400ED12001800</t>
  </si>
  <si>
    <t>CH0200INOX12003000</t>
  </si>
  <si>
    <t>CHQ0300BF11002400</t>
  </si>
  <si>
    <t>Delga Diadema</t>
  </si>
  <si>
    <t>GMW-3399M CR980T/700Y-UNC</t>
  </si>
  <si>
    <t>CHQ0400EJ13501002</t>
  </si>
  <si>
    <t>CHQ0400ED11502170</t>
  </si>
  <si>
    <t>CHQ0600LA10501700</t>
  </si>
  <si>
    <t>CHF0120AI11003000</t>
  </si>
  <si>
    <t>NBR5915 EP</t>
  </si>
  <si>
    <t>CHQ0375EH15002430</t>
  </si>
  <si>
    <t>NBR6655 LN28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</si>
  <si>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</si>
  <si>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</si>
  <si>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</si>
  <si>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</si>
  <si>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</si>
  <si>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</si>
  <si>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</si>
  <si>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</si>
  <si>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</si>
  <si>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</si>
  <si>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</si>
  <si>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</si>
  <si>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</si>
  <si>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</si>
  <si>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</si>
  <si>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</si>
  <si>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</si>
  <si>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</si>
  <si>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</si>
  <si>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</si>
  <si>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</si>
  <si>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</si>
  <si>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</si>
  <si>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</si>
  <si>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</si>
  <si>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</si>
  <si>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</si>
  <si>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</si>
  <si>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</si>
  <si>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</si>
  <si>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</si>
  <si>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</si>
  <si>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</si>
  <si>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</si>
  <si>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</si>
  <si>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</si>
  <si>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</si>
  <si>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</si>
  <si>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</si>
  <si>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</si>
  <si>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</si>
  <si>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</si>
  <si>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</si>
  <si>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</si>
  <si>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</si>
  <si>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</si>
  <si>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</si>
  <si>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</si>
  <si>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</si>
  <si>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</si>
  <si>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</si>
  <si>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</si>
  <si>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</si>
  <si>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</si>
  <si>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</si>
  <si>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</si>
  <si>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</si>
  <si>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</si>
  <si>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</si>
  <si>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</si>
  <si>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</si>
  <si>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</si>
  <si>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</si>
  <si>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</si>
  <si>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</si>
  <si>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</si>
  <si>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</si>
  <si>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</si>
  <si>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</si>
  <si>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</si>
  <si>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VW000573Z / 574Z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</si>
  <si>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</si>
  <si>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Os produtos "Travessa" da MBB estão em análise.</t>
  </si>
  <si>
    <t>DA000459AA</t>
  </si>
  <si>
    <t>Redução no passo do blank.</t>
  </si>
  <si>
    <t>VW000895AA / 896AA</t>
  </si>
  <si>
    <t>Produto em análise.</t>
  </si>
  <si>
    <t>VW000630AC / 631AC</t>
  </si>
  <si>
    <t>Longarina da Saveiro, sem proposta de KAIZEN.</t>
  </si>
  <si>
    <t>Pulmão da Saveiro, sem proposta de KAIZEN.</t>
  </si>
  <si>
    <t>SV001141LA / SV001142LA</t>
  </si>
  <si>
    <t>Produtos com processo de corte laser com reduções significativas no peso bruto unitário. Aumento da quantidade de peças / chapa.
Em análise a redução do comprimento da chapa, mantendo a quantidade de peças / chapa.</t>
  </si>
  <si>
    <t>DJ000059Z / 060Z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</si>
  <si>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</si>
  <si>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VW00581Z / 582Z</t>
  </si>
  <si>
    <t>GM000390Z / GM000391Z / GM000392Z / GM000393Z / DJ000131Z / DJ000132Z</t>
  </si>
  <si>
    <t>VW000745Z / 746Z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</si>
  <si>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</si>
  <si>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Redução no passo do blank. Aguardando validação da Controladoria.</t>
  </si>
  <si>
    <t>VW000585Z / 586Z</t>
  </si>
  <si>
    <t>VW000506Z / VW000522AA / VW000597Z / VW000815Z</t>
  </si>
  <si>
    <t xml:space="preserve"> DA000489AA / DA000490AA</t>
  </si>
  <si>
    <t>VW000887AA / VW000888AA</t>
  </si>
  <si>
    <t>DA000475AA / DA000476AA / DA000477AA / DA000478AA / DA000479AA</t>
  </si>
  <si>
    <t>VB000347LA / DA000496Z / DA000498Z / DA000499Z / DA000501Z / DA000500Z / DA000502Z / DA000506Z / DA000530Z / DA000531</t>
  </si>
  <si>
    <t>DJ000049Z / DJ000050Z / DJ000232Z / DJ000233Z</t>
  </si>
  <si>
    <t>DA000213Z</t>
  </si>
  <si>
    <t>MB003601Z</t>
  </si>
  <si>
    <t>GM000408Z / GM000409Z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</si>
  <si>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</si>
  <si>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DA000491AA / DA000492AA</t>
  </si>
  <si>
    <t>MB002289Z / MB002290Z</t>
  </si>
  <si>
    <t>MB002446LA / MB003670LA / MB003671LA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</si>
</sst>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10" fillId="0" borderId="1" xfId="0" applyFont="1" applyBorder="1"/>
    <xf numFmtId="3" fontId="4" fillId="0" borderId="0" xfId="2" applyNumberFormat="1" applyFont="1" applyBorder="1" applyAlignment="1">
      <alignment horizontal="center" vertical="center"/>
    </xf>
    <xf numFmtId="0" fontId="4" fillId="0" borderId="1" xfId="2" applyFont="1" applyFill="1" applyBorder="1" applyAlignment="1">
      <alignment horizontal="left" vertical="top" wrapText="1"/>
    </xf>
    <xf numFmtId="0" fontId="17" fillId="0" borderId="1" xfId="0" applyFont="1" applyFill="1" applyBorder="1" applyAlignment="1">
      <alignment horizontal="center" vertical="center" wrapText="1"/>
    </xf>
    <xf numFmtId="0" fontId="15" fillId="0" borderId="1" xfId="2" applyFont="1" applyFill="1" applyBorder="1" applyAlignment="1">
      <alignment horizontal="center" vertical="center" wrapText="1"/>
    </xf>
    <xf numFmtId="0" fontId="4" fillId="0" borderId="1" xfId="2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" fontId="15" fillId="0" borderId="1" xfId="2" applyNumberFormat="1" applyFont="1" applyFill="1" applyBorder="1" applyAlignment="1">
      <alignment horizontal="center" vertical="center" wrapText="1"/>
    </xf>
    <xf numFmtId="4" fontId="15" fillId="0" borderId="1" xfId="0" applyNumberFormat="1" applyFont="1" applyFill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" fontId="4" fillId="0" borderId="1" xfId="0" applyNumberFormat="1" applyFont="1" applyFill="1" applyBorder="1" applyAlignment="1">
      <alignment horizontal="center" vertical="center"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0.41414588085673165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0.75384006859330699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0.34410514632080136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885025.4800000001</c:v>
                </c:pt>
                <c:pt idx="1">
                  <c:v>50984.49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936009.97000000009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1754.5867599849994</c:v>
                </c:pt>
                <c:pt idx="1">
                  <c:v>1634.528671</c:v>
                </c:pt>
                <c:pt idx="2">
                  <c:v>1113.3518362500006</c:v>
                </c:pt>
                <c:pt idx="3">
                  <c:v>49.376945486109825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1322.6778035000002</c:v>
                </c:pt>
                <c:pt idx="1">
                  <c:v>562.44972749999999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1801906</xdr:rowOff>
    </xdr:from>
    <xdr:to>
      <xdr:col>33</xdr:col>
      <xdr:colOff>17930</xdr:colOff>
      <xdr:row>0</xdr:row>
      <xdr:rowOff>1847625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14460071" y="1801906"/>
          <a:ext cx="7360024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3-03-02T13:44:07.12" personId="{E58E698B-0773-4F73-8467-6197DC817082}" id="{33C328EB-7B56-47E9-A787-F392CA006902}">
    <text>Utilizando material 1,60x417</text>
  </threadedComment>
  <threadedComment ref="A212" dT="2025-02-06T17:11:01.02" personId="{D9E3AE94-B136-43DC-991E-9F5A8D1687A6}" id="{C01DA7E7-015C-4D77-8E50-06C386F35AF3}">
    <text>Temos na Fitametal 
BOZ0070TJ1350 - 10249kg</text>
  </threadedComment>
  <threadedComment ref="A28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286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M717"/>
  <sheetViews>
    <sheetView showGridLines="0" tabSelected="1" zoomScaleNormal="100" workbookViewId="0">
      <pane xSplit="1" ySplit="5" topLeftCell="AG122" activePane="bottomRight" state="frozen"/>
      <selection pane="topRight" activeCell="B1" sqref="B1"/>
      <selection pane="bottomLeft" activeCell="A6" sqref="A6"/>
      <selection pane="bottomRight" activeCell="AJ148" sqref="AJ148"/>
    </sheetView>
  </sheetViews>
  <sheetFormatPr defaultRowHeight="14.4" x14ac:dyDescent="0.3"/>
  <cols>
    <col min="1" max="1" width="18.33203125" bestFit="1" customWidth="1"/>
    <col min="2" max="2" width="8.6640625" bestFit="1" customWidth="1"/>
    <col min="3" max="4" width="9.5546875" bestFit="1" customWidth="1"/>
    <col min="5" max="5" width="10.6640625" bestFit="1" customWidth="1"/>
    <col min="6" max="6" width="13.33203125" bestFit="1" customWidth="1"/>
    <col min="7" max="7" width="28.5546875" hidden="1" customWidth="1"/>
    <col min="8" max="8" width="14.33203125" hidden="1" customWidth="1"/>
    <col min="9" max="9" width="10.109375" hidden="1" customWidth="1"/>
    <col min="10" max="10" width="9.6640625" hidden="1" customWidth="1"/>
    <col min="11" max="11" width="21.33203125" hidden="1" customWidth="1"/>
    <col min="12" max="12" width="20.44140625" hidden="1" customWidth="1"/>
    <col min="13" max="13" width="23.6640625" hidden="1" customWidth="1"/>
    <col min="14" max="14" width="32.33203125" hidden="1" customWidth="1"/>
    <col min="15" max="15" width="8.5546875" bestFit="1" customWidth="1"/>
    <col min="16" max="16" width="10.33203125" hidden="1" customWidth="1"/>
    <col min="17" max="17" width="12.44140625" hidden="1" customWidth="1"/>
    <col min="18" max="18" width="11.5546875" bestFit="1" customWidth="1"/>
    <col min="19" max="19" width="15" hidden="1" customWidth="1"/>
    <col min="20" max="20" width="15.6640625" hidden="1" customWidth="1"/>
    <col min="21" max="21" width="16.44140625" hidden="1" customWidth="1"/>
    <col min="22" max="22" width="15.33203125" hidden="1" customWidth="1"/>
    <col min="23" max="24" width="15.44140625" hidden="1" customWidth="1"/>
    <col min="25" max="25" width="15.44140625" bestFit="1" customWidth="1"/>
    <col min="26" max="26" width="13.6640625" bestFit="1" customWidth="1"/>
    <col min="27" max="27" width="11.33203125" bestFit="1" customWidth="1"/>
    <col min="28" max="28" width="16.109375" bestFit="1" customWidth="1"/>
    <col min="29" max="29" width="13.33203125" bestFit="1" customWidth="1"/>
    <col min="30" max="30" width="15.6640625" bestFit="1" customWidth="1"/>
    <col min="31" max="31" width="13.44140625" bestFit="1" customWidth="1"/>
    <col min="32" max="32" width="10.6640625" bestFit="1" customWidth="1"/>
    <col min="33" max="33" width="13" bestFit="1" customWidth="1"/>
    <col min="34" max="34" width="12.88671875" hidden="1" customWidth="1"/>
    <col min="35" max="35" width="16.33203125" bestFit="1" customWidth="1"/>
    <col min="36" max="36" width="24.109375" customWidth="1"/>
    <col min="37" max="37" width="16.33203125" bestFit="1" customWidth="1"/>
    <col min="38" max="38" width="14.88671875" hidden="1" customWidth="1"/>
    <col min="39" max="39" width="91.109375" customWidth="1"/>
  </cols>
  <sheetData>
    <row r="1" spans="1:39" ht="151.19999999999999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idden="1" x14ac:dyDescent="0.3">
      <c r="A3" s="22" t="s">
        <v>684</v>
      </c>
      <c r="B3" s="2" t="s">
        <v>49</v>
      </c>
      <c r="C3" s="21">
        <v>12.25</v>
      </c>
      <c r="D3" s="23">
        <v>1250</v>
      </c>
      <c r="E3" s="23" t="s">
        <v>545</v>
      </c>
      <c r="F3" s="28" t="s">
        <v>685</v>
      </c>
      <c r="G3" s="3" t="s">
        <v>686</v>
      </c>
      <c r="H3" s="6"/>
      <c r="I3" s="6" t="s">
        <v>687</v>
      </c>
      <c r="J3" s="6">
        <v>69</v>
      </c>
      <c r="K3" s="21">
        <v>24</v>
      </c>
      <c r="L3" s="21" t="s">
        <v>688</v>
      </c>
      <c r="M3" s="6" t="s">
        <v>689</v>
      </c>
      <c r="N3" s="6" t="s">
        <v>690</v>
      </c>
      <c r="O3" s="6" t="s">
        <v>691</v>
      </c>
      <c r="P3" s="6"/>
      <c r="Q3" s="27"/>
      <c r="R3" s="28" t="s">
        <v>692</v>
      </c>
      <c r="S3" s="6" t="s">
        <v>55</v>
      </c>
      <c r="T3" s="1">
        <v>334.24039799999997</v>
      </c>
      <c r="U3" s="1">
        <v>258.49515200000002</v>
      </c>
      <c r="V3" s="1">
        <v>265.10771600000004</v>
      </c>
      <c r="W3" s="1">
        <v>310.87180599999999</v>
      </c>
      <c r="X3" s="1">
        <v>321.527176</v>
      </c>
      <c r="Y3" s="1">
        <f>AVERAGE(U3:X3)</f>
        <v>289.00046250000003</v>
      </c>
      <c r="Z3" s="10" t="s">
        <v>693</v>
      </c>
      <c r="AA3" s="10" t="s">
        <v>693</v>
      </c>
      <c r="AB3" s="10" t="s">
        <v>693</v>
      </c>
      <c r="AC3" s="10" t="s">
        <v>693</v>
      </c>
      <c r="AD3" s="10" t="s">
        <v>693</v>
      </c>
      <c r="AE3" s="10" t="s">
        <v>693</v>
      </c>
      <c r="AF3" s="10" t="s">
        <v>693</v>
      </c>
      <c r="AG3" s="38">
        <f>COUNTIF(Z3:AF3,"X")/7</f>
        <v>1</v>
      </c>
      <c r="AH3" s="51">
        <f>IF(AG3=100%,Y3," ")</f>
        <v>289.00046250000003</v>
      </c>
      <c r="AI3" s="64">
        <v>2</v>
      </c>
      <c r="AJ3" s="62" t="s">
        <v>694</v>
      </c>
      <c r="AK3" s="65">
        <v>282173.02</v>
      </c>
      <c r="AL3" s="1"/>
      <c r="AM3" s="72"/>
    </row>
    <row r="4" spans="1:39" s="26" customFormat="1" hidden="1" x14ac:dyDescent="0.3">
      <c r="A4" s="22" t="s">
        <v>696</v>
      </c>
      <c r="B4" s="2" t="s">
        <v>49</v>
      </c>
      <c r="C4" s="21">
        <v>15.75</v>
      </c>
      <c r="D4" s="23">
        <v>1250</v>
      </c>
      <c r="E4" s="23" t="s">
        <v>545</v>
      </c>
      <c r="F4" s="28" t="s">
        <v>685</v>
      </c>
      <c r="G4" s="3" t="s">
        <v>686</v>
      </c>
      <c r="H4" s="4"/>
      <c r="I4" s="6" t="s">
        <v>687</v>
      </c>
      <c r="J4" s="4">
        <v>69</v>
      </c>
      <c r="K4" s="5">
        <v>24</v>
      </c>
      <c r="L4" s="5" t="s">
        <v>688</v>
      </c>
      <c r="M4" s="4" t="s">
        <v>689</v>
      </c>
      <c r="N4" s="6" t="s">
        <v>690</v>
      </c>
      <c r="O4" s="4" t="s">
        <v>691</v>
      </c>
      <c r="P4" s="4"/>
      <c r="Q4" s="24"/>
      <c r="R4" s="25" t="s">
        <v>692</v>
      </c>
      <c r="S4" s="6" t="s">
        <v>55</v>
      </c>
      <c r="T4" s="1">
        <v>210.26425599999999</v>
      </c>
      <c r="U4" s="1">
        <v>226.69460000000001</v>
      </c>
      <c r="V4" s="1">
        <v>318.69595000000004</v>
      </c>
      <c r="W4" s="1">
        <v>296.39984999999996</v>
      </c>
      <c r="X4" s="1">
        <v>292.9699</v>
      </c>
      <c r="Y4" s="1">
        <f>AVERAGE(U4:X4)</f>
        <v>283.69007500000004</v>
      </c>
      <c r="Z4" s="10" t="s">
        <v>693</v>
      </c>
      <c r="AA4" s="10" t="s">
        <v>693</v>
      </c>
      <c r="AB4" s="10" t="s">
        <v>693</v>
      </c>
      <c r="AC4" s="10" t="s">
        <v>693</v>
      </c>
      <c r="AD4" s="10" t="s">
        <v>693</v>
      </c>
      <c r="AE4" s="10" t="s">
        <v>693</v>
      </c>
      <c r="AF4" s="10" t="s">
        <v>693</v>
      </c>
      <c r="AG4" s="38">
        <f>COUNTIF(Z4:AF4,"X")/7</f>
        <v>1</v>
      </c>
      <c r="AH4" s="51">
        <f>IF(AG4=100%,Y4," ")</f>
        <v>283.69007500000004</v>
      </c>
      <c r="AI4" s="64">
        <v>2</v>
      </c>
      <c r="AJ4" s="62" t="s">
        <v>697</v>
      </c>
      <c r="AK4" s="65">
        <v>122020.36</v>
      </c>
      <c r="AL4" s="1"/>
      <c r="AM4" s="1"/>
    </row>
    <row r="5" spans="1:39" s="26" customFormat="1" hidden="1" x14ac:dyDescent="0.3">
      <c r="A5" s="22" t="s">
        <v>699</v>
      </c>
      <c r="B5" s="2" t="s">
        <v>49</v>
      </c>
      <c r="C5" s="21">
        <v>11.75</v>
      </c>
      <c r="D5" s="23">
        <v>1000</v>
      </c>
      <c r="E5" s="23" t="s">
        <v>545</v>
      </c>
      <c r="F5" s="28" t="s">
        <v>700</v>
      </c>
      <c r="G5" s="3" t="s">
        <v>701</v>
      </c>
      <c r="H5" s="4"/>
      <c r="I5" s="6" t="s">
        <v>702</v>
      </c>
      <c r="J5" s="4">
        <v>79</v>
      </c>
      <c r="K5" s="5">
        <v>24</v>
      </c>
      <c r="L5" s="5" t="s">
        <v>703</v>
      </c>
      <c r="M5" s="4" t="s">
        <v>704</v>
      </c>
      <c r="N5" s="6" t="s">
        <v>690</v>
      </c>
      <c r="O5" s="4" t="s">
        <v>691</v>
      </c>
      <c r="P5" s="4"/>
      <c r="Q5" s="24"/>
      <c r="R5" s="25" t="s">
        <v>692</v>
      </c>
      <c r="S5" s="6" t="s">
        <v>55</v>
      </c>
      <c r="T5" s="1">
        <v>114.64835999999998</v>
      </c>
      <c r="U5" s="1">
        <v>209.99153999999999</v>
      </c>
      <c r="V5" s="1">
        <v>205.06518</v>
      </c>
      <c r="W5" s="1">
        <v>175.08846</v>
      </c>
      <c r="X5" s="1">
        <v>163.0461</v>
      </c>
      <c r="Y5" s="1">
        <f>AVERAGE(U5:X5)</f>
        <v>188.29782</v>
      </c>
      <c r="Z5" s="10" t="s">
        <v>693</v>
      </c>
      <c r="AA5" s="10" t="s">
        <v>693</v>
      </c>
      <c r="AB5" s="10" t="s">
        <v>693</v>
      </c>
      <c r="AC5" s="10" t="s">
        <v>693</v>
      </c>
      <c r="AD5" s="10" t="s">
        <v>693</v>
      </c>
      <c r="AE5" s="10" t="s">
        <v>693</v>
      </c>
      <c r="AF5" s="10" t="s">
        <v>693</v>
      </c>
      <c r="AG5" s="38">
        <f>COUNTIF(Z5:AF5,"X")/7</f>
        <v>1</v>
      </c>
      <c r="AH5" s="51">
        <f>IF(AG5=100%,Y5," ")</f>
        <v>188.29782</v>
      </c>
      <c r="AI5" s="64">
        <v>12</v>
      </c>
      <c r="AJ5" s="62" t="s">
        <v>705</v>
      </c>
      <c r="AK5" s="65">
        <v>195325.5</v>
      </c>
      <c r="AL5" s="1"/>
      <c r="AM5" s="1"/>
    </row>
    <row r="6" spans="1:39" s="26" customFormat="1" x14ac:dyDescent="0.3">
      <c r="A6" s="22" t="s">
        <v>39</v>
      </c>
      <c r="B6" s="2" t="s">
        <v>40</v>
      </c>
      <c r="C6" s="21">
        <v>1.8</v>
      </c>
      <c r="D6" s="23">
        <v>1100</v>
      </c>
      <c r="E6" s="23" t="s">
        <v>41</v>
      </c>
      <c r="F6" s="23" t="s">
        <v>42</v>
      </c>
      <c r="G6" s="3" t="s">
        <v>43</v>
      </c>
      <c r="H6" s="10">
        <v>34029156</v>
      </c>
      <c r="I6" s="10"/>
      <c r="J6" s="6"/>
      <c r="K6" s="21"/>
      <c r="L6" s="21" t="s">
        <v>44</v>
      </c>
      <c r="M6" s="6" t="s">
        <v>45</v>
      </c>
      <c r="N6" s="35" t="s">
        <v>46</v>
      </c>
      <c r="O6" s="12" t="s">
        <v>691</v>
      </c>
      <c r="P6" s="10" t="s">
        <v>47</v>
      </c>
      <c r="Q6" s="29" t="s">
        <v>47</v>
      </c>
      <c r="R6" s="27" t="s">
        <v>47</v>
      </c>
      <c r="S6" s="10" t="s">
        <v>47</v>
      </c>
      <c r="T6" s="13">
        <v>194.52238</v>
      </c>
      <c r="U6" s="13">
        <v>211.84826000000001</v>
      </c>
      <c r="V6" s="13">
        <v>213.42334</v>
      </c>
      <c r="W6" s="13">
        <v>127.58148</v>
      </c>
      <c r="X6" s="13">
        <v>189.00960000000001</v>
      </c>
      <c r="Y6" s="1">
        <f>AVERAGE(U6:X6)</f>
        <v>185.46567000000002</v>
      </c>
      <c r="Z6" s="10" t="s">
        <v>693</v>
      </c>
      <c r="AA6" s="10" t="s">
        <v>693</v>
      </c>
      <c r="AB6" s="10" t="s">
        <v>693</v>
      </c>
      <c r="AC6" s="10" t="s">
        <v>693</v>
      </c>
      <c r="AD6" s="10" t="s">
        <v>693</v>
      </c>
      <c r="AE6" s="10" t="s">
        <v>693</v>
      </c>
      <c r="AF6" s="10" t="s">
        <v>693</v>
      </c>
      <c r="AG6" s="38">
        <f>COUNTIF(Z6:AF6,"X")/7</f>
        <v>1</v>
      </c>
      <c r="AH6" s="51">
        <f>IF(AG6=100%,Y6," ")</f>
        <v>185.46567000000002</v>
      </c>
      <c r="AI6" s="64">
        <v>2</v>
      </c>
      <c r="AJ6" s="72" t="s">
        <v>1394</v>
      </c>
      <c r="AK6" s="65">
        <v>0</v>
      </c>
      <c r="AL6" s="1"/>
      <c r="AM6" s="1" t="s">
        <v>1402</v>
      </c>
    </row>
    <row r="7" spans="1:39" s="26" customFormat="1" hidden="1" x14ac:dyDescent="0.3">
      <c r="A7" s="19" t="s">
        <v>1069</v>
      </c>
      <c r="B7" s="21" t="s">
        <v>68</v>
      </c>
      <c r="C7" s="21">
        <v>1</v>
      </c>
      <c r="D7" s="23">
        <v>1350</v>
      </c>
      <c r="E7" s="23">
        <v>315</v>
      </c>
      <c r="F7" s="23" t="s">
        <v>1070</v>
      </c>
      <c r="G7" s="20" t="s">
        <v>1071</v>
      </c>
      <c r="H7" s="6"/>
      <c r="I7" s="6" t="s">
        <v>1072</v>
      </c>
      <c r="J7" s="6">
        <v>90</v>
      </c>
      <c r="K7" s="21">
        <v>10</v>
      </c>
      <c r="L7" s="21" t="s">
        <v>1073</v>
      </c>
      <c r="M7" s="6" t="s">
        <v>195</v>
      </c>
      <c r="N7" s="6" t="s">
        <v>1074</v>
      </c>
      <c r="O7" s="6">
        <v>10</v>
      </c>
      <c r="P7" s="6"/>
      <c r="Q7" s="27"/>
      <c r="R7" s="28" t="s">
        <v>108</v>
      </c>
      <c r="S7" s="6"/>
      <c r="T7" s="1">
        <v>183.5911528</v>
      </c>
      <c r="U7" s="1">
        <v>159.33151999999998</v>
      </c>
      <c r="V7" s="1">
        <v>183.935688</v>
      </c>
      <c r="W7" s="1">
        <v>149.097928</v>
      </c>
      <c r="X7" s="1">
        <v>193.669768</v>
      </c>
      <c r="Y7" s="1">
        <f>AVERAGE(U7:X7)</f>
        <v>171.508726</v>
      </c>
      <c r="Z7" s="10"/>
      <c r="AA7" s="10"/>
      <c r="AB7" s="10"/>
      <c r="AC7" s="10"/>
      <c r="AD7" s="10"/>
      <c r="AE7" s="10"/>
      <c r="AF7" s="10"/>
      <c r="AG7" s="38">
        <f>COUNTIF(Z7:AF7,"X")/7</f>
        <v>0</v>
      </c>
      <c r="AH7" s="51" t="str">
        <f>IF(AG7=100%,Y7," ")</f>
        <v xml:space="preserve"> </v>
      </c>
      <c r="AI7" s="64"/>
      <c r="AJ7" s="62"/>
      <c r="AK7" s="65"/>
      <c r="AL7" s="1"/>
      <c r="AM7" s="1"/>
    </row>
    <row r="8" spans="1:39" s="26" customFormat="1" hidden="1" x14ac:dyDescent="0.3">
      <c r="A8" s="19" t="s">
        <v>1075</v>
      </c>
      <c r="B8" s="21" t="s">
        <v>40</v>
      </c>
      <c r="C8" s="21">
        <v>1.8</v>
      </c>
      <c r="D8" s="23">
        <v>1100</v>
      </c>
      <c r="E8" s="23"/>
      <c r="F8" s="23" t="s">
        <v>1076</v>
      </c>
      <c r="G8" s="20" t="s">
        <v>1077</v>
      </c>
      <c r="H8" s="6"/>
      <c r="I8" s="6" t="s">
        <v>1078</v>
      </c>
      <c r="J8" s="6">
        <v>59</v>
      </c>
      <c r="K8" s="21">
        <v>4</v>
      </c>
      <c r="L8" s="21" t="s">
        <v>1073</v>
      </c>
      <c r="M8" s="6" t="s">
        <v>195</v>
      </c>
      <c r="N8" s="6" t="s">
        <v>123</v>
      </c>
      <c r="O8" s="6">
        <v>15</v>
      </c>
      <c r="P8" s="6"/>
      <c r="Q8" s="27"/>
      <c r="R8" s="28" t="s">
        <v>108</v>
      </c>
      <c r="S8" s="6"/>
      <c r="T8" s="1">
        <v>86.416399999999996</v>
      </c>
      <c r="U8" s="1">
        <v>86.416399999999996</v>
      </c>
      <c r="V8" s="1">
        <v>88.18</v>
      </c>
      <c r="W8" s="1">
        <v>77.598399999999998</v>
      </c>
      <c r="X8" s="1">
        <v>98.761599999999987</v>
      </c>
      <c r="Y8" s="1">
        <f>AVERAGE(U8:X8)</f>
        <v>87.739100000000008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/>
      <c r="AJ8" s="1"/>
      <c r="AK8" s="65">
        <v>0</v>
      </c>
      <c r="AL8" s="1"/>
      <c r="AM8" s="1"/>
    </row>
    <row r="9" spans="1:39" s="26" customFormat="1" ht="132.6" x14ac:dyDescent="0.3">
      <c r="A9" s="22" t="s">
        <v>48</v>
      </c>
      <c r="B9" s="2" t="s">
        <v>49</v>
      </c>
      <c r="C9" s="21">
        <v>4.75</v>
      </c>
      <c r="D9" s="23">
        <v>1250</v>
      </c>
      <c r="E9" s="23" t="s">
        <v>41</v>
      </c>
      <c r="F9" s="23" t="s">
        <v>50</v>
      </c>
      <c r="G9" s="3" t="s">
        <v>51</v>
      </c>
      <c r="H9" s="10" t="s">
        <v>41</v>
      </c>
      <c r="I9" s="10"/>
      <c r="J9" s="6"/>
      <c r="K9" s="5"/>
      <c r="L9" s="5" t="s">
        <v>52</v>
      </c>
      <c r="M9" s="6" t="s">
        <v>53</v>
      </c>
      <c r="N9" s="6" t="s">
        <v>54</v>
      </c>
      <c r="O9" s="12" t="s">
        <v>691</v>
      </c>
      <c r="P9" s="10" t="s">
        <v>47</v>
      </c>
      <c r="Q9" s="29" t="s">
        <v>47</v>
      </c>
      <c r="R9" s="27" t="s">
        <v>47</v>
      </c>
      <c r="S9" s="10" t="s">
        <v>55</v>
      </c>
      <c r="T9" s="13">
        <v>67.237323999999987</v>
      </c>
      <c r="U9" s="13">
        <v>68.395356000000007</v>
      </c>
      <c r="V9" s="13">
        <v>89.373863999999998</v>
      </c>
      <c r="W9" s="13">
        <v>82.735722000000024</v>
      </c>
      <c r="X9" s="13">
        <v>82.275846000000001</v>
      </c>
      <c r="Y9" s="1">
        <f>AVERAGE(U9:X9)</f>
        <v>80.695197000000007</v>
      </c>
      <c r="Z9" s="10" t="s">
        <v>693</v>
      </c>
      <c r="AA9" s="10" t="s">
        <v>693</v>
      </c>
      <c r="AB9" s="10" t="s">
        <v>693</v>
      </c>
      <c r="AC9" s="10" t="s">
        <v>693</v>
      </c>
      <c r="AD9" s="10" t="s">
        <v>693</v>
      </c>
      <c r="AE9" s="10" t="s">
        <v>693</v>
      </c>
      <c r="AF9" s="10" t="s">
        <v>693</v>
      </c>
      <c r="AG9" s="38">
        <f>COUNTIF(Z9:AF9,"X")/7</f>
        <v>1</v>
      </c>
      <c r="AH9" s="51">
        <f>IF(AG9=100%,Y9," ")</f>
        <v>80.695197000000007</v>
      </c>
      <c r="AI9" s="64">
        <v>25</v>
      </c>
      <c r="AJ9" s="76" t="s">
        <v>1395</v>
      </c>
      <c r="AK9" s="65">
        <v>12855.94</v>
      </c>
      <c r="AL9" s="1"/>
      <c r="AM9" s="62" t="s">
        <v>1396</v>
      </c>
    </row>
    <row r="10" spans="1:39" s="26" customFormat="1" hidden="1" x14ac:dyDescent="0.3">
      <c r="A10" s="22" t="s">
        <v>498</v>
      </c>
      <c r="B10" s="2" t="s">
        <v>49</v>
      </c>
      <c r="C10" s="21">
        <v>8</v>
      </c>
      <c r="D10" s="23">
        <v>1200</v>
      </c>
      <c r="E10" s="23" t="s">
        <v>545</v>
      </c>
      <c r="F10" s="28" t="s">
        <v>707</v>
      </c>
      <c r="G10" s="3" t="s">
        <v>708</v>
      </c>
      <c r="H10" s="6"/>
      <c r="I10" s="6" t="s">
        <v>687</v>
      </c>
      <c r="J10" s="6">
        <v>69</v>
      </c>
      <c r="K10" s="21">
        <v>23</v>
      </c>
      <c r="L10" s="21" t="s">
        <v>74</v>
      </c>
      <c r="M10" s="4" t="s">
        <v>709</v>
      </c>
      <c r="N10" s="6"/>
      <c r="O10" s="6" t="s">
        <v>691</v>
      </c>
      <c r="P10" s="6"/>
      <c r="Q10" s="27"/>
      <c r="R10" s="28" t="s">
        <v>692</v>
      </c>
      <c r="S10" s="6" t="s">
        <v>55</v>
      </c>
      <c r="T10" s="1">
        <v>63.29419</v>
      </c>
      <c r="U10" s="1">
        <v>67.032774000000003</v>
      </c>
      <c r="V10" s="1">
        <v>81.322437000000008</v>
      </c>
      <c r="W10" s="1">
        <v>87.854986000000011</v>
      </c>
      <c r="X10" s="1">
        <v>79.002342999999996</v>
      </c>
      <c r="Y10" s="1">
        <f>AVERAGE(U10:X10)</f>
        <v>78.803134999999997</v>
      </c>
      <c r="Z10" s="10" t="s">
        <v>693</v>
      </c>
      <c r="AA10" s="10" t="s">
        <v>693</v>
      </c>
      <c r="AB10" s="10" t="s">
        <v>693</v>
      </c>
      <c r="AC10" s="10" t="s">
        <v>693</v>
      </c>
      <c r="AD10" s="10" t="s">
        <v>693</v>
      </c>
      <c r="AE10" s="10" t="s">
        <v>693</v>
      </c>
      <c r="AF10" s="10" t="s">
        <v>693</v>
      </c>
      <c r="AG10" s="38">
        <f>COUNTIF(Z10:AF10,"X")/7</f>
        <v>1</v>
      </c>
      <c r="AH10" s="51">
        <f>IF(AG10=100%,Y10," ")</f>
        <v>78.803134999999997</v>
      </c>
      <c r="AI10" s="64">
        <v>29</v>
      </c>
      <c r="AJ10" s="62" t="s">
        <v>710</v>
      </c>
      <c r="AK10" s="65">
        <v>0</v>
      </c>
      <c r="AL10" s="1"/>
      <c r="AM10" s="1"/>
    </row>
    <row r="11" spans="1:39" s="26" customFormat="1" hidden="1" x14ac:dyDescent="0.3">
      <c r="A11" s="22" t="s">
        <v>711</v>
      </c>
      <c r="B11" s="2" t="s">
        <v>49</v>
      </c>
      <c r="C11" s="21">
        <v>10</v>
      </c>
      <c r="D11" s="23">
        <v>1050</v>
      </c>
      <c r="E11" s="23" t="s">
        <v>545</v>
      </c>
      <c r="F11" s="28" t="s">
        <v>712</v>
      </c>
      <c r="G11" s="3" t="s">
        <v>701</v>
      </c>
      <c r="H11" s="4"/>
      <c r="I11" s="6" t="s">
        <v>702</v>
      </c>
      <c r="J11" s="4">
        <v>79</v>
      </c>
      <c r="K11" s="5">
        <v>24</v>
      </c>
      <c r="L11" s="5" t="s">
        <v>703</v>
      </c>
      <c r="M11" s="4" t="s">
        <v>704</v>
      </c>
      <c r="N11" s="6" t="s">
        <v>690</v>
      </c>
      <c r="O11" s="4" t="s">
        <v>691</v>
      </c>
      <c r="P11" s="4"/>
      <c r="Q11" s="24"/>
      <c r="R11" s="25" t="s">
        <v>692</v>
      </c>
      <c r="S11" s="6" t="s">
        <v>55</v>
      </c>
      <c r="T11" s="1">
        <v>65.859940000000009</v>
      </c>
      <c r="U11" s="1">
        <v>68.896600000000007</v>
      </c>
      <c r="V11" s="1">
        <v>89.453019999999995</v>
      </c>
      <c r="W11" s="1">
        <v>76.556760000000011</v>
      </c>
      <c r="X11" s="1">
        <v>70.684139999999999</v>
      </c>
      <c r="Y11" s="1">
        <f>AVERAGE(U11:X11)</f>
        <v>76.397630000000007</v>
      </c>
      <c r="Z11" s="10" t="s">
        <v>693</v>
      </c>
      <c r="AA11" s="10" t="s">
        <v>693</v>
      </c>
      <c r="AB11" s="10" t="s">
        <v>693</v>
      </c>
      <c r="AC11" s="10" t="s">
        <v>693</v>
      </c>
      <c r="AD11" s="10" t="s">
        <v>693</v>
      </c>
      <c r="AE11" s="10" t="s">
        <v>693</v>
      </c>
      <c r="AF11" s="10" t="s">
        <v>693</v>
      </c>
      <c r="AG11" s="38">
        <f>COUNTIF(Z11:AF11,"X")/7</f>
        <v>1</v>
      </c>
      <c r="AH11" s="51">
        <f>IF(AG11=100%,Y11," ")</f>
        <v>76.397630000000007</v>
      </c>
      <c r="AI11" s="64">
        <v>8</v>
      </c>
      <c r="AJ11" s="62" t="s">
        <v>713</v>
      </c>
      <c r="AK11" s="65">
        <v>60610.5</v>
      </c>
      <c r="AL11" s="1"/>
      <c r="AM11" s="1"/>
    </row>
    <row r="12" spans="1:39" s="26" customFormat="1" x14ac:dyDescent="0.3">
      <c r="A12" s="22" t="s">
        <v>56</v>
      </c>
      <c r="B12" s="2" t="s">
        <v>49</v>
      </c>
      <c r="C12" s="21">
        <v>2.85</v>
      </c>
      <c r="D12" s="23">
        <v>885</v>
      </c>
      <c r="E12" s="23" t="s">
        <v>41</v>
      </c>
      <c r="F12" s="23" t="s">
        <v>57</v>
      </c>
      <c r="G12" s="3" t="s">
        <v>58</v>
      </c>
      <c r="H12" s="10" t="s">
        <v>41</v>
      </c>
      <c r="I12" s="10"/>
      <c r="J12" s="6"/>
      <c r="K12" s="21"/>
      <c r="L12" s="21" t="s">
        <v>52</v>
      </c>
      <c r="M12" s="6" t="s">
        <v>59</v>
      </c>
      <c r="N12" s="6" t="s">
        <v>60</v>
      </c>
      <c r="O12" s="12" t="s">
        <v>691</v>
      </c>
      <c r="P12" s="10" t="s">
        <v>47</v>
      </c>
      <c r="Q12" s="29" t="s">
        <v>47</v>
      </c>
      <c r="R12" s="27" t="s">
        <v>47</v>
      </c>
      <c r="S12" s="10" t="s">
        <v>47</v>
      </c>
      <c r="T12" s="13">
        <v>75.626999999999995</v>
      </c>
      <c r="U12" s="13">
        <v>67.224000000000004</v>
      </c>
      <c r="V12" s="13">
        <v>73.509444000000002</v>
      </c>
      <c r="W12" s="13">
        <v>75.324491999999992</v>
      </c>
      <c r="X12" s="13">
        <v>76.837032000000008</v>
      </c>
      <c r="Y12" s="1">
        <f>AVERAGE(U12:X12)</f>
        <v>73.223742000000001</v>
      </c>
      <c r="Z12" s="10" t="s">
        <v>693</v>
      </c>
      <c r="AA12" s="10" t="s">
        <v>693</v>
      </c>
      <c r="AB12" s="10" t="s">
        <v>693</v>
      </c>
      <c r="AC12" s="10" t="s">
        <v>693</v>
      </c>
      <c r="AD12" s="10" t="s">
        <v>693</v>
      </c>
      <c r="AE12" s="10" t="s">
        <v>693</v>
      </c>
      <c r="AF12" s="10" t="s">
        <v>693</v>
      </c>
      <c r="AG12" s="38">
        <f>COUNTIF(Z12:AF12,"X")/7</f>
        <v>1</v>
      </c>
      <c r="AH12" s="51">
        <f>IF(AG12=100%,Y12," ")</f>
        <v>73.223742000000001</v>
      </c>
      <c r="AI12" s="64">
        <v>1</v>
      </c>
      <c r="AJ12" s="1" t="s">
        <v>1397</v>
      </c>
      <c r="AK12" s="65">
        <v>4163.2700000000004</v>
      </c>
      <c r="AL12" s="1"/>
      <c r="AM12" s="1" t="s">
        <v>1398</v>
      </c>
    </row>
    <row r="13" spans="1:39" s="26" customFormat="1" hidden="1" x14ac:dyDescent="0.3">
      <c r="A13" s="22" t="s">
        <v>714</v>
      </c>
      <c r="B13" s="2" t="s">
        <v>49</v>
      </c>
      <c r="C13" s="21">
        <v>8</v>
      </c>
      <c r="D13" s="23">
        <v>1220</v>
      </c>
      <c r="E13" s="23" t="s">
        <v>545</v>
      </c>
      <c r="F13" s="28" t="s">
        <v>545</v>
      </c>
      <c r="G13" s="3" t="s">
        <v>715</v>
      </c>
      <c r="H13" s="6"/>
      <c r="I13" s="6" t="s">
        <v>687</v>
      </c>
      <c r="J13" s="6">
        <v>59</v>
      </c>
      <c r="K13" s="21">
        <v>24</v>
      </c>
      <c r="L13" s="5" t="s">
        <v>74</v>
      </c>
      <c r="M13" s="6" t="s">
        <v>689</v>
      </c>
      <c r="N13" s="6" t="s">
        <v>716</v>
      </c>
      <c r="O13" s="6" t="s">
        <v>691</v>
      </c>
      <c r="P13" s="6"/>
      <c r="Q13" s="27"/>
      <c r="R13" s="28" t="s">
        <v>692</v>
      </c>
      <c r="S13" s="6" t="s">
        <v>55</v>
      </c>
      <c r="T13" s="1">
        <v>71.144471999999993</v>
      </c>
      <c r="U13" s="1">
        <v>64.452160000000006</v>
      </c>
      <c r="V13" s="1">
        <v>66.465279999999993</v>
      </c>
      <c r="W13" s="1">
        <v>76.327039999999997</v>
      </c>
      <c r="X13" s="1">
        <v>75.065280000000001</v>
      </c>
      <c r="Y13" s="1">
        <f>AVERAGE(U13:X13)</f>
        <v>70.577439999999996</v>
      </c>
      <c r="Z13" s="10" t="s">
        <v>693</v>
      </c>
      <c r="AA13" s="10" t="s">
        <v>693</v>
      </c>
      <c r="AB13" s="10" t="s">
        <v>693</v>
      </c>
      <c r="AC13" s="10" t="s">
        <v>693</v>
      </c>
      <c r="AD13" s="10" t="s">
        <v>693</v>
      </c>
      <c r="AE13" s="10" t="s">
        <v>693</v>
      </c>
      <c r="AF13" s="10" t="s">
        <v>693</v>
      </c>
      <c r="AG13" s="38">
        <f>COUNTIF(Z13:AF13,"X")/7</f>
        <v>1</v>
      </c>
      <c r="AH13" s="51">
        <f>IF(AG13=100%,Y13," ")</f>
        <v>70.577439999999996</v>
      </c>
      <c r="AI13" s="64">
        <v>1</v>
      </c>
      <c r="AJ13" s="1" t="s">
        <v>717</v>
      </c>
      <c r="AK13" s="65">
        <v>0</v>
      </c>
      <c r="AL13" s="1"/>
      <c r="AM13" s="1"/>
    </row>
    <row r="14" spans="1:39" s="26" customFormat="1" hidden="1" x14ac:dyDescent="0.3">
      <c r="A14" s="22" t="s">
        <v>719</v>
      </c>
      <c r="B14" s="2" t="s">
        <v>49</v>
      </c>
      <c r="C14" s="21">
        <v>12.75</v>
      </c>
      <c r="D14" s="23">
        <v>1250</v>
      </c>
      <c r="E14" s="23" t="s">
        <v>545</v>
      </c>
      <c r="F14" s="28" t="s">
        <v>685</v>
      </c>
      <c r="G14" s="3" t="s">
        <v>686</v>
      </c>
      <c r="H14" s="6"/>
      <c r="I14" s="6" t="s">
        <v>687</v>
      </c>
      <c r="J14" s="6">
        <v>69</v>
      </c>
      <c r="K14" s="21">
        <v>24</v>
      </c>
      <c r="L14" s="21" t="s">
        <v>703</v>
      </c>
      <c r="M14" s="6" t="s">
        <v>689</v>
      </c>
      <c r="N14" s="6" t="s">
        <v>690</v>
      </c>
      <c r="O14" s="6" t="s">
        <v>691</v>
      </c>
      <c r="P14" s="6"/>
      <c r="Q14" s="27"/>
      <c r="R14" s="28" t="s">
        <v>692</v>
      </c>
      <c r="S14" s="6" t="s">
        <v>55</v>
      </c>
      <c r="T14" s="1">
        <v>57.796700000000001</v>
      </c>
      <c r="U14" s="1">
        <v>68.022270000000006</v>
      </c>
      <c r="V14" s="1">
        <v>56.018340000000002</v>
      </c>
      <c r="W14" s="1">
        <v>60.019649999999999</v>
      </c>
      <c r="X14" s="1">
        <v>86.71923000000001</v>
      </c>
      <c r="Y14" s="1">
        <f>AVERAGE(U14:X14)</f>
        <v>67.694872500000002</v>
      </c>
      <c r="Z14" s="10" t="s">
        <v>693</v>
      </c>
      <c r="AA14" s="10" t="s">
        <v>693</v>
      </c>
      <c r="AB14" s="10" t="s">
        <v>693</v>
      </c>
      <c r="AC14" s="10" t="s">
        <v>693</v>
      </c>
      <c r="AD14" s="10" t="s">
        <v>693</v>
      </c>
      <c r="AE14" s="10" t="s">
        <v>693</v>
      </c>
      <c r="AF14" s="10" t="s">
        <v>693</v>
      </c>
      <c r="AG14" s="38">
        <f>COUNTIF(Z14:AF14,"X")/7</f>
        <v>1</v>
      </c>
      <c r="AH14" s="51">
        <f>IF(AG14=100%,Y14," ")</f>
        <v>67.694872500000002</v>
      </c>
      <c r="AI14" s="64">
        <v>2</v>
      </c>
      <c r="AJ14" s="62" t="s">
        <v>720</v>
      </c>
      <c r="AK14" s="65">
        <v>72458.679999999993</v>
      </c>
      <c r="AL14" s="1"/>
      <c r="AM14" s="1"/>
    </row>
    <row r="15" spans="1:39" s="26" customFormat="1" hidden="1" x14ac:dyDescent="0.3">
      <c r="A15" s="22" t="s">
        <v>721</v>
      </c>
      <c r="B15" s="2" t="s">
        <v>49</v>
      </c>
      <c r="C15" s="21">
        <v>12.75</v>
      </c>
      <c r="D15" s="23">
        <v>2440</v>
      </c>
      <c r="E15" s="23" t="s">
        <v>545</v>
      </c>
      <c r="F15" s="28" t="s">
        <v>545</v>
      </c>
      <c r="G15" s="3" t="s">
        <v>722</v>
      </c>
      <c r="H15" s="4"/>
      <c r="I15" s="6" t="s">
        <v>687</v>
      </c>
      <c r="J15" s="4">
        <v>69</v>
      </c>
      <c r="K15" s="5">
        <v>24</v>
      </c>
      <c r="L15" s="5" t="s">
        <v>703</v>
      </c>
      <c r="M15" s="4" t="s">
        <v>723</v>
      </c>
      <c r="N15" s="4" t="s">
        <v>724</v>
      </c>
      <c r="O15" s="4" t="s">
        <v>691</v>
      </c>
      <c r="P15" s="4"/>
      <c r="Q15" s="24"/>
      <c r="R15" s="25" t="s">
        <v>692</v>
      </c>
      <c r="S15" s="6" t="s">
        <v>692</v>
      </c>
      <c r="T15" s="1">
        <v>138.202</v>
      </c>
      <c r="U15" s="1">
        <v>102.848</v>
      </c>
      <c r="V15" s="1">
        <v>77.135999999999996</v>
      </c>
      <c r="W15" s="1">
        <v>77.135999999999996</v>
      </c>
      <c r="X15" s="1">
        <v>0</v>
      </c>
      <c r="Y15" s="1">
        <f>AVERAGE(U15:X15)</f>
        <v>64.28</v>
      </c>
      <c r="Z15" s="10" t="s">
        <v>693</v>
      </c>
      <c r="AA15" s="10" t="s">
        <v>693</v>
      </c>
      <c r="AB15" s="10" t="s">
        <v>693</v>
      </c>
      <c r="AC15" s="10" t="s">
        <v>693</v>
      </c>
      <c r="AD15" s="10" t="s">
        <v>693</v>
      </c>
      <c r="AE15" s="10" t="s">
        <v>693</v>
      </c>
      <c r="AF15" s="10" t="s">
        <v>693</v>
      </c>
      <c r="AG15" s="38">
        <f>COUNTIF(Z15:AF15,"X")/7</f>
        <v>1</v>
      </c>
      <c r="AH15" s="51">
        <f>IF(AG15=100%,Y15," ")</f>
        <v>64.28</v>
      </c>
      <c r="AI15" s="64">
        <v>1</v>
      </c>
      <c r="AJ15" s="1" t="s">
        <v>725</v>
      </c>
      <c r="AK15" s="65">
        <v>0</v>
      </c>
      <c r="AL15" s="1"/>
      <c r="AM15" s="1"/>
    </row>
    <row r="16" spans="1:39" s="26" customFormat="1" hidden="1" x14ac:dyDescent="0.3">
      <c r="A16" s="19" t="s">
        <v>1079</v>
      </c>
      <c r="B16" s="21" t="s">
        <v>40</v>
      </c>
      <c r="C16" s="21">
        <v>1.8</v>
      </c>
      <c r="D16" s="23">
        <v>1300</v>
      </c>
      <c r="E16" s="23"/>
      <c r="F16" s="23" t="s">
        <v>1080</v>
      </c>
      <c r="G16" s="20" t="s">
        <v>1077</v>
      </c>
      <c r="H16" s="6"/>
      <c r="I16" s="6" t="s">
        <v>1078</v>
      </c>
      <c r="J16" s="6">
        <v>59</v>
      </c>
      <c r="K16" s="21">
        <v>3</v>
      </c>
      <c r="L16" s="21" t="s">
        <v>1073</v>
      </c>
      <c r="M16" s="6" t="s">
        <v>195</v>
      </c>
      <c r="N16" s="6" t="s">
        <v>123</v>
      </c>
      <c r="O16" s="6">
        <v>15</v>
      </c>
      <c r="P16" s="6"/>
      <c r="Q16" s="27"/>
      <c r="R16" s="28" t="s">
        <v>108</v>
      </c>
      <c r="S16" s="6"/>
      <c r="T16" s="1">
        <v>59.033149999999992</v>
      </c>
      <c r="U16" s="1">
        <v>58.113999999999997</v>
      </c>
      <c r="V16" s="1">
        <v>62.265000000000001</v>
      </c>
      <c r="W16" s="1">
        <v>49.811999999999998</v>
      </c>
      <c r="X16" s="1">
        <v>68.491500000000002</v>
      </c>
      <c r="Y16" s="1">
        <f>AVERAGE(U16:X16)</f>
        <v>59.670624999999994</v>
      </c>
      <c r="Z16" s="10"/>
      <c r="AA16" s="10"/>
      <c r="AB16" s="10"/>
      <c r="AC16" s="10"/>
      <c r="AD16" s="10"/>
      <c r="AE16" s="10"/>
      <c r="AF16" s="10"/>
      <c r="AG16" s="38">
        <f>COUNTIF(Z16:AF16,"X")/7</f>
        <v>0</v>
      </c>
      <c r="AH16" s="51" t="str">
        <f>IF(AG16=100%,Y16," ")</f>
        <v xml:space="preserve"> </v>
      </c>
      <c r="AI16" s="64"/>
      <c r="AJ16" s="1"/>
      <c r="AK16" s="65">
        <v>0</v>
      </c>
      <c r="AL16" s="1"/>
      <c r="AM16" s="1"/>
    </row>
    <row r="17" spans="1:39" s="26" customFormat="1" hidden="1" x14ac:dyDescent="0.3">
      <c r="A17" s="19" t="s">
        <v>1081</v>
      </c>
      <c r="B17" s="21" t="s">
        <v>40</v>
      </c>
      <c r="C17" s="21">
        <v>0.7</v>
      </c>
      <c r="D17" s="23">
        <v>1600</v>
      </c>
      <c r="E17" s="23">
        <v>675</v>
      </c>
      <c r="F17" s="23" t="s">
        <v>1082</v>
      </c>
      <c r="G17" s="20" t="s">
        <v>1083</v>
      </c>
      <c r="H17" s="6"/>
      <c r="I17" s="6" t="s">
        <v>1084</v>
      </c>
      <c r="J17" s="6">
        <v>60</v>
      </c>
      <c r="K17" s="21"/>
      <c r="L17" s="21" t="s">
        <v>1085</v>
      </c>
      <c r="M17" s="6" t="s">
        <v>195</v>
      </c>
      <c r="N17" s="6">
        <v>246</v>
      </c>
      <c r="O17" s="6"/>
      <c r="P17" s="6"/>
      <c r="Q17" s="27"/>
      <c r="R17" s="28" t="s">
        <v>108</v>
      </c>
      <c r="S17" s="6"/>
      <c r="T17" s="1">
        <v>67.905599999999993</v>
      </c>
      <c r="U17" s="1">
        <v>54.6616</v>
      </c>
      <c r="V17" s="1">
        <v>71.638000000000005</v>
      </c>
      <c r="W17" s="1">
        <v>54.6616</v>
      </c>
      <c r="X17" s="1">
        <v>56.467599999999997</v>
      </c>
      <c r="Y17" s="1">
        <f>AVERAGE(U17:X17)</f>
        <v>59.357199999999999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/>
      <c r="AJ17" s="1"/>
      <c r="AK17" s="65">
        <v>0</v>
      </c>
      <c r="AL17" s="1"/>
      <c r="AM17" s="1"/>
    </row>
    <row r="18" spans="1:39" s="26" customFormat="1" hidden="1" x14ac:dyDescent="0.3">
      <c r="A18" s="19" t="s">
        <v>1086</v>
      </c>
      <c r="B18" s="21" t="s">
        <v>40</v>
      </c>
      <c r="C18" s="21">
        <v>1.5</v>
      </c>
      <c r="D18" s="23">
        <v>1450</v>
      </c>
      <c r="E18" s="23"/>
      <c r="F18" s="23" t="s">
        <v>1076</v>
      </c>
      <c r="G18" s="20" t="s">
        <v>1087</v>
      </c>
      <c r="H18" s="6"/>
      <c r="I18" s="6" t="s">
        <v>1084</v>
      </c>
      <c r="J18" s="6">
        <v>69</v>
      </c>
      <c r="K18" s="21">
        <v>5</v>
      </c>
      <c r="L18" s="21" t="s">
        <v>1073</v>
      </c>
      <c r="M18" s="6" t="s">
        <v>195</v>
      </c>
      <c r="N18" s="6" t="s">
        <v>1088</v>
      </c>
      <c r="O18" s="6">
        <v>10</v>
      </c>
      <c r="P18" s="6"/>
      <c r="Q18" s="27"/>
      <c r="R18" s="28" t="s">
        <v>108</v>
      </c>
      <c r="S18" s="6"/>
      <c r="T18" s="1">
        <v>62.222799999999999</v>
      </c>
      <c r="U18" s="1">
        <v>61.262600000000006</v>
      </c>
      <c r="V18" s="1">
        <v>61.262600000000006</v>
      </c>
      <c r="W18" s="1">
        <v>48.031399999999991</v>
      </c>
      <c r="X18" s="1">
        <v>64.570399999999992</v>
      </c>
      <c r="Y18" s="1">
        <f>AVERAGE(U18:X18)</f>
        <v>58.781750000000002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"/>
      <c r="AK18" s="65">
        <v>0</v>
      </c>
      <c r="AL18" s="1"/>
      <c r="AM18" s="1"/>
    </row>
    <row r="19" spans="1:39" s="26" customFormat="1" hidden="1" x14ac:dyDescent="0.3">
      <c r="A19" s="22" t="s">
        <v>727</v>
      </c>
      <c r="B19" s="2" t="s">
        <v>49</v>
      </c>
      <c r="C19" s="21">
        <v>12.5</v>
      </c>
      <c r="D19" s="23">
        <v>6970</v>
      </c>
      <c r="E19" s="23" t="s">
        <v>545</v>
      </c>
      <c r="F19" s="28" t="s">
        <v>545</v>
      </c>
      <c r="G19" s="3" t="s">
        <v>722</v>
      </c>
      <c r="H19" s="6"/>
      <c r="I19" s="6" t="s">
        <v>687</v>
      </c>
      <c r="J19" s="6">
        <v>69</v>
      </c>
      <c r="K19" s="21">
        <v>10</v>
      </c>
      <c r="L19" s="21" t="s">
        <v>703</v>
      </c>
      <c r="M19" s="6" t="s">
        <v>723</v>
      </c>
      <c r="N19" s="6" t="s">
        <v>728</v>
      </c>
      <c r="O19" s="6" t="s">
        <v>691</v>
      </c>
      <c r="P19" s="6"/>
      <c r="Q19" s="27"/>
      <c r="R19" s="28" t="s">
        <v>692</v>
      </c>
      <c r="S19" s="6" t="s">
        <v>692</v>
      </c>
      <c r="T19" s="1">
        <v>113.39654399999999</v>
      </c>
      <c r="U19" s="1">
        <v>76.9392</v>
      </c>
      <c r="V19" s="1">
        <v>76.9392</v>
      </c>
      <c r="W19" s="1">
        <v>76.9392</v>
      </c>
      <c r="X19" s="1">
        <v>0</v>
      </c>
      <c r="Y19" s="1">
        <f>AVERAGE(U19:X19)</f>
        <v>57.7044</v>
      </c>
      <c r="Z19" s="10" t="s">
        <v>693</v>
      </c>
      <c r="AA19" s="10" t="s">
        <v>693</v>
      </c>
      <c r="AB19" s="10" t="s">
        <v>693</v>
      </c>
      <c r="AC19" s="10" t="s">
        <v>693</v>
      </c>
      <c r="AD19" s="10" t="s">
        <v>693</v>
      </c>
      <c r="AE19" s="10" t="s">
        <v>693</v>
      </c>
      <c r="AF19" s="10" t="s">
        <v>693</v>
      </c>
      <c r="AG19" s="38">
        <f>COUNTIF(Z19:AF19,"X")/7</f>
        <v>1</v>
      </c>
      <c r="AH19" s="51">
        <f>IF(AG19=100%,Y19," ")</f>
        <v>57.7044</v>
      </c>
      <c r="AI19" s="64">
        <v>1</v>
      </c>
      <c r="AJ19" s="1" t="s">
        <v>729</v>
      </c>
      <c r="AK19" s="65">
        <v>0</v>
      </c>
      <c r="AL19" s="1"/>
      <c r="AM19" s="1"/>
    </row>
    <row r="20" spans="1:39" s="26" customFormat="1" x14ac:dyDescent="0.3">
      <c r="A20" s="22" t="s">
        <v>61</v>
      </c>
      <c r="B20" s="2" t="s">
        <v>62</v>
      </c>
      <c r="C20" s="21">
        <v>1.2</v>
      </c>
      <c r="D20" s="23">
        <v>500</v>
      </c>
      <c r="E20" s="23" t="s">
        <v>41</v>
      </c>
      <c r="F20" s="23"/>
      <c r="G20" s="3" t="s">
        <v>63</v>
      </c>
      <c r="H20" s="12">
        <v>34025664</v>
      </c>
      <c r="I20" s="10"/>
      <c r="J20" s="4"/>
      <c r="K20" s="5"/>
      <c r="L20" s="5" t="s">
        <v>64</v>
      </c>
      <c r="M20" s="4" t="s">
        <v>65</v>
      </c>
      <c r="N20" s="4" t="s">
        <v>66</v>
      </c>
      <c r="O20" s="12" t="s">
        <v>691</v>
      </c>
      <c r="P20" s="12" t="s">
        <v>47</v>
      </c>
      <c r="Q20" s="30" t="s">
        <v>47</v>
      </c>
      <c r="R20" s="27" t="s">
        <v>47</v>
      </c>
      <c r="S20" s="10" t="s">
        <v>47</v>
      </c>
      <c r="T20" s="13">
        <v>54.734399999999994</v>
      </c>
      <c r="U20" s="13">
        <v>52.453799999999994</v>
      </c>
      <c r="V20" s="13">
        <v>54.734399999999994</v>
      </c>
      <c r="W20" s="13">
        <v>48.652799999999999</v>
      </c>
      <c r="X20" s="13">
        <v>72.979199999999977</v>
      </c>
      <c r="Y20" s="1">
        <f>AVERAGE(U20:X20)</f>
        <v>57.20505</v>
      </c>
      <c r="Z20" s="10" t="s">
        <v>693</v>
      </c>
      <c r="AA20" s="10" t="s">
        <v>693</v>
      </c>
      <c r="AB20" s="10"/>
      <c r="AC20" s="10" t="s">
        <v>693</v>
      </c>
      <c r="AD20" s="10"/>
      <c r="AE20" s="10" t="s">
        <v>693</v>
      </c>
      <c r="AF20" s="10" t="s">
        <v>693</v>
      </c>
      <c r="AG20" s="38">
        <f>COUNTIF(Z20:AF20,"X")/7</f>
        <v>0.7142857142857143</v>
      </c>
      <c r="AH20" s="51" t="str">
        <f>IF(AG20=100%,Y20," ")</f>
        <v xml:space="preserve"> </v>
      </c>
      <c r="AI20" s="64">
        <v>2</v>
      </c>
      <c r="AJ20" s="1" t="s">
        <v>1399</v>
      </c>
      <c r="AK20" s="65">
        <v>0</v>
      </c>
      <c r="AL20" s="1"/>
      <c r="AM20" s="1" t="s">
        <v>1400</v>
      </c>
    </row>
    <row r="21" spans="1:39" s="26" customFormat="1" x14ac:dyDescent="0.3">
      <c r="A21" s="22" t="s">
        <v>67</v>
      </c>
      <c r="B21" s="2" t="s">
        <v>68</v>
      </c>
      <c r="C21" s="21">
        <v>1</v>
      </c>
      <c r="D21" s="23">
        <v>1250</v>
      </c>
      <c r="E21" s="23" t="s">
        <v>41</v>
      </c>
      <c r="F21" s="23" t="s">
        <v>42</v>
      </c>
      <c r="G21" s="3" t="s">
        <v>69</v>
      </c>
      <c r="H21" s="10" t="s">
        <v>70</v>
      </c>
      <c r="I21" s="10"/>
      <c r="J21" s="6"/>
      <c r="K21" s="21"/>
      <c r="L21" s="21" t="s">
        <v>71</v>
      </c>
      <c r="M21" s="6" t="s">
        <v>45</v>
      </c>
      <c r="N21" s="35" t="s">
        <v>46</v>
      </c>
      <c r="O21" s="12" t="s">
        <v>691</v>
      </c>
      <c r="P21" s="10" t="s">
        <v>47</v>
      </c>
      <c r="Q21" s="29" t="s">
        <v>47</v>
      </c>
      <c r="R21" s="27" t="s">
        <v>47</v>
      </c>
      <c r="S21" s="10" t="s">
        <v>47</v>
      </c>
      <c r="T21" s="13">
        <v>53.573211999999998</v>
      </c>
      <c r="U21" s="13">
        <v>60.627336</v>
      </c>
      <c r="V21" s="13">
        <v>61.00864</v>
      </c>
      <c r="W21" s="13">
        <v>36.414532000000001</v>
      </c>
      <c r="X21" s="13">
        <v>54.240494000000005</v>
      </c>
      <c r="Y21" s="1">
        <f>AVERAGE(U21:X21)</f>
        <v>53.072750500000005</v>
      </c>
      <c r="Z21" s="10" t="s">
        <v>693</v>
      </c>
      <c r="AA21" s="10" t="s">
        <v>693</v>
      </c>
      <c r="AB21" s="10" t="s">
        <v>693</v>
      </c>
      <c r="AC21" s="10" t="s">
        <v>693</v>
      </c>
      <c r="AD21" s="10" t="s">
        <v>693</v>
      </c>
      <c r="AE21" s="10" t="s">
        <v>693</v>
      </c>
      <c r="AF21" s="10" t="s">
        <v>693</v>
      </c>
      <c r="AG21" s="38">
        <f>COUNTIF(Z21:AF21,"X")/7</f>
        <v>1</v>
      </c>
      <c r="AH21" s="51">
        <f>IF(AG21=100%,Y21," ")</f>
        <v>53.072750500000005</v>
      </c>
      <c r="AI21" s="64">
        <v>2</v>
      </c>
      <c r="AJ21" s="1" t="s">
        <v>1401</v>
      </c>
      <c r="AK21" s="65">
        <v>0</v>
      </c>
      <c r="AL21" s="1"/>
      <c r="AM21" s="1" t="s">
        <v>1403</v>
      </c>
    </row>
    <row r="22" spans="1:39" s="26" customFormat="1" hidden="1" x14ac:dyDescent="0.3">
      <c r="A22" s="22" t="s">
        <v>753</v>
      </c>
      <c r="B22" s="2" t="s">
        <v>49</v>
      </c>
      <c r="C22" s="21">
        <v>9.75</v>
      </c>
      <c r="D22" s="23">
        <v>1250</v>
      </c>
      <c r="E22" s="23" t="s">
        <v>545</v>
      </c>
      <c r="F22" s="28" t="s">
        <v>754</v>
      </c>
      <c r="G22" s="3" t="s">
        <v>755</v>
      </c>
      <c r="H22" s="4"/>
      <c r="I22" s="4" t="s">
        <v>687</v>
      </c>
      <c r="J22" s="4">
        <v>59</v>
      </c>
      <c r="K22" s="5">
        <v>24</v>
      </c>
      <c r="L22" s="5" t="s">
        <v>74</v>
      </c>
      <c r="M22" s="4" t="s">
        <v>689</v>
      </c>
      <c r="N22" s="6" t="s">
        <v>716</v>
      </c>
      <c r="O22" s="4" t="s">
        <v>756</v>
      </c>
      <c r="P22" s="4"/>
      <c r="Q22" s="24"/>
      <c r="R22" s="25" t="s">
        <v>692</v>
      </c>
      <c r="S22" s="4" t="s">
        <v>55</v>
      </c>
      <c r="T22" s="1">
        <v>20.143727999999999</v>
      </c>
      <c r="U22" s="1">
        <v>47.250720000000001</v>
      </c>
      <c r="V22" s="1">
        <v>47.250720000000001</v>
      </c>
      <c r="W22" s="1">
        <v>54.711359999999999</v>
      </c>
      <c r="X22" s="1">
        <v>59.685119999999998</v>
      </c>
      <c r="Y22" s="1">
        <f>AVERAGE(U22:X22)</f>
        <v>52.22448</v>
      </c>
      <c r="Z22" s="10" t="s">
        <v>693</v>
      </c>
      <c r="AA22" s="10" t="s">
        <v>693</v>
      </c>
      <c r="AB22" s="10" t="s">
        <v>693</v>
      </c>
      <c r="AC22" s="10" t="s">
        <v>693</v>
      </c>
      <c r="AD22" s="10" t="s">
        <v>693</v>
      </c>
      <c r="AE22" s="10" t="s">
        <v>693</v>
      </c>
      <c r="AF22" s="10" t="s">
        <v>693</v>
      </c>
      <c r="AG22" s="38">
        <f>COUNTIF(Z22:AF22,"X")/7</f>
        <v>1</v>
      </c>
      <c r="AH22" s="51">
        <f>IF(AG22=100%,Y22," ")</f>
        <v>52.22448</v>
      </c>
      <c r="AI22" s="64">
        <v>1</v>
      </c>
      <c r="AJ22" s="1" t="s">
        <v>757</v>
      </c>
      <c r="AK22" s="65">
        <v>118699.26</v>
      </c>
      <c r="AL22" s="1"/>
      <c r="AM22" s="1"/>
    </row>
    <row r="23" spans="1:39" s="26" customFormat="1" hidden="1" x14ac:dyDescent="0.3">
      <c r="A23" s="22" t="s">
        <v>730</v>
      </c>
      <c r="B23" s="2" t="s">
        <v>49</v>
      </c>
      <c r="C23" s="21">
        <v>9.75</v>
      </c>
      <c r="D23" s="23">
        <v>2300</v>
      </c>
      <c r="E23" s="23" t="s">
        <v>545</v>
      </c>
      <c r="F23" s="28" t="s">
        <v>545</v>
      </c>
      <c r="G23" s="3" t="s">
        <v>722</v>
      </c>
      <c r="H23" s="6"/>
      <c r="I23" s="6" t="s">
        <v>687</v>
      </c>
      <c r="J23" s="6">
        <v>59</v>
      </c>
      <c r="K23" s="21">
        <v>10</v>
      </c>
      <c r="L23" s="21" t="s">
        <v>703</v>
      </c>
      <c r="M23" s="6" t="s">
        <v>723</v>
      </c>
      <c r="N23" s="6" t="s">
        <v>731</v>
      </c>
      <c r="O23" s="6" t="s">
        <v>691</v>
      </c>
      <c r="P23" s="6"/>
      <c r="Q23" s="27"/>
      <c r="R23" s="28" t="s">
        <v>692</v>
      </c>
      <c r="S23" s="6" t="s">
        <v>692</v>
      </c>
      <c r="T23" s="1">
        <v>37.847000000000001</v>
      </c>
      <c r="U23" s="1">
        <v>64.3399</v>
      </c>
      <c r="V23" s="1">
        <v>64.3399</v>
      </c>
      <c r="W23" s="1">
        <v>64.3399</v>
      </c>
      <c r="X23" s="1">
        <v>0</v>
      </c>
      <c r="Y23" s="1">
        <f>AVERAGE(U23:X23)</f>
        <v>48.254925</v>
      </c>
      <c r="Z23" s="10" t="s">
        <v>693</v>
      </c>
      <c r="AA23" s="10" t="s">
        <v>693</v>
      </c>
      <c r="AB23" s="10" t="s">
        <v>693</v>
      </c>
      <c r="AC23" s="10" t="s">
        <v>693</v>
      </c>
      <c r="AD23" s="10" t="s">
        <v>693</v>
      </c>
      <c r="AE23" s="10" t="s">
        <v>693</v>
      </c>
      <c r="AF23" s="10" t="s">
        <v>693</v>
      </c>
      <c r="AG23" s="38">
        <f>COUNTIF(Z23:AF23,"X")/7</f>
        <v>1</v>
      </c>
      <c r="AH23" s="51">
        <f>IF(AG23=100%,Y23," ")</f>
        <v>48.254925</v>
      </c>
      <c r="AI23" s="64">
        <v>1</v>
      </c>
      <c r="AJ23" s="1" t="s">
        <v>732</v>
      </c>
      <c r="AK23" s="65">
        <v>0</v>
      </c>
      <c r="AL23" s="1"/>
      <c r="AM23" s="1"/>
    </row>
    <row r="24" spans="1:39" s="26" customFormat="1" hidden="1" x14ac:dyDescent="0.3">
      <c r="A24" s="22" t="s">
        <v>174</v>
      </c>
      <c r="B24" s="2" t="s">
        <v>49</v>
      </c>
      <c r="C24" s="21">
        <v>4.75</v>
      </c>
      <c r="D24" s="23">
        <v>1230</v>
      </c>
      <c r="E24" s="23" t="s">
        <v>545</v>
      </c>
      <c r="F24" s="74"/>
      <c r="G24" s="3" t="s">
        <v>733</v>
      </c>
      <c r="H24" s="4"/>
      <c r="I24" s="6" t="s">
        <v>687</v>
      </c>
      <c r="J24" s="4">
        <v>69</v>
      </c>
      <c r="K24" s="5">
        <v>23</v>
      </c>
      <c r="L24" s="5" t="s">
        <v>74</v>
      </c>
      <c r="M24" s="4" t="s">
        <v>734</v>
      </c>
      <c r="N24" s="4"/>
      <c r="O24" s="4" t="s">
        <v>691</v>
      </c>
      <c r="P24" s="4"/>
      <c r="Q24" s="24"/>
      <c r="R24" s="25" t="s">
        <v>692</v>
      </c>
      <c r="S24" s="6" t="s">
        <v>55</v>
      </c>
      <c r="T24" s="1">
        <v>32.226783000000005</v>
      </c>
      <c r="U24" s="1">
        <v>39.979973999999999</v>
      </c>
      <c r="V24" s="1">
        <v>48.200176999999996</v>
      </c>
      <c r="W24" s="1">
        <v>57.076854000000004</v>
      </c>
      <c r="X24" s="1">
        <v>46.419592999999999</v>
      </c>
      <c r="Y24" s="1">
        <f>AVERAGE(U24:X24)</f>
        <v>47.919149499999996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>
        <v>27</v>
      </c>
      <c r="AJ24" s="62" t="s">
        <v>735</v>
      </c>
      <c r="AK24" s="65">
        <v>0</v>
      </c>
      <c r="AL24" s="1"/>
      <c r="AM24" s="1"/>
    </row>
    <row r="25" spans="1:39" s="26" customFormat="1" hidden="1" x14ac:dyDescent="0.3">
      <c r="A25" s="22" t="s">
        <v>737</v>
      </c>
      <c r="B25" s="2" t="s">
        <v>49</v>
      </c>
      <c r="C25" s="21">
        <v>5.8</v>
      </c>
      <c r="D25" s="23">
        <v>1500</v>
      </c>
      <c r="E25" s="23"/>
      <c r="F25" s="28" t="s">
        <v>230</v>
      </c>
      <c r="G25" s="3" t="s">
        <v>738</v>
      </c>
      <c r="H25" s="6"/>
      <c r="I25" s="6" t="s">
        <v>687</v>
      </c>
      <c r="J25" s="6">
        <v>69</v>
      </c>
      <c r="K25" s="21">
        <v>24</v>
      </c>
      <c r="L25" s="21" t="s">
        <v>74</v>
      </c>
      <c r="M25" s="6" t="s">
        <v>704</v>
      </c>
      <c r="N25" s="6" t="s">
        <v>739</v>
      </c>
      <c r="O25" s="6" t="s">
        <v>691</v>
      </c>
      <c r="P25" s="6"/>
      <c r="Q25" s="27"/>
      <c r="R25" s="28" t="s">
        <v>692</v>
      </c>
      <c r="S25" s="6" t="s">
        <v>55</v>
      </c>
      <c r="T25" s="1">
        <v>19.859119</v>
      </c>
      <c r="U25" s="1">
        <v>41.276130000000002</v>
      </c>
      <c r="V25" s="1">
        <v>50.385895000000005</v>
      </c>
      <c r="W25" s="1">
        <v>46.958779</v>
      </c>
      <c r="X25" s="1">
        <v>44.389449999999997</v>
      </c>
      <c r="Y25" s="1">
        <f>AVERAGE(U25:X25)</f>
        <v>45.752563499999994</v>
      </c>
      <c r="Z25" s="10" t="s">
        <v>693</v>
      </c>
      <c r="AA25" s="10" t="s">
        <v>693</v>
      </c>
      <c r="AB25" s="10" t="s">
        <v>693</v>
      </c>
      <c r="AC25" s="10" t="s">
        <v>693</v>
      </c>
      <c r="AD25" s="10" t="s">
        <v>693</v>
      </c>
      <c r="AE25" s="10" t="s">
        <v>693</v>
      </c>
      <c r="AF25" s="10" t="s">
        <v>693</v>
      </c>
      <c r="AG25" s="38">
        <f>COUNTIF(Z25:AF25,"X")/7</f>
        <v>1</v>
      </c>
      <c r="AH25" s="51">
        <f>IF(AG25=100%,Y25," ")</f>
        <v>45.752563499999994</v>
      </c>
      <c r="AI25" s="64">
        <v>3</v>
      </c>
      <c r="AJ25" s="62" t="s">
        <v>740</v>
      </c>
      <c r="AK25" s="65">
        <v>33738.160000000003</v>
      </c>
      <c r="AL25" s="1"/>
      <c r="AM25" s="1"/>
    </row>
    <row r="26" spans="1:39" s="26" customFormat="1" hidden="1" x14ac:dyDescent="0.3">
      <c r="A26" s="22" t="s">
        <v>742</v>
      </c>
      <c r="B26" s="2" t="s">
        <v>49</v>
      </c>
      <c r="C26" s="21">
        <v>6.8</v>
      </c>
      <c r="D26" s="23">
        <v>1500</v>
      </c>
      <c r="E26" s="23" t="s">
        <v>545</v>
      </c>
      <c r="F26" s="28" t="s">
        <v>743</v>
      </c>
      <c r="G26" s="3" t="s">
        <v>738</v>
      </c>
      <c r="H26" s="6"/>
      <c r="I26" s="6" t="s">
        <v>687</v>
      </c>
      <c r="J26" s="6">
        <v>69</v>
      </c>
      <c r="K26" s="21">
        <v>26</v>
      </c>
      <c r="L26" s="21" t="s">
        <v>52</v>
      </c>
      <c r="M26" s="6" t="s">
        <v>704</v>
      </c>
      <c r="N26" s="6" t="s">
        <v>744</v>
      </c>
      <c r="O26" s="6" t="s">
        <v>691</v>
      </c>
      <c r="P26" s="6"/>
      <c r="Q26" s="27"/>
      <c r="R26" s="28" t="s">
        <v>692</v>
      </c>
      <c r="S26" s="6" t="s">
        <v>55</v>
      </c>
      <c r="T26" s="1">
        <v>19.28565</v>
      </c>
      <c r="U26" s="1">
        <v>40.0839</v>
      </c>
      <c r="V26" s="1">
        <v>48.932610000000004</v>
      </c>
      <c r="W26" s="1">
        <v>45.604890000000005</v>
      </c>
      <c r="X26" s="1">
        <v>43.109100000000005</v>
      </c>
      <c r="Y26" s="1">
        <f>AVERAGE(U26:X26)</f>
        <v>44.432625000000009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/>
      <c r="AJ26" s="1"/>
      <c r="AK26" s="65">
        <v>0</v>
      </c>
      <c r="AL26" s="1"/>
      <c r="AM26" s="1"/>
    </row>
    <row r="27" spans="1:39" s="26" customFormat="1" hidden="1" x14ac:dyDescent="0.3">
      <c r="A27" s="19" t="s">
        <v>1089</v>
      </c>
      <c r="B27" s="21" t="s">
        <v>40</v>
      </c>
      <c r="C27" s="21">
        <v>1</v>
      </c>
      <c r="D27" s="23">
        <v>1050</v>
      </c>
      <c r="E27" s="23"/>
      <c r="F27" s="23"/>
      <c r="G27" s="20" t="s">
        <v>1090</v>
      </c>
      <c r="H27" s="6"/>
      <c r="I27" s="6" t="s">
        <v>1091</v>
      </c>
      <c r="J27" s="6">
        <v>90</v>
      </c>
      <c r="K27" s="21">
        <v>10</v>
      </c>
      <c r="L27" s="21" t="s">
        <v>71</v>
      </c>
      <c r="M27" s="6" t="s">
        <v>195</v>
      </c>
      <c r="N27" s="35" t="s">
        <v>46</v>
      </c>
      <c r="O27" s="6">
        <v>12</v>
      </c>
      <c r="P27" s="6"/>
      <c r="Q27" s="27"/>
      <c r="R27" s="28" t="s">
        <v>108</v>
      </c>
      <c r="S27" s="6"/>
      <c r="T27" s="1">
        <v>44.7393</v>
      </c>
      <c r="U27" s="1">
        <v>48.229599999999998</v>
      </c>
      <c r="V27" s="1">
        <v>50.450699999999998</v>
      </c>
      <c r="W27" s="1">
        <v>21.2591</v>
      </c>
      <c r="X27" s="1">
        <v>52.989100000000001</v>
      </c>
      <c r="Y27" s="1">
        <f>AVERAGE(U27:X27)</f>
        <v>43.232124999999996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ht="20.399999999999999" x14ac:dyDescent="0.3">
      <c r="A28" s="22" t="s">
        <v>72</v>
      </c>
      <c r="B28" s="2" t="s">
        <v>49</v>
      </c>
      <c r="C28" s="21">
        <v>5.75</v>
      </c>
      <c r="D28" s="23">
        <v>1200</v>
      </c>
      <c r="E28" s="23" t="s">
        <v>41</v>
      </c>
      <c r="F28" s="23"/>
      <c r="G28" s="3" t="s">
        <v>73</v>
      </c>
      <c r="H28" s="10" t="s">
        <v>41</v>
      </c>
      <c r="I28" s="10"/>
      <c r="J28" s="6"/>
      <c r="K28" s="21"/>
      <c r="L28" s="21" t="s">
        <v>74</v>
      </c>
      <c r="M28" s="6" t="s">
        <v>75</v>
      </c>
      <c r="N28" s="6" t="s">
        <v>76</v>
      </c>
      <c r="O28" s="12" t="s">
        <v>691</v>
      </c>
      <c r="P28" s="10" t="s">
        <v>47</v>
      </c>
      <c r="Q28" s="29" t="s">
        <v>47</v>
      </c>
      <c r="R28" s="27" t="s">
        <v>47</v>
      </c>
      <c r="S28" s="10" t="s">
        <v>55</v>
      </c>
      <c r="T28" s="13">
        <v>24.0702</v>
      </c>
      <c r="U28" s="13">
        <v>42.526631999999999</v>
      </c>
      <c r="V28" s="13">
        <v>48.189152</v>
      </c>
      <c r="W28" s="13">
        <v>36.419423999999999</v>
      </c>
      <c r="X28" s="13">
        <v>42.402071999999997</v>
      </c>
      <c r="Y28" s="1">
        <f>AVERAGE(U28:X28)</f>
        <v>42.384320000000002</v>
      </c>
      <c r="Z28" s="10" t="s">
        <v>693</v>
      </c>
      <c r="AA28" s="10" t="s">
        <v>693</v>
      </c>
      <c r="AB28" s="10"/>
      <c r="AC28" s="10" t="s">
        <v>693</v>
      </c>
      <c r="AD28" s="10" t="s">
        <v>693</v>
      </c>
      <c r="AE28" s="10" t="s">
        <v>693</v>
      </c>
      <c r="AF28" s="10" t="s">
        <v>693</v>
      </c>
      <c r="AG28" s="38">
        <f>COUNTIF(Z28:AF28,"X")/7</f>
        <v>0.8571428571428571</v>
      </c>
      <c r="AH28" s="51" t="str">
        <f>IF(AG28=100%,Y28," ")</f>
        <v xml:space="preserve"> </v>
      </c>
      <c r="AI28" s="64">
        <v>2</v>
      </c>
      <c r="AJ28" s="1" t="s">
        <v>1404</v>
      </c>
      <c r="AK28" s="65">
        <v>3652.75</v>
      </c>
      <c r="AL28" s="1"/>
      <c r="AM28" s="62" t="s">
        <v>1405</v>
      </c>
    </row>
    <row r="29" spans="1:39" s="26" customFormat="1" x14ac:dyDescent="0.3">
      <c r="A29" s="22" t="s">
        <v>77</v>
      </c>
      <c r="B29" s="2" t="s">
        <v>78</v>
      </c>
      <c r="C29" s="21">
        <v>1.8</v>
      </c>
      <c r="D29" s="23">
        <v>750</v>
      </c>
      <c r="E29" s="23">
        <v>640</v>
      </c>
      <c r="F29" s="23"/>
      <c r="G29" s="3" t="s">
        <v>79</v>
      </c>
      <c r="H29" s="12">
        <v>34025705</v>
      </c>
      <c r="I29" s="10"/>
      <c r="J29" s="4"/>
      <c r="K29" s="5"/>
      <c r="L29" s="5" t="s">
        <v>64</v>
      </c>
      <c r="M29" s="4" t="s">
        <v>80</v>
      </c>
      <c r="N29" s="36" t="s">
        <v>46</v>
      </c>
      <c r="O29" s="12" t="s">
        <v>691</v>
      </c>
      <c r="P29" s="12" t="s">
        <v>47</v>
      </c>
      <c r="Q29" s="30" t="s">
        <v>47</v>
      </c>
      <c r="R29" s="27" t="s">
        <v>47</v>
      </c>
      <c r="S29" s="10" t="s">
        <v>47</v>
      </c>
      <c r="T29" s="13">
        <v>41.85472</v>
      </c>
      <c r="U29" s="13">
        <v>47.74054000000001</v>
      </c>
      <c r="V29" s="13">
        <v>48.394520000000007</v>
      </c>
      <c r="W29" s="13">
        <v>29.429100000000002</v>
      </c>
      <c r="X29" s="13">
        <v>42.508699999999997</v>
      </c>
      <c r="Y29" s="1">
        <f>AVERAGE(U29:X29)</f>
        <v>42.018215000000005</v>
      </c>
      <c r="Z29" s="10"/>
      <c r="AA29" s="10"/>
      <c r="AB29" s="10"/>
      <c r="AC29" s="10"/>
      <c r="AD29" s="10"/>
      <c r="AE29" s="10"/>
      <c r="AF29" s="10"/>
      <c r="AG29" s="38">
        <f>COUNTIF(Z29:AF29,"X")/7</f>
        <v>0</v>
      </c>
      <c r="AH29" s="51" t="str">
        <f>IF(AG29=100%,Y29," ")</f>
        <v xml:space="preserve"> </v>
      </c>
      <c r="AI29" s="64">
        <v>2</v>
      </c>
      <c r="AJ29" s="1" t="s">
        <v>1410</v>
      </c>
      <c r="AK29" s="65">
        <v>0</v>
      </c>
      <c r="AL29" s="1"/>
      <c r="AM29" s="1"/>
    </row>
    <row r="30" spans="1:39" s="26" customFormat="1" hidden="1" x14ac:dyDescent="0.3">
      <c r="A30" s="22" t="s">
        <v>759</v>
      </c>
      <c r="B30" s="2" t="s">
        <v>49</v>
      </c>
      <c r="C30" s="21">
        <v>6</v>
      </c>
      <c r="D30" s="23">
        <v>1110</v>
      </c>
      <c r="E30" s="23"/>
      <c r="F30" s="28"/>
      <c r="G30" s="3" t="s">
        <v>760</v>
      </c>
      <c r="H30" s="4"/>
      <c r="I30" s="4" t="s">
        <v>687</v>
      </c>
      <c r="J30" s="4">
        <v>59</v>
      </c>
      <c r="K30" s="5">
        <v>23</v>
      </c>
      <c r="L30" s="5" t="s">
        <v>74</v>
      </c>
      <c r="M30" s="4" t="s">
        <v>761</v>
      </c>
      <c r="N30" s="6"/>
      <c r="O30" s="6" t="s">
        <v>756</v>
      </c>
      <c r="P30" s="4"/>
      <c r="Q30" s="24"/>
      <c r="R30" s="25" t="s">
        <v>692</v>
      </c>
      <c r="S30" s="4" t="s">
        <v>55</v>
      </c>
      <c r="T30" s="1">
        <v>28.262699999999999</v>
      </c>
      <c r="U30" s="1">
        <v>29.677440000000001</v>
      </c>
      <c r="V30" s="1">
        <v>43.257599999999996</v>
      </c>
      <c r="W30" s="1">
        <v>40.234240000000007</v>
      </c>
      <c r="X30" s="1">
        <v>42.42687999999999</v>
      </c>
      <c r="Y30" s="1">
        <f>AVERAGE(U30:X30)</f>
        <v>38.899039999999999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3" t="s">
        <v>81</v>
      </c>
      <c r="B31" s="2" t="s">
        <v>68</v>
      </c>
      <c r="C31" s="21">
        <v>1</v>
      </c>
      <c r="D31" s="23">
        <v>1200</v>
      </c>
      <c r="E31" s="23" t="s">
        <v>41</v>
      </c>
      <c r="F31" s="23" t="s">
        <v>82</v>
      </c>
      <c r="G31" s="3" t="s">
        <v>83</v>
      </c>
      <c r="H31" s="12" t="s">
        <v>41</v>
      </c>
      <c r="I31" s="10"/>
      <c r="J31" s="4"/>
      <c r="K31" s="5"/>
      <c r="L31" s="5" t="s">
        <v>52</v>
      </c>
      <c r="M31" s="4" t="s">
        <v>84</v>
      </c>
      <c r="N31" s="4" t="s">
        <v>85</v>
      </c>
      <c r="O31" s="12" t="s">
        <v>691</v>
      </c>
      <c r="P31" s="12" t="s">
        <v>47</v>
      </c>
      <c r="Q31" s="30" t="s">
        <v>47</v>
      </c>
      <c r="R31" s="27" t="s">
        <v>47</v>
      </c>
      <c r="S31" s="10" t="s">
        <v>47</v>
      </c>
      <c r="T31" s="13">
        <v>31.936499999999995</v>
      </c>
      <c r="U31" s="13">
        <v>32.148000000000003</v>
      </c>
      <c r="V31" s="13">
        <v>55.339680000000001</v>
      </c>
      <c r="W31" s="13">
        <v>31.02</v>
      </c>
      <c r="X31" s="13">
        <v>34.742400000000004</v>
      </c>
      <c r="Y31" s="1">
        <f>AVERAGE(U31:X31)</f>
        <v>38.312520000000006</v>
      </c>
      <c r="Z31" s="10" t="s">
        <v>693</v>
      </c>
      <c r="AA31" s="10" t="s">
        <v>693</v>
      </c>
      <c r="AB31" s="10" t="s">
        <v>693</v>
      </c>
      <c r="AC31" s="10" t="s">
        <v>693</v>
      </c>
      <c r="AD31" s="10" t="s">
        <v>693</v>
      </c>
      <c r="AE31" s="10" t="s">
        <v>693</v>
      </c>
      <c r="AF31" s="10" t="s">
        <v>693</v>
      </c>
      <c r="AG31" s="38">
        <f>COUNTIF(Z31:AF31,"X")/7</f>
        <v>1</v>
      </c>
      <c r="AH31" s="51">
        <f>IF(AG31=100%,Y31," ")</f>
        <v>38.312520000000006</v>
      </c>
      <c r="AI31" s="64">
        <v>2</v>
      </c>
      <c r="AJ31" s="1" t="s">
        <v>1406</v>
      </c>
      <c r="AK31" s="65">
        <v>17501.82</v>
      </c>
      <c r="AL31" s="1"/>
      <c r="AM31" s="1" t="s">
        <v>1398</v>
      </c>
    </row>
    <row r="32" spans="1:39" s="26" customFormat="1" hidden="1" x14ac:dyDescent="0.3">
      <c r="A32" s="22" t="s">
        <v>762</v>
      </c>
      <c r="B32" s="2" t="s">
        <v>49</v>
      </c>
      <c r="C32" s="21">
        <v>8.75</v>
      </c>
      <c r="D32" s="23">
        <v>1400</v>
      </c>
      <c r="E32" s="23"/>
      <c r="F32" s="28"/>
      <c r="G32" s="3" t="s">
        <v>763</v>
      </c>
      <c r="H32" s="4"/>
      <c r="I32" s="4"/>
      <c r="J32" s="4">
        <v>63</v>
      </c>
      <c r="K32" s="5"/>
      <c r="L32" s="5" t="s">
        <v>764</v>
      </c>
      <c r="M32" s="4" t="s">
        <v>704</v>
      </c>
      <c r="N32" s="4" t="s">
        <v>765</v>
      </c>
      <c r="O32" s="4" t="s">
        <v>756</v>
      </c>
      <c r="P32" s="4"/>
      <c r="Q32" s="24"/>
      <c r="R32" s="25" t="s">
        <v>692</v>
      </c>
      <c r="S32" s="4"/>
      <c r="T32" s="1">
        <v>7.8260800000000001</v>
      </c>
      <c r="U32" s="1">
        <v>33.976639999999996</v>
      </c>
      <c r="V32" s="1">
        <v>37.794239999999995</v>
      </c>
      <c r="W32" s="1">
        <v>36.458080000000002</v>
      </c>
      <c r="X32" s="1">
        <v>41.420960000000001</v>
      </c>
      <c r="Y32" s="1">
        <f>AVERAGE(U32:X32)</f>
        <v>37.412480000000002</v>
      </c>
      <c r="Z32" s="10"/>
      <c r="AA32" s="10"/>
      <c r="AB32" s="10"/>
      <c r="AC32" s="10"/>
      <c r="AD32" s="10"/>
      <c r="AE32" s="10"/>
      <c r="AF32" s="10"/>
      <c r="AG32" s="38">
        <f>COUNTIF(Z32:AF32,"X")/7</f>
        <v>0</v>
      </c>
      <c r="AH32" s="51" t="str">
        <f>IF(AG32=100%,Y32," ")</f>
        <v xml:space="preserve"> </v>
      </c>
      <c r="AI32" s="64"/>
      <c r="AJ32" s="1"/>
      <c r="AK32" s="65">
        <v>0</v>
      </c>
      <c r="AL32" s="1"/>
      <c r="AM32" s="1"/>
    </row>
    <row r="33" spans="1:39" s="26" customFormat="1" hidden="1" x14ac:dyDescent="0.3">
      <c r="A33" s="19" t="s">
        <v>1092</v>
      </c>
      <c r="B33" s="21" t="s">
        <v>40</v>
      </c>
      <c r="C33" s="21">
        <v>1.4</v>
      </c>
      <c r="D33" s="23">
        <v>575</v>
      </c>
      <c r="E33" s="23">
        <v>517</v>
      </c>
      <c r="F33" s="23" t="s">
        <v>1093</v>
      </c>
      <c r="G33" s="20" t="s">
        <v>1094</v>
      </c>
      <c r="H33" s="6"/>
      <c r="I33" s="6" t="s">
        <v>1078</v>
      </c>
      <c r="J33" s="6">
        <v>69</v>
      </c>
      <c r="K33" s="21"/>
      <c r="L33" s="21" t="s">
        <v>1095</v>
      </c>
      <c r="M33" s="6" t="s">
        <v>195</v>
      </c>
      <c r="N33" s="6">
        <v>246</v>
      </c>
      <c r="O33" s="6"/>
      <c r="P33" s="6"/>
      <c r="Q33" s="27"/>
      <c r="R33" s="28" t="s">
        <v>108</v>
      </c>
      <c r="S33" s="6"/>
      <c r="T33" s="1">
        <v>44.204160000000002</v>
      </c>
      <c r="U33" s="1">
        <v>33.633600000000001</v>
      </c>
      <c r="V33" s="1">
        <v>44.204160000000002</v>
      </c>
      <c r="W33" s="1">
        <v>33.633600000000001</v>
      </c>
      <c r="X33" s="1">
        <v>34.594560000000008</v>
      </c>
      <c r="Y33" s="1">
        <f>AVERAGE(U33:X33)</f>
        <v>36.516480000000001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86</v>
      </c>
      <c r="B34" s="2" t="s">
        <v>40</v>
      </c>
      <c r="C34" s="21">
        <v>1.8</v>
      </c>
      <c r="D34" s="23">
        <v>1450</v>
      </c>
      <c r="E34" s="23" t="s">
        <v>41</v>
      </c>
      <c r="F34" s="23" t="s">
        <v>87</v>
      </c>
      <c r="G34" s="3" t="s">
        <v>88</v>
      </c>
      <c r="H34" s="10">
        <v>34029203</v>
      </c>
      <c r="I34" s="10"/>
      <c r="J34" s="6"/>
      <c r="K34" s="21"/>
      <c r="L34" s="21" t="s">
        <v>44</v>
      </c>
      <c r="M34" s="6" t="s">
        <v>45</v>
      </c>
      <c r="N34" s="35" t="s">
        <v>46</v>
      </c>
      <c r="O34" s="12" t="s">
        <v>691</v>
      </c>
      <c r="P34" s="10" t="s">
        <v>47</v>
      </c>
      <c r="Q34" s="29" t="s">
        <v>47</v>
      </c>
      <c r="R34" s="27" t="s">
        <v>47</v>
      </c>
      <c r="S34" s="10" t="s">
        <v>47</v>
      </c>
      <c r="T34" s="13">
        <v>34.166407</v>
      </c>
      <c r="U34" s="13">
        <v>40.171800000000005</v>
      </c>
      <c r="V34" s="13">
        <v>43.664999999999999</v>
      </c>
      <c r="W34" s="13">
        <v>13.972799999999999</v>
      </c>
      <c r="X34" s="13">
        <v>47.158199999999994</v>
      </c>
      <c r="Y34" s="1">
        <f>AVERAGE(U34:X34)</f>
        <v>36.241950000000003</v>
      </c>
      <c r="Z34" s="10" t="s">
        <v>693</v>
      </c>
      <c r="AA34" s="10" t="s">
        <v>693</v>
      </c>
      <c r="AB34" s="10" t="s">
        <v>693</v>
      </c>
      <c r="AC34" s="10" t="s">
        <v>693</v>
      </c>
      <c r="AD34" s="10"/>
      <c r="AE34" s="10"/>
      <c r="AF34" s="10" t="s">
        <v>693</v>
      </c>
      <c r="AG34" s="38">
        <f>COUNTIF(Z34:AF34,"X")/7</f>
        <v>0.7142857142857143</v>
      </c>
      <c r="AH34" s="51" t="str">
        <f>IF(AG34=100%,Y34," ")</f>
        <v xml:space="preserve"> </v>
      </c>
      <c r="AI34" s="64">
        <v>2</v>
      </c>
      <c r="AJ34" s="1" t="s">
        <v>1408</v>
      </c>
      <c r="AK34" s="65">
        <v>12810.71</v>
      </c>
      <c r="AL34" s="1"/>
      <c r="AM34" s="1" t="s">
        <v>1407</v>
      </c>
    </row>
    <row r="35" spans="1:39" s="26" customFormat="1" hidden="1" x14ac:dyDescent="0.3">
      <c r="A35" s="19" t="s">
        <v>1096</v>
      </c>
      <c r="B35" s="21" t="s">
        <v>40</v>
      </c>
      <c r="C35" s="21">
        <v>1.75</v>
      </c>
      <c r="D35" s="23">
        <v>300</v>
      </c>
      <c r="E35" s="23"/>
      <c r="F35" s="23" t="s">
        <v>1076</v>
      </c>
      <c r="G35" s="20" t="s">
        <v>1097</v>
      </c>
      <c r="H35" s="6"/>
      <c r="I35" s="6" t="s">
        <v>1078</v>
      </c>
      <c r="J35" s="6">
        <v>59</v>
      </c>
      <c r="K35" s="21">
        <v>1.8</v>
      </c>
      <c r="L35" s="21" t="s">
        <v>1073</v>
      </c>
      <c r="M35" s="6" t="s">
        <v>195</v>
      </c>
      <c r="N35" s="6" t="s">
        <v>1098</v>
      </c>
      <c r="O35" s="6">
        <v>10</v>
      </c>
      <c r="P35" s="6"/>
      <c r="Q35" s="27"/>
      <c r="R35" s="28" t="s">
        <v>108</v>
      </c>
      <c r="S35" s="6"/>
      <c r="T35" s="1">
        <v>41.235999999999997</v>
      </c>
      <c r="U35" s="1">
        <v>36.3688</v>
      </c>
      <c r="V35" s="1">
        <v>35.152000000000001</v>
      </c>
      <c r="W35" s="1">
        <v>36.3688</v>
      </c>
      <c r="X35" s="1">
        <v>36.3688</v>
      </c>
      <c r="Y35" s="1">
        <f>AVERAGE(U35:X35)</f>
        <v>36.064599999999999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hidden="1" x14ac:dyDescent="0.3">
      <c r="A36" s="19" t="s">
        <v>1099</v>
      </c>
      <c r="B36" s="21" t="s">
        <v>40</v>
      </c>
      <c r="C36" s="21">
        <v>0.7</v>
      </c>
      <c r="D36" s="23">
        <v>1500</v>
      </c>
      <c r="E36" s="23"/>
      <c r="F36" s="23"/>
      <c r="G36" s="20" t="s">
        <v>1100</v>
      </c>
      <c r="H36" s="6"/>
      <c r="I36" s="6" t="s">
        <v>1078</v>
      </c>
      <c r="J36" s="6">
        <v>59</v>
      </c>
      <c r="K36" s="21">
        <v>9</v>
      </c>
      <c r="L36" s="21" t="s">
        <v>1073</v>
      </c>
      <c r="M36" s="6" t="s">
        <v>195</v>
      </c>
      <c r="N36" s="6" t="s">
        <v>160</v>
      </c>
      <c r="O36" s="6">
        <v>10</v>
      </c>
      <c r="P36" s="6"/>
      <c r="Q36" s="27"/>
      <c r="R36" s="28" t="s">
        <v>108</v>
      </c>
      <c r="S36" s="6"/>
      <c r="T36" s="1">
        <v>33.031776000000008</v>
      </c>
      <c r="U36" s="1">
        <v>35.58672</v>
      </c>
      <c r="V36" s="1">
        <v>37.594175999999997</v>
      </c>
      <c r="W36" s="1">
        <v>26.826912</v>
      </c>
      <c r="X36" s="1">
        <v>40.514112000000004</v>
      </c>
      <c r="Y36" s="1">
        <f>AVERAGE(U36:X36)</f>
        <v>35.130479999999999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hidden="1" x14ac:dyDescent="0.3">
      <c r="A37" s="19" t="s">
        <v>1101</v>
      </c>
      <c r="B37" s="21" t="s">
        <v>40</v>
      </c>
      <c r="C37" s="21">
        <v>1.2</v>
      </c>
      <c r="D37" s="23">
        <v>1250</v>
      </c>
      <c r="E37" s="23"/>
      <c r="F37" s="23" t="s">
        <v>1082</v>
      </c>
      <c r="G37" s="20" t="s">
        <v>1102</v>
      </c>
      <c r="H37" s="6"/>
      <c r="I37" s="6" t="s">
        <v>1078</v>
      </c>
      <c r="J37" s="6">
        <v>59</v>
      </c>
      <c r="K37" s="21">
        <v>7</v>
      </c>
      <c r="L37" s="21" t="s">
        <v>1073</v>
      </c>
      <c r="M37" s="6" t="s">
        <v>195</v>
      </c>
      <c r="N37" s="6" t="s">
        <v>160</v>
      </c>
      <c r="O37" s="6">
        <v>10</v>
      </c>
      <c r="P37" s="6"/>
      <c r="Q37" s="27"/>
      <c r="R37" s="28" t="s">
        <v>108</v>
      </c>
      <c r="S37" s="6"/>
      <c r="T37" s="1">
        <v>35.594999999999999</v>
      </c>
      <c r="U37" s="1">
        <v>34.578000000000003</v>
      </c>
      <c r="V37" s="1">
        <v>37.628999999999998</v>
      </c>
      <c r="W37" s="1">
        <v>26.442</v>
      </c>
      <c r="X37" s="1">
        <v>40.68</v>
      </c>
      <c r="Y37" s="1">
        <f>AVERAGE(U37:X37)</f>
        <v>34.832250000000002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ht="20.399999999999999" x14ac:dyDescent="0.3">
      <c r="A38" s="22" t="s">
        <v>89</v>
      </c>
      <c r="B38" s="2" t="s">
        <v>40</v>
      </c>
      <c r="C38" s="21">
        <v>0.65</v>
      </c>
      <c r="D38" s="23">
        <v>1050</v>
      </c>
      <c r="E38" s="23" t="s">
        <v>41</v>
      </c>
      <c r="F38" s="23"/>
      <c r="G38" s="3" t="s">
        <v>90</v>
      </c>
      <c r="H38" s="12" t="s">
        <v>41</v>
      </c>
      <c r="I38" s="10"/>
      <c r="J38" s="4"/>
      <c r="K38" s="5"/>
      <c r="L38" s="5" t="s">
        <v>52</v>
      </c>
      <c r="M38" s="4" t="s">
        <v>84</v>
      </c>
      <c r="N38" s="4"/>
      <c r="O38" s="12" t="s">
        <v>691</v>
      </c>
      <c r="P38" s="12" t="s">
        <v>47</v>
      </c>
      <c r="Q38" s="30" t="s">
        <v>47</v>
      </c>
      <c r="R38" s="27" t="s">
        <v>47</v>
      </c>
      <c r="S38" s="10" t="s">
        <v>47</v>
      </c>
      <c r="T38" s="13">
        <v>25.185120000000001</v>
      </c>
      <c r="U38" s="13">
        <v>33.347760000000001</v>
      </c>
      <c r="V38" s="13">
        <v>38.936480000000003</v>
      </c>
      <c r="W38" s="13">
        <v>30.33296</v>
      </c>
      <c r="X38" s="13">
        <v>31.623840000000001</v>
      </c>
      <c r="Y38" s="1">
        <f>AVERAGE(U38:X38)</f>
        <v>33.56026</v>
      </c>
      <c r="Z38" s="10" t="s">
        <v>693</v>
      </c>
      <c r="AA38" s="10" t="s">
        <v>693</v>
      </c>
      <c r="AB38" s="10" t="s">
        <v>693</v>
      </c>
      <c r="AC38" s="10" t="s">
        <v>693</v>
      </c>
      <c r="AD38" s="10"/>
      <c r="AE38" s="10"/>
      <c r="AF38" s="10" t="s">
        <v>693</v>
      </c>
      <c r="AG38" s="38">
        <f>COUNTIF(Z38:AF38,"X")/7</f>
        <v>0.7142857142857143</v>
      </c>
      <c r="AH38" s="51" t="str">
        <f>IF(AG38=100%,Y38," ")</f>
        <v xml:space="preserve"> </v>
      </c>
      <c r="AI38" s="64">
        <v>6</v>
      </c>
      <c r="AJ38" s="2" t="s">
        <v>1411</v>
      </c>
      <c r="AK38" s="65">
        <v>0</v>
      </c>
      <c r="AL38" s="1"/>
      <c r="AM38" s="1" t="s">
        <v>1412</v>
      </c>
    </row>
    <row r="39" spans="1:39" s="26" customFormat="1" hidden="1" x14ac:dyDescent="0.3">
      <c r="A39" s="19" t="s">
        <v>1103</v>
      </c>
      <c r="B39" s="21" t="s">
        <v>40</v>
      </c>
      <c r="C39" s="21">
        <v>1.4</v>
      </c>
      <c r="D39" s="23">
        <v>312</v>
      </c>
      <c r="E39" s="23">
        <v>950</v>
      </c>
      <c r="F39" s="23" t="s">
        <v>1104</v>
      </c>
      <c r="G39" s="20" t="s">
        <v>1087</v>
      </c>
      <c r="H39" s="6"/>
      <c r="I39" s="6" t="s">
        <v>1084</v>
      </c>
      <c r="J39" s="6">
        <v>60</v>
      </c>
      <c r="K39" s="21"/>
      <c r="L39" s="21" t="s">
        <v>1085</v>
      </c>
      <c r="M39" s="6" t="s">
        <v>195</v>
      </c>
      <c r="N39" s="6">
        <v>246</v>
      </c>
      <c r="O39" s="6"/>
      <c r="P39" s="6"/>
      <c r="Q39" s="27"/>
      <c r="R39" s="28" t="s">
        <v>108</v>
      </c>
      <c r="S39" s="6"/>
      <c r="T39" s="1">
        <v>39.994239999999998</v>
      </c>
      <c r="U39" s="1">
        <v>30.430399999999999</v>
      </c>
      <c r="V39" s="1">
        <v>39.994239999999998</v>
      </c>
      <c r="W39" s="1">
        <v>30.430399999999999</v>
      </c>
      <c r="X39" s="1">
        <v>31.29984</v>
      </c>
      <c r="Y39" s="1">
        <f>AVERAGE(U39:X39)</f>
        <v>33.038719999999998</v>
      </c>
      <c r="Z39" s="10"/>
      <c r="AA39" s="10"/>
      <c r="AB39" s="10"/>
      <c r="AC39" s="10"/>
      <c r="AD39" s="10"/>
      <c r="AE39" s="10"/>
      <c r="AF39" s="10"/>
      <c r="AG39" s="38">
        <f>COUNTIF(Z39:AF39,"X")/7</f>
        <v>0</v>
      </c>
      <c r="AH39" s="51" t="str">
        <f>IF(AG39=100%,Y39," ")</f>
        <v xml:space="preserve"> </v>
      </c>
      <c r="AI39" s="64"/>
      <c r="AJ39" s="1"/>
      <c r="AK39" s="65">
        <v>0</v>
      </c>
      <c r="AL39" s="1"/>
      <c r="AM39" s="1"/>
    </row>
    <row r="40" spans="1:39" s="26" customFormat="1" x14ac:dyDescent="0.3">
      <c r="A40" s="22" t="s">
        <v>91</v>
      </c>
      <c r="B40" s="2" t="s">
        <v>49</v>
      </c>
      <c r="C40" s="21">
        <v>6.3</v>
      </c>
      <c r="D40" s="23">
        <v>1200</v>
      </c>
      <c r="E40" s="23" t="s">
        <v>41</v>
      </c>
      <c r="F40" s="23"/>
      <c r="G40" s="3" t="s">
        <v>92</v>
      </c>
      <c r="H40" s="12" t="s">
        <v>41</v>
      </c>
      <c r="I40" s="12"/>
      <c r="J40" s="4"/>
      <c r="K40" s="5"/>
      <c r="L40" s="21" t="s">
        <v>74</v>
      </c>
      <c r="M40" s="4" t="s">
        <v>93</v>
      </c>
      <c r="N40" s="4" t="s">
        <v>94</v>
      </c>
      <c r="O40" s="12" t="s">
        <v>691</v>
      </c>
      <c r="P40" s="12" t="s">
        <v>47</v>
      </c>
      <c r="Q40" s="30" t="s">
        <v>47</v>
      </c>
      <c r="R40" s="27" t="s">
        <v>47</v>
      </c>
      <c r="S40" s="12" t="s">
        <v>55</v>
      </c>
      <c r="T40" s="13">
        <v>28.061085000000002</v>
      </c>
      <c r="U40" s="13">
        <v>27.691590000000005</v>
      </c>
      <c r="V40" s="13">
        <v>36.252684000000002</v>
      </c>
      <c r="W40" s="13">
        <v>33.390630000000002</v>
      </c>
      <c r="X40" s="13">
        <v>33.390630000000002</v>
      </c>
      <c r="Y40" s="1">
        <f>AVERAGE(U40:X40)</f>
        <v>32.681383500000003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x14ac:dyDescent="0.3">
      <c r="A41" s="22" t="s">
        <v>95</v>
      </c>
      <c r="B41" s="2" t="s">
        <v>78</v>
      </c>
      <c r="C41" s="21">
        <v>1.8</v>
      </c>
      <c r="D41" s="23">
        <v>400</v>
      </c>
      <c r="E41" s="23">
        <v>900</v>
      </c>
      <c r="F41" s="23"/>
      <c r="G41" s="3" t="s">
        <v>96</v>
      </c>
      <c r="H41" s="10">
        <v>34025704</v>
      </c>
      <c r="I41" s="10"/>
      <c r="J41" s="6"/>
      <c r="K41" s="21"/>
      <c r="L41" s="21" t="s">
        <v>64</v>
      </c>
      <c r="M41" s="6" t="s">
        <v>80</v>
      </c>
      <c r="N41" s="35" t="s">
        <v>46</v>
      </c>
      <c r="O41" s="12" t="s">
        <v>691</v>
      </c>
      <c r="P41" s="10" t="s">
        <v>47</v>
      </c>
      <c r="Q41" s="29" t="s">
        <v>47</v>
      </c>
      <c r="R41" s="27" t="s">
        <v>47</v>
      </c>
      <c r="S41" s="10" t="s">
        <v>47</v>
      </c>
      <c r="T41" s="13">
        <v>33.788051999999993</v>
      </c>
      <c r="U41" s="13">
        <v>35.502499999999998</v>
      </c>
      <c r="V41" s="13">
        <v>38.084499999999998</v>
      </c>
      <c r="W41" s="13">
        <v>16.783000000000001</v>
      </c>
      <c r="X41" s="13">
        <v>36.793500000000002</v>
      </c>
      <c r="Y41" s="1">
        <f>AVERAGE(U41:X41)</f>
        <v>31.790875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>
        <v>2</v>
      </c>
      <c r="AJ41" s="19" t="s">
        <v>1413</v>
      </c>
      <c r="AK41" s="65">
        <v>0</v>
      </c>
      <c r="AL41" s="1"/>
      <c r="AM41" s="1"/>
    </row>
    <row r="42" spans="1:39" s="26" customFormat="1" ht="30.6" x14ac:dyDescent="0.3">
      <c r="A42" s="22" t="s">
        <v>97</v>
      </c>
      <c r="B42" s="2" t="s">
        <v>40</v>
      </c>
      <c r="C42" s="21">
        <v>1.5</v>
      </c>
      <c r="D42" s="23">
        <v>1000</v>
      </c>
      <c r="E42" s="23" t="s">
        <v>41</v>
      </c>
      <c r="F42" s="23" t="s">
        <v>98</v>
      </c>
      <c r="G42" s="3" t="s">
        <v>99</v>
      </c>
      <c r="H42" s="12" t="s">
        <v>41</v>
      </c>
      <c r="I42" s="12"/>
      <c r="J42" s="4"/>
      <c r="K42" s="5"/>
      <c r="L42" s="5" t="s">
        <v>52</v>
      </c>
      <c r="M42" s="4" t="s">
        <v>84</v>
      </c>
      <c r="N42" s="4" t="s">
        <v>85</v>
      </c>
      <c r="O42" s="12" t="s">
        <v>691</v>
      </c>
      <c r="P42" s="12" t="s">
        <v>47</v>
      </c>
      <c r="Q42" s="30" t="s">
        <v>47</v>
      </c>
      <c r="R42" s="27" t="s">
        <v>47</v>
      </c>
      <c r="S42" s="12" t="s">
        <v>47</v>
      </c>
      <c r="T42" s="13">
        <v>26.850940000000001</v>
      </c>
      <c r="U42" s="13">
        <v>29.996158000000001</v>
      </c>
      <c r="V42" s="13">
        <v>38.147038000000002</v>
      </c>
      <c r="W42" s="13">
        <v>31.483694</v>
      </c>
      <c r="X42" s="13">
        <v>27.176200000000001</v>
      </c>
      <c r="Y42" s="1">
        <f>AVERAGE(U42:X42)</f>
        <v>31.700772499999999</v>
      </c>
      <c r="Z42" s="10" t="s">
        <v>693</v>
      </c>
      <c r="AA42" s="10" t="s">
        <v>693</v>
      </c>
      <c r="AB42" s="10" t="s">
        <v>693</v>
      </c>
      <c r="AC42" s="10" t="s">
        <v>693</v>
      </c>
      <c r="AD42" s="10"/>
      <c r="AE42" s="10"/>
      <c r="AF42" s="10" t="s">
        <v>693</v>
      </c>
      <c r="AG42" s="38">
        <f>COUNTIF(Z42:AF42,"X")/7</f>
        <v>0.7142857142857143</v>
      </c>
      <c r="AH42" s="51" t="str">
        <f>IF(AG42=100%,Y42," ")</f>
        <v xml:space="preserve"> </v>
      </c>
      <c r="AI42" s="64">
        <v>6</v>
      </c>
      <c r="AJ42" s="77" t="s">
        <v>1409</v>
      </c>
      <c r="AK42" s="65">
        <v>0</v>
      </c>
      <c r="AL42" s="1"/>
      <c r="AM42" s="1"/>
    </row>
    <row r="43" spans="1:39" s="26" customFormat="1" ht="20.399999999999999" x14ac:dyDescent="0.3">
      <c r="A43" s="22" t="s">
        <v>100</v>
      </c>
      <c r="B43" s="2" t="s">
        <v>40</v>
      </c>
      <c r="C43" s="21">
        <v>1</v>
      </c>
      <c r="D43" s="23">
        <v>1200</v>
      </c>
      <c r="E43" s="23" t="s">
        <v>41</v>
      </c>
      <c r="F43" s="23"/>
      <c r="G43" s="3" t="s">
        <v>101</v>
      </c>
      <c r="H43" s="10" t="s">
        <v>102</v>
      </c>
      <c r="I43" s="10"/>
      <c r="J43" s="6"/>
      <c r="K43" s="21"/>
      <c r="L43" s="21" t="s">
        <v>71</v>
      </c>
      <c r="M43" s="6" t="s">
        <v>45</v>
      </c>
      <c r="N43" s="35" t="s">
        <v>46</v>
      </c>
      <c r="O43" s="12" t="s">
        <v>691</v>
      </c>
      <c r="P43" s="10" t="s">
        <v>47</v>
      </c>
      <c r="Q43" s="29" t="s">
        <v>47</v>
      </c>
      <c r="R43" s="27" t="s">
        <v>47</v>
      </c>
      <c r="S43" s="10" t="s">
        <v>47</v>
      </c>
      <c r="T43" s="13">
        <v>33.5595</v>
      </c>
      <c r="U43" s="13">
        <v>36.140999999999998</v>
      </c>
      <c r="V43" s="13">
        <v>36.399149999999999</v>
      </c>
      <c r="W43" s="13">
        <v>21.684600000000003</v>
      </c>
      <c r="X43" s="13">
        <v>32.268749999999997</v>
      </c>
      <c r="Y43" s="1">
        <f>AVERAGE(U43:X43)</f>
        <v>31.623374999999999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>
        <v>4</v>
      </c>
      <c r="AJ43" s="19" t="s">
        <v>1414</v>
      </c>
      <c r="AK43" s="65">
        <v>0</v>
      </c>
      <c r="AL43" s="1"/>
      <c r="AM43" s="1"/>
    </row>
    <row r="44" spans="1:39" s="26" customFormat="1" hidden="1" x14ac:dyDescent="0.3">
      <c r="A44" s="22" t="s">
        <v>745</v>
      </c>
      <c r="B44" s="2" t="s">
        <v>49</v>
      </c>
      <c r="C44" s="21">
        <v>11</v>
      </c>
      <c r="D44" s="23">
        <v>1200</v>
      </c>
      <c r="E44" s="23"/>
      <c r="F44" s="28"/>
      <c r="G44" s="3" t="s">
        <v>722</v>
      </c>
      <c r="H44" s="6"/>
      <c r="I44" s="6" t="s">
        <v>687</v>
      </c>
      <c r="J44" s="6">
        <v>79</v>
      </c>
      <c r="K44" s="21">
        <v>23</v>
      </c>
      <c r="L44" s="21" t="s">
        <v>703</v>
      </c>
      <c r="M44" s="6" t="s">
        <v>689</v>
      </c>
      <c r="N44" s="6" t="s">
        <v>746</v>
      </c>
      <c r="O44" s="6" t="s">
        <v>691</v>
      </c>
      <c r="P44" s="6"/>
      <c r="Q44" s="27"/>
      <c r="R44" s="28" t="s">
        <v>692</v>
      </c>
      <c r="S44" s="6" t="s">
        <v>55</v>
      </c>
      <c r="T44" s="1">
        <v>47.908623999999996</v>
      </c>
      <c r="U44" s="1">
        <v>19.327439999999999</v>
      </c>
      <c r="V44" s="1">
        <v>42.520368000000005</v>
      </c>
      <c r="W44" s="1">
        <v>34.789391999999999</v>
      </c>
      <c r="X44" s="1">
        <v>27.058416000000001</v>
      </c>
      <c r="Y44" s="1">
        <f>AVERAGE(U44:X44)</f>
        <v>30.923904</v>
      </c>
      <c r="Z44" s="10"/>
      <c r="AA44" s="10"/>
      <c r="AB44" s="10"/>
      <c r="AC44" s="10"/>
      <c r="AD44" s="10"/>
      <c r="AE44" s="10"/>
      <c r="AF44" s="10"/>
      <c r="AG44" s="38">
        <f>COUNTIF(Z44:AF44,"X")/7</f>
        <v>0</v>
      </c>
      <c r="AH44" s="51" t="str">
        <f>IF(AG44=100%,Y44," ")</f>
        <v xml:space="preserve"> </v>
      </c>
      <c r="AI44" s="64"/>
      <c r="AJ44" s="1"/>
      <c r="AK44" s="65">
        <v>0</v>
      </c>
      <c r="AL44" s="1"/>
      <c r="AM44" s="1"/>
    </row>
    <row r="45" spans="1:39" s="26" customFormat="1" x14ac:dyDescent="0.3">
      <c r="A45" s="22" t="s">
        <v>103</v>
      </c>
      <c r="B45" s="2" t="s">
        <v>49</v>
      </c>
      <c r="C45" s="21">
        <v>3.75</v>
      </c>
      <c r="D45" s="23">
        <v>1550</v>
      </c>
      <c r="E45" s="23" t="s">
        <v>41</v>
      </c>
      <c r="F45" s="23" t="s">
        <v>104</v>
      </c>
      <c r="G45" s="3" t="s">
        <v>105</v>
      </c>
      <c r="H45" s="10" t="s">
        <v>41</v>
      </c>
      <c r="I45" s="10"/>
      <c r="J45" s="6"/>
      <c r="K45" s="21"/>
      <c r="L45" s="21" t="s">
        <v>74</v>
      </c>
      <c r="M45" s="6" t="s">
        <v>106</v>
      </c>
      <c r="N45" s="6" t="s">
        <v>107</v>
      </c>
      <c r="O45" s="12" t="s">
        <v>691</v>
      </c>
      <c r="P45" s="10" t="s">
        <v>108</v>
      </c>
      <c r="Q45" s="29" t="s">
        <v>47</v>
      </c>
      <c r="R45" s="27" t="s">
        <v>47</v>
      </c>
      <c r="S45" s="10" t="s">
        <v>55</v>
      </c>
      <c r="T45" s="13">
        <v>13.4316</v>
      </c>
      <c r="U45" s="13">
        <v>28.781999999999996</v>
      </c>
      <c r="V45" s="13">
        <v>37.637999999999998</v>
      </c>
      <c r="W45" s="13">
        <v>26.568000000000001</v>
      </c>
      <c r="X45" s="13">
        <v>30.257999999999999</v>
      </c>
      <c r="Y45" s="1">
        <f>AVERAGE(U45:X45)</f>
        <v>30.811499999999995</v>
      </c>
      <c r="Z45" s="10" t="s">
        <v>693</v>
      </c>
      <c r="AA45" s="10" t="s">
        <v>693</v>
      </c>
      <c r="AB45" s="10" t="s">
        <v>693</v>
      </c>
      <c r="AC45" s="10" t="s">
        <v>693</v>
      </c>
      <c r="AD45" s="10" t="s">
        <v>693</v>
      </c>
      <c r="AE45" s="10" t="s">
        <v>693</v>
      </c>
      <c r="AF45" s="10" t="s">
        <v>693</v>
      </c>
      <c r="AG45" s="38">
        <f>COUNTIF(Z45:AF45,"X")/7</f>
        <v>1</v>
      </c>
      <c r="AH45" s="51">
        <f>IF(AG45=100%,Y45," ")</f>
        <v>30.811499999999995</v>
      </c>
      <c r="AI45" s="64">
        <v>2</v>
      </c>
      <c r="AJ45" s="78" t="s">
        <v>1415</v>
      </c>
      <c r="AK45" s="65">
        <v>0</v>
      </c>
      <c r="AL45" s="1"/>
      <c r="AM45" s="1"/>
    </row>
    <row r="46" spans="1:39" s="26" customFormat="1" ht="51" x14ac:dyDescent="0.3">
      <c r="A46" s="22" t="s">
        <v>109</v>
      </c>
      <c r="B46" s="2" t="s">
        <v>49</v>
      </c>
      <c r="C46" s="21">
        <v>4</v>
      </c>
      <c r="D46" s="23">
        <v>1200</v>
      </c>
      <c r="E46" s="23" t="s">
        <v>41</v>
      </c>
      <c r="F46" s="23"/>
      <c r="G46" s="3" t="s">
        <v>110</v>
      </c>
      <c r="H46" s="10" t="s">
        <v>41</v>
      </c>
      <c r="I46" s="10"/>
      <c r="J46" s="6"/>
      <c r="K46" s="5"/>
      <c r="L46" s="5" t="s">
        <v>52</v>
      </c>
      <c r="M46" s="6" t="s">
        <v>111</v>
      </c>
      <c r="N46" s="6" t="s">
        <v>112</v>
      </c>
      <c r="O46" s="12" t="s">
        <v>691</v>
      </c>
      <c r="P46" s="10" t="s">
        <v>47</v>
      </c>
      <c r="Q46" s="29" t="s">
        <v>47</v>
      </c>
      <c r="R46" s="27" t="s">
        <v>47</v>
      </c>
      <c r="S46" s="12" t="s">
        <v>55</v>
      </c>
      <c r="T46" s="13">
        <v>22.626375000000003</v>
      </c>
      <c r="U46" s="13">
        <v>26.807239999999997</v>
      </c>
      <c r="V46" s="13">
        <v>33.201522000000004</v>
      </c>
      <c r="W46" s="13">
        <v>31.318612000000002</v>
      </c>
      <c r="X46" s="13">
        <v>31.105689999999999</v>
      </c>
      <c r="Y46" s="1">
        <f>AVERAGE(U46:X46)</f>
        <v>30.608266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>
        <v>10</v>
      </c>
      <c r="AJ46" s="79" t="s">
        <v>1418</v>
      </c>
      <c r="AK46" s="65">
        <v>0</v>
      </c>
      <c r="AL46" s="1"/>
      <c r="AM46" s="1"/>
    </row>
    <row r="47" spans="1:39" s="26" customFormat="1" ht="20.399999999999999" x14ac:dyDescent="0.3">
      <c r="A47" s="22" t="s">
        <v>113</v>
      </c>
      <c r="B47" s="2" t="s">
        <v>78</v>
      </c>
      <c r="C47" s="21">
        <v>1.2</v>
      </c>
      <c r="D47" s="23">
        <v>210</v>
      </c>
      <c r="E47" s="23">
        <v>570</v>
      </c>
      <c r="F47" s="23"/>
      <c r="G47" s="3" t="s">
        <v>114</v>
      </c>
      <c r="H47" s="12">
        <v>34025707</v>
      </c>
      <c r="I47" s="10"/>
      <c r="J47" s="4"/>
      <c r="K47" s="5"/>
      <c r="L47" s="5" t="s">
        <v>64</v>
      </c>
      <c r="M47" s="4" t="s">
        <v>115</v>
      </c>
      <c r="N47" s="4" t="s">
        <v>116</v>
      </c>
      <c r="O47" s="12" t="s">
        <v>691</v>
      </c>
      <c r="P47" s="12" t="s">
        <v>47</v>
      </c>
      <c r="Q47" s="30" t="s">
        <v>47</v>
      </c>
      <c r="R47" s="27" t="s">
        <v>47</v>
      </c>
      <c r="S47" s="10" t="s">
        <v>47</v>
      </c>
      <c r="T47" s="13">
        <v>30.581407999999996</v>
      </c>
      <c r="U47" s="13">
        <v>26.403519999999997</v>
      </c>
      <c r="V47" s="13">
        <v>31.071039999999996</v>
      </c>
      <c r="W47" s="13">
        <v>32.443839999999994</v>
      </c>
      <c r="X47" s="13">
        <v>31.528639999999999</v>
      </c>
      <c r="Y47" s="1">
        <f>AVERAGE(U47:X47)</f>
        <v>30.361759999999997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>
        <v>4</v>
      </c>
      <c r="AJ47" s="80" t="s">
        <v>1419</v>
      </c>
      <c r="AK47" s="65">
        <v>0</v>
      </c>
      <c r="AL47" s="1"/>
      <c r="AM47" s="1"/>
    </row>
    <row r="48" spans="1:39" s="26" customFormat="1" x14ac:dyDescent="0.3">
      <c r="A48" s="22" t="s">
        <v>117</v>
      </c>
      <c r="B48" s="2" t="s">
        <v>40</v>
      </c>
      <c r="C48" s="21">
        <v>1</v>
      </c>
      <c r="D48" s="23">
        <v>1200</v>
      </c>
      <c r="E48" s="23" t="s">
        <v>41</v>
      </c>
      <c r="F48" s="23"/>
      <c r="G48" s="3" t="s">
        <v>118</v>
      </c>
      <c r="H48" s="12" t="s">
        <v>41</v>
      </c>
      <c r="I48" s="10"/>
      <c r="J48" s="4"/>
      <c r="K48" s="5"/>
      <c r="L48" s="21" t="s">
        <v>52</v>
      </c>
      <c r="M48" s="4" t="s">
        <v>119</v>
      </c>
      <c r="N48" s="4" t="s">
        <v>120</v>
      </c>
      <c r="O48" s="12" t="s">
        <v>691</v>
      </c>
      <c r="P48" s="12" t="s">
        <v>47</v>
      </c>
      <c r="Q48" s="30" t="s">
        <v>47</v>
      </c>
      <c r="R48" s="27" t="s">
        <v>47</v>
      </c>
      <c r="S48" s="10" t="s">
        <v>55</v>
      </c>
      <c r="T48" s="13">
        <v>22.825967999999996</v>
      </c>
      <c r="U48" s="13">
        <v>27.861108000000002</v>
      </c>
      <c r="V48" s="13">
        <v>34.361015999999999</v>
      </c>
      <c r="W48" s="13">
        <v>27.861108000000002</v>
      </c>
      <c r="X48" s="13">
        <v>31.309415999999999</v>
      </c>
      <c r="Y48" s="1">
        <f>AVERAGE(U48:X48)</f>
        <v>30.348162000000002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>
        <v>1</v>
      </c>
      <c r="AJ48" s="80" t="s">
        <v>1420</v>
      </c>
      <c r="AK48" s="65">
        <v>0</v>
      </c>
      <c r="AL48" s="1"/>
      <c r="AM48" s="1"/>
    </row>
    <row r="49" spans="1:39" s="26" customFormat="1" hidden="1" x14ac:dyDescent="0.3">
      <c r="A49" s="22" t="s">
        <v>766</v>
      </c>
      <c r="B49" s="2" t="s">
        <v>49</v>
      </c>
      <c r="C49" s="21">
        <v>5.8</v>
      </c>
      <c r="D49" s="23">
        <v>1000</v>
      </c>
      <c r="E49" s="23"/>
      <c r="F49" s="28"/>
      <c r="G49" s="3" t="s">
        <v>767</v>
      </c>
      <c r="H49" s="4"/>
      <c r="I49" s="6" t="s">
        <v>702</v>
      </c>
      <c r="J49" s="4">
        <v>69</v>
      </c>
      <c r="K49" s="5">
        <v>24</v>
      </c>
      <c r="L49" s="5" t="s">
        <v>703</v>
      </c>
      <c r="M49" s="4" t="s">
        <v>94</v>
      </c>
      <c r="N49" s="4" t="s">
        <v>768</v>
      </c>
      <c r="O49" s="4" t="s">
        <v>756</v>
      </c>
      <c r="P49" s="4"/>
      <c r="Q49" s="24"/>
      <c r="R49" s="25" t="s">
        <v>692</v>
      </c>
      <c r="S49" s="6" t="s">
        <v>55</v>
      </c>
      <c r="T49" s="1">
        <v>33.395732999999993</v>
      </c>
      <c r="U49" s="1">
        <v>17.669699999999999</v>
      </c>
      <c r="V49" s="1">
        <v>29.4495</v>
      </c>
      <c r="W49" s="1">
        <v>48.414978000000005</v>
      </c>
      <c r="X49" s="1">
        <v>25.090974000000003</v>
      </c>
      <c r="Y49" s="1">
        <f>AVERAGE(U49:X49)</f>
        <v>30.156288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hidden="1" x14ac:dyDescent="0.3">
      <c r="A50" s="22" t="s">
        <v>127</v>
      </c>
      <c r="B50" s="2" t="s">
        <v>49</v>
      </c>
      <c r="C50" s="21">
        <v>7</v>
      </c>
      <c r="D50" s="23">
        <v>1300</v>
      </c>
      <c r="E50" s="23"/>
      <c r="F50" s="28"/>
      <c r="G50" s="3" t="s">
        <v>708</v>
      </c>
      <c r="H50" s="4"/>
      <c r="I50" s="6" t="s">
        <v>687</v>
      </c>
      <c r="J50" s="4">
        <v>69</v>
      </c>
      <c r="K50" s="5">
        <v>24</v>
      </c>
      <c r="L50" s="5" t="s">
        <v>74</v>
      </c>
      <c r="M50" s="4" t="s">
        <v>769</v>
      </c>
      <c r="N50" s="4"/>
      <c r="O50" s="4" t="s">
        <v>756</v>
      </c>
      <c r="P50" s="4"/>
      <c r="Q50" s="24"/>
      <c r="R50" s="25" t="s">
        <v>692</v>
      </c>
      <c r="S50" s="4" t="s">
        <v>55</v>
      </c>
      <c r="T50" s="1">
        <v>17.431703999999996</v>
      </c>
      <c r="U50" s="1">
        <v>17.437172000000004</v>
      </c>
      <c r="V50" s="1">
        <v>31.5854</v>
      </c>
      <c r="W50" s="1">
        <v>32.843163999999994</v>
      </c>
      <c r="X50" s="1">
        <v>34.502439999999993</v>
      </c>
      <c r="Y50" s="1">
        <f>AVERAGE(U50:X50)</f>
        <v>29.092043999999998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121</v>
      </c>
      <c r="B51" s="2" t="s">
        <v>62</v>
      </c>
      <c r="C51" s="21">
        <v>1.8</v>
      </c>
      <c r="D51" s="23">
        <v>285</v>
      </c>
      <c r="E51" s="23" t="s">
        <v>41</v>
      </c>
      <c r="F51" s="23"/>
      <c r="G51" s="3" t="s">
        <v>122</v>
      </c>
      <c r="H51" s="12">
        <v>34026257</v>
      </c>
      <c r="I51" s="10"/>
      <c r="J51" s="4"/>
      <c r="K51" s="5"/>
      <c r="L51" s="5" t="s">
        <v>64</v>
      </c>
      <c r="M51" s="4" t="s">
        <v>80</v>
      </c>
      <c r="N51" s="4" t="s">
        <v>123</v>
      </c>
      <c r="O51" s="12" t="s">
        <v>756</v>
      </c>
      <c r="P51" s="12" t="s">
        <v>47</v>
      </c>
      <c r="Q51" s="30" t="s">
        <v>47</v>
      </c>
      <c r="R51" s="27" t="s">
        <v>47</v>
      </c>
      <c r="S51" s="10" t="s">
        <v>47</v>
      </c>
      <c r="T51" s="13">
        <v>24.737441999999998</v>
      </c>
      <c r="U51" s="13">
        <v>25.484900000000003</v>
      </c>
      <c r="V51" s="13">
        <v>31.726099999999999</v>
      </c>
      <c r="W51" s="13">
        <v>27.565300000000004</v>
      </c>
      <c r="X51" s="13">
        <v>31.206</v>
      </c>
      <c r="Y51" s="1">
        <f>AVERAGE(U51:X51)</f>
        <v>28.995575000000002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>
        <v>2</v>
      </c>
      <c r="AJ51" s="2" t="s">
        <v>1416</v>
      </c>
      <c r="AK51" s="65">
        <v>0</v>
      </c>
      <c r="AL51" s="1"/>
      <c r="AM51" s="1"/>
    </row>
    <row r="52" spans="1:39" s="26" customFormat="1" hidden="1" x14ac:dyDescent="0.3">
      <c r="A52" s="22" t="s">
        <v>664</v>
      </c>
      <c r="B52" s="2" t="s">
        <v>770</v>
      </c>
      <c r="C52" s="21">
        <v>2</v>
      </c>
      <c r="D52" s="23">
        <v>1000</v>
      </c>
      <c r="E52" s="23"/>
      <c r="F52" s="28"/>
      <c r="G52" s="3" t="s">
        <v>771</v>
      </c>
      <c r="H52" s="4"/>
      <c r="I52" s="6" t="s">
        <v>702</v>
      </c>
      <c r="J52" s="4">
        <v>69</v>
      </c>
      <c r="K52" s="5">
        <v>19</v>
      </c>
      <c r="L52" s="5" t="s">
        <v>703</v>
      </c>
      <c r="M52" s="4" t="s">
        <v>119</v>
      </c>
      <c r="N52" s="4"/>
      <c r="O52" s="4" t="s">
        <v>756</v>
      </c>
      <c r="P52" s="4"/>
      <c r="Q52" s="24"/>
      <c r="R52" s="25" t="s">
        <v>692</v>
      </c>
      <c r="S52" s="6" t="s">
        <v>55</v>
      </c>
      <c r="T52" s="1">
        <v>21.108720000000002</v>
      </c>
      <c r="U52" s="1">
        <v>24.224463</v>
      </c>
      <c r="V52" s="1">
        <v>30.193871999999999</v>
      </c>
      <c r="W52" s="1">
        <v>29.667804999999998</v>
      </c>
      <c r="X52" s="1">
        <v>29.237910999999997</v>
      </c>
      <c r="Y52" s="1">
        <f>AVERAGE(U52:X52)</f>
        <v>28.331012749999999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ht="30.6" x14ac:dyDescent="0.3">
      <c r="A53" s="22" t="s">
        <v>124</v>
      </c>
      <c r="B53" s="2" t="s">
        <v>68</v>
      </c>
      <c r="C53" s="21">
        <v>1.5</v>
      </c>
      <c r="D53" s="23">
        <v>1050</v>
      </c>
      <c r="E53" s="23" t="s">
        <v>41</v>
      </c>
      <c r="F53" s="23"/>
      <c r="G53" s="3"/>
      <c r="H53" s="12" t="s">
        <v>41</v>
      </c>
      <c r="I53" s="12"/>
      <c r="J53" s="4"/>
      <c r="K53" s="5"/>
      <c r="L53" s="5" t="s">
        <v>52</v>
      </c>
      <c r="M53" s="4" t="s">
        <v>75</v>
      </c>
      <c r="N53" s="4" t="s">
        <v>125</v>
      </c>
      <c r="O53" s="12" t="s">
        <v>756</v>
      </c>
      <c r="P53" s="12" t="s">
        <v>47</v>
      </c>
      <c r="Q53" s="30" t="s">
        <v>47</v>
      </c>
      <c r="R53" s="27" t="s">
        <v>47</v>
      </c>
      <c r="S53" s="12" t="s">
        <v>55</v>
      </c>
      <c r="T53" s="13">
        <v>9.0985999999999994</v>
      </c>
      <c r="U53" s="13">
        <v>17.478720000000003</v>
      </c>
      <c r="V53" s="13">
        <v>29.567400000000003</v>
      </c>
      <c r="W53" s="13">
        <v>29.451719999999998</v>
      </c>
      <c r="X53" s="13">
        <v>29.461079999999999</v>
      </c>
      <c r="Y53" s="1">
        <f>AVERAGE(U53:X53)</f>
        <v>26.489729999999998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>
        <v>5</v>
      </c>
      <c r="AJ53" s="2" t="s">
        <v>1417</v>
      </c>
      <c r="AK53" s="65">
        <v>0</v>
      </c>
      <c r="AL53" s="1"/>
      <c r="AM53" s="1"/>
    </row>
    <row r="54" spans="1:39" s="26" customFormat="1" hidden="1" x14ac:dyDescent="0.3">
      <c r="A54" s="22" t="s">
        <v>772</v>
      </c>
      <c r="B54" s="2" t="s">
        <v>49</v>
      </c>
      <c r="C54" s="21">
        <v>6</v>
      </c>
      <c r="D54" s="23">
        <v>1220</v>
      </c>
      <c r="E54" s="23"/>
      <c r="F54" s="28"/>
      <c r="G54" s="3" t="s">
        <v>748</v>
      </c>
      <c r="H54" s="6"/>
      <c r="I54" s="6" t="s">
        <v>687</v>
      </c>
      <c r="J54" s="6">
        <v>59</v>
      </c>
      <c r="K54" s="21">
        <v>23</v>
      </c>
      <c r="L54" s="21" t="s">
        <v>703</v>
      </c>
      <c r="M54" s="6" t="s">
        <v>773</v>
      </c>
      <c r="N54" s="6"/>
      <c r="O54" s="6" t="s">
        <v>756</v>
      </c>
      <c r="P54" s="6"/>
      <c r="Q54" s="27"/>
      <c r="R54" s="28" t="s">
        <v>692</v>
      </c>
      <c r="S54" s="6" t="s">
        <v>55</v>
      </c>
      <c r="T54" s="1">
        <v>11.542774000000001</v>
      </c>
      <c r="U54" s="1">
        <v>23.918080000000003</v>
      </c>
      <c r="V54" s="1">
        <v>28.395773000000002</v>
      </c>
      <c r="W54" s="1">
        <v>28.021843000000001</v>
      </c>
      <c r="X54" s="1">
        <v>25.240573000000005</v>
      </c>
      <c r="Y54" s="1">
        <f>AVERAGE(U54:X54)</f>
        <v>26.394067250000006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126</v>
      </c>
      <c r="B55" s="2" t="s">
        <v>68</v>
      </c>
      <c r="C55" s="21">
        <v>1.3</v>
      </c>
      <c r="D55" s="23">
        <v>950</v>
      </c>
      <c r="E55" s="23" t="s">
        <v>41</v>
      </c>
      <c r="F55" s="23"/>
      <c r="G55" s="3" t="s">
        <v>83</v>
      </c>
      <c r="H55" s="12" t="s">
        <v>41</v>
      </c>
      <c r="I55" s="10"/>
      <c r="J55" s="4"/>
      <c r="K55" s="5"/>
      <c r="L55" s="5" t="s">
        <v>52</v>
      </c>
      <c r="M55" s="4" t="s">
        <v>84</v>
      </c>
      <c r="N55" s="4" t="s">
        <v>85</v>
      </c>
      <c r="O55" s="12" t="s">
        <v>756</v>
      </c>
      <c r="P55" s="12" t="s">
        <v>47</v>
      </c>
      <c r="Q55" s="30" t="s">
        <v>47</v>
      </c>
      <c r="R55" s="27" t="s">
        <v>47</v>
      </c>
      <c r="S55" s="10" t="s">
        <v>47</v>
      </c>
      <c r="T55" s="13">
        <v>13.65024</v>
      </c>
      <c r="U55" s="13">
        <v>21.956063999999998</v>
      </c>
      <c r="V55" s="13">
        <v>37.565152000000005</v>
      </c>
      <c r="W55" s="13">
        <v>21.254272</v>
      </c>
      <c r="X55" s="13">
        <v>23.860928000000001</v>
      </c>
      <c r="Y55" s="1">
        <f>AVERAGE(U55:X55)</f>
        <v>26.159103999999999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hidden="1" x14ac:dyDescent="0.3">
      <c r="A56" s="19" t="s">
        <v>1105</v>
      </c>
      <c r="B56" s="21" t="s">
        <v>40</v>
      </c>
      <c r="C56" s="21">
        <v>1.8</v>
      </c>
      <c r="D56" s="23">
        <v>466</v>
      </c>
      <c r="E56" s="23"/>
      <c r="F56" s="23" t="s">
        <v>1080</v>
      </c>
      <c r="G56" s="20" t="s">
        <v>1106</v>
      </c>
      <c r="H56" s="6"/>
      <c r="I56" s="6" t="s">
        <v>1078</v>
      </c>
      <c r="J56" s="6">
        <v>59</v>
      </c>
      <c r="K56" s="21">
        <v>1.8</v>
      </c>
      <c r="L56" s="21" t="s">
        <v>1073</v>
      </c>
      <c r="M56" s="6" t="s">
        <v>195</v>
      </c>
      <c r="N56" s="6" t="s">
        <v>123</v>
      </c>
      <c r="O56" s="6">
        <v>15</v>
      </c>
      <c r="P56" s="6"/>
      <c r="Q56" s="27"/>
      <c r="R56" s="28" t="s">
        <v>108</v>
      </c>
      <c r="S56" s="6"/>
      <c r="T56" s="1">
        <v>28.492799999999999</v>
      </c>
      <c r="U56" s="1">
        <v>24.218880000000002</v>
      </c>
      <c r="V56" s="1">
        <v>27.068159999999999</v>
      </c>
      <c r="W56" s="1">
        <v>21.369599999999998</v>
      </c>
      <c r="X56" s="1">
        <v>29.917439999999999</v>
      </c>
      <c r="Y56" s="1">
        <f>AVERAGE(U56:X56)</f>
        <v>25.643520000000002</v>
      </c>
      <c r="Z56" s="10"/>
      <c r="AA56" s="10"/>
      <c r="AB56" s="10"/>
      <c r="AC56" s="10"/>
      <c r="AD56" s="10"/>
      <c r="AE56" s="10"/>
      <c r="AF56" s="10"/>
      <c r="AG56" s="38">
        <f>COUNTIF(Z56:AF56,"X")/7</f>
        <v>0</v>
      </c>
      <c r="AH56" s="51" t="str">
        <f>IF(AG56=100%,Y56," ")</f>
        <v xml:space="preserve"> </v>
      </c>
      <c r="AI56" s="64"/>
      <c r="AJ56" s="1"/>
      <c r="AK56" s="65">
        <v>0</v>
      </c>
      <c r="AL56" s="1"/>
      <c r="AM56" s="1"/>
    </row>
    <row r="57" spans="1:39" s="26" customFormat="1" x14ac:dyDescent="0.3">
      <c r="A57" s="22" t="s">
        <v>127</v>
      </c>
      <c r="B57" s="2" t="s">
        <v>49</v>
      </c>
      <c r="C57" s="21">
        <v>7</v>
      </c>
      <c r="D57" s="23">
        <v>1300</v>
      </c>
      <c r="E57" s="23" t="s">
        <v>41</v>
      </c>
      <c r="F57" s="23"/>
      <c r="G57" s="3" t="s">
        <v>128</v>
      </c>
      <c r="H57" s="10" t="s">
        <v>41</v>
      </c>
      <c r="I57" s="10"/>
      <c r="J57" s="6"/>
      <c r="K57" s="21"/>
      <c r="L57" s="21" t="s">
        <v>74</v>
      </c>
      <c r="M57" s="4" t="s">
        <v>106</v>
      </c>
      <c r="N57" s="6" t="s">
        <v>94</v>
      </c>
      <c r="O57" s="12" t="s">
        <v>756</v>
      </c>
      <c r="P57" s="10" t="s">
        <v>47</v>
      </c>
      <c r="Q57" s="29" t="s">
        <v>47</v>
      </c>
      <c r="R57" s="27" t="s">
        <v>47</v>
      </c>
      <c r="S57" s="10" t="s">
        <v>55</v>
      </c>
      <c r="T57" s="13">
        <v>23.109119999999997</v>
      </c>
      <c r="U57" s="13">
        <v>21.749759999999998</v>
      </c>
      <c r="V57" s="13">
        <v>28.326729999999994</v>
      </c>
      <c r="W57" s="13">
        <v>26.507519999999996</v>
      </c>
      <c r="X57" s="13">
        <v>25.148160000000001</v>
      </c>
      <c r="Y57" s="1">
        <f>AVERAGE(U57:X57)</f>
        <v>25.433042499999999</v>
      </c>
      <c r="Z57" s="10" t="s">
        <v>693</v>
      </c>
      <c r="AA57" s="10" t="s">
        <v>693</v>
      </c>
      <c r="AB57" s="10" t="s">
        <v>693</v>
      </c>
      <c r="AC57" s="10" t="s">
        <v>693</v>
      </c>
      <c r="AD57" s="10" t="s">
        <v>693</v>
      </c>
      <c r="AE57" s="10" t="s">
        <v>693</v>
      </c>
      <c r="AF57" s="10" t="s">
        <v>693</v>
      </c>
      <c r="AG57" s="38">
        <f>COUNTIF(Z57:AF57,"X")/7</f>
        <v>1</v>
      </c>
      <c r="AH57" s="51">
        <f>IF(AG57=100%,Y57," ")</f>
        <v>25.433042499999999</v>
      </c>
      <c r="AI57" s="64">
        <v>1</v>
      </c>
      <c r="AJ57" s="81" t="s">
        <v>1421</v>
      </c>
      <c r="AK57" s="65">
        <v>0</v>
      </c>
      <c r="AL57" s="1"/>
      <c r="AM57" s="1"/>
    </row>
    <row r="58" spans="1:39" s="26" customFormat="1" x14ac:dyDescent="0.3">
      <c r="A58" s="22" t="s">
        <v>129</v>
      </c>
      <c r="B58" s="2" t="s">
        <v>68</v>
      </c>
      <c r="C58" s="21">
        <v>2.75</v>
      </c>
      <c r="D58" s="23">
        <v>1280</v>
      </c>
      <c r="E58" s="23" t="s">
        <v>41</v>
      </c>
      <c r="F58" s="23"/>
      <c r="G58" s="3" t="s">
        <v>130</v>
      </c>
      <c r="H58" s="10">
        <v>34029201</v>
      </c>
      <c r="I58" s="10"/>
      <c r="J58" s="6"/>
      <c r="K58" s="21"/>
      <c r="L58" s="21" t="s">
        <v>44</v>
      </c>
      <c r="M58" s="6" t="s">
        <v>45</v>
      </c>
      <c r="N58" s="35" t="s">
        <v>46</v>
      </c>
      <c r="O58" s="12" t="s">
        <v>756</v>
      </c>
      <c r="P58" s="10" t="s">
        <v>47</v>
      </c>
      <c r="Q58" s="29" t="s">
        <v>47</v>
      </c>
      <c r="R58" s="27" t="s">
        <v>47</v>
      </c>
      <c r="S58" s="10" t="s">
        <v>47</v>
      </c>
      <c r="T58" s="13">
        <v>26.597999999999995</v>
      </c>
      <c r="U58" s="13">
        <v>28.643999999999995</v>
      </c>
      <c r="V58" s="13">
        <v>30.689999999999998</v>
      </c>
      <c r="W58" s="13">
        <v>10.23</v>
      </c>
      <c r="X58" s="13">
        <v>31.712999999999997</v>
      </c>
      <c r="Y58" s="1">
        <f>AVERAGE(U58:X58)</f>
        <v>25.319249999999997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hidden="1" x14ac:dyDescent="0.3">
      <c r="A59" s="22" t="s">
        <v>792</v>
      </c>
      <c r="B59" s="2" t="s">
        <v>49</v>
      </c>
      <c r="C59" s="21">
        <v>10.75</v>
      </c>
      <c r="D59" s="23">
        <v>1250</v>
      </c>
      <c r="E59" s="23"/>
      <c r="F59" s="28"/>
      <c r="G59" s="3" t="s">
        <v>686</v>
      </c>
      <c r="H59" s="4"/>
      <c r="I59" s="6" t="s">
        <v>687</v>
      </c>
      <c r="J59" s="4">
        <v>69</v>
      </c>
      <c r="K59" s="5">
        <v>32</v>
      </c>
      <c r="L59" s="5" t="s">
        <v>688</v>
      </c>
      <c r="M59" s="4" t="s">
        <v>689</v>
      </c>
      <c r="N59" s="6" t="s">
        <v>690</v>
      </c>
      <c r="O59" s="4" t="s">
        <v>793</v>
      </c>
      <c r="P59" s="4"/>
      <c r="Q59" s="24"/>
      <c r="R59" s="25" t="s">
        <v>692</v>
      </c>
      <c r="S59" s="6" t="s">
        <v>692</v>
      </c>
      <c r="T59" s="1">
        <v>25.813017999999996</v>
      </c>
      <c r="U59" s="1">
        <v>26.494299999999999</v>
      </c>
      <c r="V59" s="1">
        <v>37.848999999999997</v>
      </c>
      <c r="W59" s="1">
        <v>11.354699999999999</v>
      </c>
      <c r="X59" s="1">
        <v>22.709399999999999</v>
      </c>
      <c r="Y59" s="1">
        <f>AVERAGE(U59:X59)</f>
        <v>24.601849999999999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131</v>
      </c>
      <c r="B60" s="2" t="s">
        <v>68</v>
      </c>
      <c r="C60" s="21">
        <v>1.2</v>
      </c>
      <c r="D60" s="23">
        <v>1300</v>
      </c>
      <c r="E60" s="23" t="s">
        <v>41</v>
      </c>
      <c r="F60" s="23"/>
      <c r="G60" s="3" t="s">
        <v>132</v>
      </c>
      <c r="H60" s="10" t="s">
        <v>41</v>
      </c>
      <c r="I60" s="10"/>
      <c r="J60" s="6"/>
      <c r="K60" s="21"/>
      <c r="L60" s="21" t="s">
        <v>52</v>
      </c>
      <c r="M60" s="6" t="s">
        <v>119</v>
      </c>
      <c r="N60" s="6" t="s">
        <v>133</v>
      </c>
      <c r="O60" s="12" t="s">
        <v>756</v>
      </c>
      <c r="P60" s="10" t="s">
        <v>47</v>
      </c>
      <c r="Q60" s="29" t="s">
        <v>47</v>
      </c>
      <c r="R60" s="27" t="s">
        <v>47</v>
      </c>
      <c r="S60" s="10" t="s">
        <v>47</v>
      </c>
      <c r="T60" s="13">
        <v>15.5375</v>
      </c>
      <c r="U60" s="13">
        <v>21.131</v>
      </c>
      <c r="V60" s="13">
        <v>27.346</v>
      </c>
      <c r="W60" s="13">
        <v>24.86</v>
      </c>
      <c r="X60" s="13">
        <v>24.86</v>
      </c>
      <c r="Y60" s="1">
        <f>AVERAGE(U60:X60)</f>
        <v>24.549250000000001</v>
      </c>
      <c r="Z60" s="10"/>
      <c r="AA60" s="10"/>
      <c r="AB60" s="10"/>
      <c r="AC60" s="10"/>
      <c r="AD60" s="10"/>
      <c r="AE60" s="10"/>
      <c r="AF60" s="10"/>
      <c r="AG60" s="38">
        <f>COUNTIF(Z60:AF60,"X")/7</f>
        <v>0</v>
      </c>
      <c r="AH60" s="51" t="str">
        <f>IF(AG60=100%,Y60," ")</f>
        <v xml:space="preserve"> </v>
      </c>
      <c r="AI60" s="64"/>
      <c r="AJ60" s="1"/>
      <c r="AK60" s="65">
        <v>0</v>
      </c>
      <c r="AL60" s="1"/>
      <c r="AM60" s="1"/>
    </row>
    <row r="61" spans="1:39" s="26" customFormat="1" hidden="1" x14ac:dyDescent="0.3">
      <c r="A61" s="22" t="s">
        <v>333</v>
      </c>
      <c r="B61" s="2" t="s">
        <v>49</v>
      </c>
      <c r="C61" s="21">
        <v>4</v>
      </c>
      <c r="D61" s="23">
        <v>1150</v>
      </c>
      <c r="E61" s="23"/>
      <c r="F61" s="28"/>
      <c r="G61" s="3" t="s">
        <v>774</v>
      </c>
      <c r="H61" s="4"/>
      <c r="I61" s="6" t="s">
        <v>702</v>
      </c>
      <c r="J61" s="4">
        <v>69</v>
      </c>
      <c r="K61" s="5">
        <v>22</v>
      </c>
      <c r="L61" s="21" t="s">
        <v>52</v>
      </c>
      <c r="M61" s="4" t="s">
        <v>775</v>
      </c>
      <c r="N61" s="34" t="s">
        <v>776</v>
      </c>
      <c r="O61" s="4" t="s">
        <v>756</v>
      </c>
      <c r="P61" s="4"/>
      <c r="Q61" s="24"/>
      <c r="R61" s="25" t="s">
        <v>692</v>
      </c>
      <c r="S61" s="6" t="s">
        <v>55</v>
      </c>
      <c r="T61" s="1">
        <v>17.260580000000001</v>
      </c>
      <c r="U61" s="1">
        <v>19.622178999999999</v>
      </c>
      <c r="V61" s="1">
        <v>29.290003000000002</v>
      </c>
      <c r="W61" s="1">
        <v>27.546834</v>
      </c>
      <c r="X61" s="1">
        <v>21.204391000000005</v>
      </c>
      <c r="Y61" s="1">
        <f>AVERAGE(U61:X61)</f>
        <v>24.415851750000002</v>
      </c>
      <c r="Z61" s="10"/>
      <c r="AA61" s="10"/>
      <c r="AB61" s="10"/>
      <c r="AC61" s="10"/>
      <c r="AD61" s="10"/>
      <c r="AE61" s="10"/>
      <c r="AF61" s="10"/>
      <c r="AG61" s="38">
        <f>COUNTIF(Z61:AF61,"X")/7</f>
        <v>0</v>
      </c>
      <c r="AH61" s="51" t="str">
        <f>IF(AG61=100%,Y61," ")</f>
        <v xml:space="preserve"> </v>
      </c>
      <c r="AI61" s="64"/>
      <c r="AJ61" s="1"/>
      <c r="AK61" s="65">
        <v>0</v>
      </c>
      <c r="AL61" s="1"/>
      <c r="AM61" s="1"/>
    </row>
    <row r="62" spans="1:39" s="26" customFormat="1" hidden="1" x14ac:dyDescent="0.3">
      <c r="A62" s="19" t="s">
        <v>1107</v>
      </c>
      <c r="B62" s="21" t="s">
        <v>40</v>
      </c>
      <c r="C62" s="21">
        <v>0.7</v>
      </c>
      <c r="D62" s="23">
        <v>1100</v>
      </c>
      <c r="E62" s="23"/>
      <c r="F62" s="23" t="s">
        <v>1108</v>
      </c>
      <c r="G62" s="20" t="s">
        <v>1097</v>
      </c>
      <c r="H62" s="6"/>
      <c r="I62" s="6" t="s">
        <v>1078</v>
      </c>
      <c r="J62" s="6">
        <v>59</v>
      </c>
      <c r="K62" s="21">
        <v>1.5</v>
      </c>
      <c r="L62" s="21" t="s">
        <v>1073</v>
      </c>
      <c r="M62" s="6" t="s">
        <v>195</v>
      </c>
      <c r="N62" s="6" t="s">
        <v>1098</v>
      </c>
      <c r="O62" s="6">
        <v>10</v>
      </c>
      <c r="P62" s="6"/>
      <c r="Q62" s="27"/>
      <c r="R62" s="28" t="s">
        <v>108</v>
      </c>
      <c r="S62" s="6"/>
      <c r="T62" s="1">
        <v>38.192</v>
      </c>
      <c r="U62" s="1">
        <v>24.303999999999998</v>
      </c>
      <c r="V62" s="1">
        <v>23.56</v>
      </c>
      <c r="W62" s="1">
        <v>24.303999999999998</v>
      </c>
      <c r="X62" s="1">
        <v>24.303999999999998</v>
      </c>
      <c r="Y62" s="1">
        <f>AVERAGE(U62:X62)</f>
        <v>24.117999999999999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134</v>
      </c>
      <c r="B63" s="2" t="s">
        <v>49</v>
      </c>
      <c r="C63" s="21">
        <v>4</v>
      </c>
      <c r="D63" s="23">
        <v>1050</v>
      </c>
      <c r="E63" s="23" t="s">
        <v>41</v>
      </c>
      <c r="F63" s="23"/>
      <c r="G63" s="3" t="s">
        <v>135</v>
      </c>
      <c r="H63" s="10" t="s">
        <v>41</v>
      </c>
      <c r="I63" s="10"/>
      <c r="J63" s="6"/>
      <c r="K63" s="21"/>
      <c r="L63" s="21" t="s">
        <v>74</v>
      </c>
      <c r="M63" s="6" t="s">
        <v>93</v>
      </c>
      <c r="N63" s="6" t="s">
        <v>136</v>
      </c>
      <c r="O63" s="12" t="s">
        <v>756</v>
      </c>
      <c r="P63" s="10" t="s">
        <v>108</v>
      </c>
      <c r="Q63" s="29" t="s">
        <v>47</v>
      </c>
      <c r="R63" s="27" t="s">
        <v>47</v>
      </c>
      <c r="S63" s="10" t="s">
        <v>55</v>
      </c>
      <c r="T63" s="13">
        <v>15.561311999999999</v>
      </c>
      <c r="U63" s="13">
        <v>20.240479999999998</v>
      </c>
      <c r="V63" s="13">
        <v>30.476159999999997</v>
      </c>
      <c r="W63" s="13">
        <v>23.087999999999997</v>
      </c>
      <c r="X63" s="13">
        <v>20.894639999999999</v>
      </c>
      <c r="Y63" s="1">
        <f>AVERAGE(U63:X63)</f>
        <v>23.674819999999997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hidden="1" x14ac:dyDescent="0.3">
      <c r="A64" s="22" t="s">
        <v>794</v>
      </c>
      <c r="B64" s="2" t="s">
        <v>49</v>
      </c>
      <c r="C64" s="21">
        <v>18</v>
      </c>
      <c r="D64" s="23">
        <v>2610</v>
      </c>
      <c r="E64" s="23"/>
      <c r="F64" s="28"/>
      <c r="G64" s="3" t="s">
        <v>795</v>
      </c>
      <c r="H64" s="6"/>
      <c r="I64" s="6" t="s">
        <v>687</v>
      </c>
      <c r="J64" s="6">
        <v>59</v>
      </c>
      <c r="K64" s="21">
        <v>10</v>
      </c>
      <c r="L64" s="21" t="s">
        <v>703</v>
      </c>
      <c r="M64" s="6" t="s">
        <v>704</v>
      </c>
      <c r="N64" s="6" t="s">
        <v>796</v>
      </c>
      <c r="O64" s="6" t="s">
        <v>793</v>
      </c>
      <c r="P64" s="6"/>
      <c r="Q64" s="27"/>
      <c r="R64" s="28" t="s">
        <v>692</v>
      </c>
      <c r="S64" s="6" t="s">
        <v>692</v>
      </c>
      <c r="T64" s="1">
        <v>0</v>
      </c>
      <c r="U64" s="1">
        <v>38.806290000000004</v>
      </c>
      <c r="V64" s="1">
        <v>23.621220000000001</v>
      </c>
      <c r="W64" s="1">
        <v>10.123380000000001</v>
      </c>
      <c r="X64" s="1">
        <v>21.933990000000001</v>
      </c>
      <c r="Y64" s="1">
        <f>AVERAGE(U64:X64)</f>
        <v>23.621220000000001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hidden="1" x14ac:dyDescent="0.3">
      <c r="A65" s="22" t="s">
        <v>219</v>
      </c>
      <c r="B65" s="2" t="s">
        <v>49</v>
      </c>
      <c r="C65" s="21">
        <v>6</v>
      </c>
      <c r="D65" s="23">
        <v>1050</v>
      </c>
      <c r="E65" s="23"/>
      <c r="F65" s="28"/>
      <c r="G65" s="3" t="s">
        <v>708</v>
      </c>
      <c r="H65" s="6"/>
      <c r="I65" s="6" t="s">
        <v>702</v>
      </c>
      <c r="J65" s="6">
        <v>69</v>
      </c>
      <c r="K65" s="21">
        <v>20</v>
      </c>
      <c r="L65" s="5" t="s">
        <v>74</v>
      </c>
      <c r="M65" s="6" t="s">
        <v>747</v>
      </c>
      <c r="N65" s="6"/>
      <c r="O65" s="6" t="s">
        <v>691</v>
      </c>
      <c r="P65" s="6"/>
      <c r="Q65" s="27"/>
      <c r="R65" s="28" t="s">
        <v>692</v>
      </c>
      <c r="S65" s="6" t="s">
        <v>55</v>
      </c>
      <c r="T65" s="1">
        <v>8.6262860000000003</v>
      </c>
      <c r="U65" s="1">
        <v>9.4754219999999982</v>
      </c>
      <c r="V65" s="1">
        <v>23.699571999999996</v>
      </c>
      <c r="W65" s="1">
        <v>42.661877999999994</v>
      </c>
      <c r="X65" s="1">
        <v>15.554784</v>
      </c>
      <c r="Y65" s="1">
        <f>AVERAGE(U65:X65)</f>
        <v>22.847913999999999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137</v>
      </c>
      <c r="B66" s="2" t="s">
        <v>40</v>
      </c>
      <c r="C66" s="21">
        <v>2.5</v>
      </c>
      <c r="D66" s="23">
        <v>1160</v>
      </c>
      <c r="E66" s="23" t="s">
        <v>41</v>
      </c>
      <c r="F66" s="23"/>
      <c r="G66" s="3" t="s">
        <v>138</v>
      </c>
      <c r="H66" s="12">
        <v>34028996</v>
      </c>
      <c r="I66" s="12"/>
      <c r="J66" s="4"/>
      <c r="K66" s="5"/>
      <c r="L66" s="21" t="s">
        <v>44</v>
      </c>
      <c r="M66" s="4" t="s">
        <v>45</v>
      </c>
      <c r="N66" s="36" t="s">
        <v>46</v>
      </c>
      <c r="O66" s="12" t="s">
        <v>756</v>
      </c>
      <c r="P66" s="12" t="s">
        <v>47</v>
      </c>
      <c r="Q66" s="30" t="s">
        <v>47</v>
      </c>
      <c r="R66" s="27" t="s">
        <v>47</v>
      </c>
      <c r="S66" s="12" t="s">
        <v>47</v>
      </c>
      <c r="T66" s="13">
        <v>26.507114999999999</v>
      </c>
      <c r="U66" s="13">
        <v>24.796799999999998</v>
      </c>
      <c r="V66" s="13">
        <v>28.339200000000002</v>
      </c>
      <c r="W66" s="13">
        <v>8.8559999999999999</v>
      </c>
      <c r="X66" s="13">
        <v>28.339200000000002</v>
      </c>
      <c r="Y66" s="1">
        <f>AVERAGE(U66:X66)</f>
        <v>22.582799999999999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1"/>
      <c r="AK66" s="65">
        <v>0</v>
      </c>
      <c r="AL66" s="1"/>
      <c r="AM66" s="1"/>
    </row>
    <row r="67" spans="1:39" s="26" customFormat="1" hidden="1" x14ac:dyDescent="0.3">
      <c r="A67" s="19" t="s">
        <v>1109</v>
      </c>
      <c r="B67" s="21" t="s">
        <v>40</v>
      </c>
      <c r="C67" s="21">
        <v>0.7</v>
      </c>
      <c r="D67" s="23">
        <v>525</v>
      </c>
      <c r="E67" s="23">
        <v>750</v>
      </c>
      <c r="F67" s="23"/>
      <c r="G67" s="20" t="s">
        <v>1110</v>
      </c>
      <c r="H67" s="6"/>
      <c r="I67" s="6" t="s">
        <v>1084</v>
      </c>
      <c r="J67" s="6">
        <v>60</v>
      </c>
      <c r="K67" s="21"/>
      <c r="L67" s="21" t="s">
        <v>785</v>
      </c>
      <c r="M67" s="6" t="s">
        <v>195</v>
      </c>
      <c r="N67" s="6">
        <v>246</v>
      </c>
      <c r="O67" s="6"/>
      <c r="P67" s="6"/>
      <c r="Q67" s="27"/>
      <c r="R67" s="28" t="s">
        <v>108</v>
      </c>
      <c r="S67" s="6"/>
      <c r="T67" s="1">
        <v>25.372584000000003</v>
      </c>
      <c r="U67" s="1">
        <v>19.922112000000002</v>
      </c>
      <c r="V67" s="1">
        <v>26.110440000000004</v>
      </c>
      <c r="W67" s="1">
        <v>20.014344000000001</v>
      </c>
      <c r="X67" s="1">
        <v>20.576520000000002</v>
      </c>
      <c r="Y67" s="1">
        <f>AVERAGE(U67:X67)</f>
        <v>21.655854000000001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hidden="1" x14ac:dyDescent="0.3">
      <c r="A68" s="19" t="s">
        <v>1111</v>
      </c>
      <c r="B68" s="21" t="s">
        <v>40</v>
      </c>
      <c r="C68" s="21">
        <v>1.2</v>
      </c>
      <c r="D68" s="23">
        <v>900</v>
      </c>
      <c r="E68" s="23"/>
      <c r="F68" s="23" t="s">
        <v>1108</v>
      </c>
      <c r="G68" s="20" t="s">
        <v>1112</v>
      </c>
      <c r="H68" s="6"/>
      <c r="I68" s="6" t="s">
        <v>1084</v>
      </c>
      <c r="J68" s="6">
        <v>69</v>
      </c>
      <c r="K68" s="21">
        <v>9</v>
      </c>
      <c r="L68" s="21" t="s">
        <v>1073</v>
      </c>
      <c r="M68" s="6" t="s">
        <v>195</v>
      </c>
      <c r="N68" s="6" t="s">
        <v>160</v>
      </c>
      <c r="O68" s="6">
        <v>10</v>
      </c>
      <c r="P68" s="6"/>
      <c r="Q68" s="27"/>
      <c r="R68" s="28" t="s">
        <v>108</v>
      </c>
      <c r="S68" s="6"/>
      <c r="T68" s="1">
        <v>20.414016</v>
      </c>
      <c r="U68" s="1">
        <v>21.752640000000003</v>
      </c>
      <c r="V68" s="1">
        <v>22.979712000000003</v>
      </c>
      <c r="W68" s="1">
        <v>16.398143999999998</v>
      </c>
      <c r="X68" s="1">
        <v>24.764544000000001</v>
      </c>
      <c r="Y68" s="1">
        <f>AVERAGE(U68:X68)</f>
        <v>21.473760000000002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1"/>
      <c r="AK68" s="65">
        <v>0</v>
      </c>
      <c r="AL68" s="1"/>
      <c r="AM68" s="1"/>
    </row>
    <row r="69" spans="1:39" s="26" customFormat="1" hidden="1" x14ac:dyDescent="0.3">
      <c r="A69" s="19" t="s">
        <v>1113</v>
      </c>
      <c r="B69" s="21" t="s">
        <v>40</v>
      </c>
      <c r="C69" s="21">
        <v>1.2</v>
      </c>
      <c r="D69" s="23">
        <v>950</v>
      </c>
      <c r="E69" s="23"/>
      <c r="F69" s="23" t="s">
        <v>1108</v>
      </c>
      <c r="G69" s="20" t="s">
        <v>1114</v>
      </c>
      <c r="H69" s="6"/>
      <c r="I69" s="6" t="s">
        <v>1084</v>
      </c>
      <c r="J69" s="6">
        <v>69</v>
      </c>
      <c r="K69" s="21">
        <v>9</v>
      </c>
      <c r="L69" s="21" t="s">
        <v>1073</v>
      </c>
      <c r="M69" s="6" t="s">
        <v>195</v>
      </c>
      <c r="N69" s="6" t="s">
        <v>160</v>
      </c>
      <c r="O69" s="6">
        <v>10</v>
      </c>
      <c r="P69" s="6"/>
      <c r="Q69" s="27"/>
      <c r="R69" s="28" t="s">
        <v>108</v>
      </c>
      <c r="S69" s="6"/>
      <c r="T69" s="1">
        <v>18.675519999999999</v>
      </c>
      <c r="U69" s="1">
        <v>21.971199999999996</v>
      </c>
      <c r="V69" s="1">
        <v>21.971199999999996</v>
      </c>
      <c r="W69" s="1">
        <v>16.478399999999997</v>
      </c>
      <c r="X69" s="1">
        <v>24.168320000000001</v>
      </c>
      <c r="Y69" s="1">
        <f>AVERAGE(U69:X69)</f>
        <v>21.147279999999995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139</v>
      </c>
      <c r="B70" s="2" t="s">
        <v>40</v>
      </c>
      <c r="C70" s="21">
        <v>1.5</v>
      </c>
      <c r="D70" s="23">
        <v>1250</v>
      </c>
      <c r="E70" s="23" t="s">
        <v>41</v>
      </c>
      <c r="F70" s="23" t="s">
        <v>98</v>
      </c>
      <c r="G70" s="3" t="s">
        <v>99</v>
      </c>
      <c r="H70" s="12" t="s">
        <v>41</v>
      </c>
      <c r="I70" s="12"/>
      <c r="J70" s="4"/>
      <c r="K70" s="5"/>
      <c r="L70" s="5" t="s">
        <v>52</v>
      </c>
      <c r="M70" s="4" t="s">
        <v>84</v>
      </c>
      <c r="N70" s="4" t="s">
        <v>85</v>
      </c>
      <c r="O70" s="12" t="s">
        <v>756</v>
      </c>
      <c r="P70" s="12" t="s">
        <v>47</v>
      </c>
      <c r="Q70" s="30" t="s">
        <v>47</v>
      </c>
      <c r="R70" s="27" t="s">
        <v>47</v>
      </c>
      <c r="S70" s="12" t="s">
        <v>47</v>
      </c>
      <c r="T70" s="13">
        <v>8.1184950000000011</v>
      </c>
      <c r="U70" s="13">
        <v>17.010180000000002</v>
      </c>
      <c r="V70" s="13">
        <v>28.221435</v>
      </c>
      <c r="W70" s="13">
        <v>18.169965000000001</v>
      </c>
      <c r="X70" s="13">
        <v>20.87613</v>
      </c>
      <c r="Y70" s="1">
        <f>AVERAGE(U70:X70)</f>
        <v>21.069427500000003</v>
      </c>
      <c r="Z70" s="10" t="s">
        <v>693</v>
      </c>
      <c r="AA70" s="10" t="s">
        <v>693</v>
      </c>
      <c r="AB70" s="10" t="s">
        <v>693</v>
      </c>
      <c r="AC70" s="10" t="s">
        <v>693</v>
      </c>
      <c r="AD70" s="10" t="s">
        <v>693</v>
      </c>
      <c r="AE70" s="10" t="s">
        <v>693</v>
      </c>
      <c r="AF70" s="10" t="s">
        <v>693</v>
      </c>
      <c r="AG70" s="38">
        <f>COUNTIF(Z70:AF70,"X")/7</f>
        <v>1</v>
      </c>
      <c r="AH70" s="51">
        <f>IF(AG70=100%,Y70," ")</f>
        <v>21.069427500000003</v>
      </c>
      <c r="AI70" s="64">
        <v>2</v>
      </c>
      <c r="AJ70" s="82" t="s">
        <v>1422</v>
      </c>
      <c r="AK70" s="65">
        <v>0</v>
      </c>
      <c r="AL70" s="1"/>
      <c r="AM70" s="1"/>
    </row>
    <row r="71" spans="1:39" s="26" customFormat="1" x14ac:dyDescent="0.3">
      <c r="A71" s="22" t="s">
        <v>140</v>
      </c>
      <c r="B71" s="2" t="s">
        <v>62</v>
      </c>
      <c r="C71" s="21">
        <v>0.6</v>
      </c>
      <c r="D71" s="23">
        <v>455</v>
      </c>
      <c r="E71" s="23" t="s">
        <v>41</v>
      </c>
      <c r="F71" s="23"/>
      <c r="G71" s="3" t="s">
        <v>141</v>
      </c>
      <c r="H71" s="12">
        <v>34025661</v>
      </c>
      <c r="I71" s="10"/>
      <c r="J71" s="4"/>
      <c r="K71" s="5"/>
      <c r="L71" s="5" t="s">
        <v>64</v>
      </c>
      <c r="M71" s="4" t="s">
        <v>80</v>
      </c>
      <c r="N71" s="4" t="s">
        <v>142</v>
      </c>
      <c r="O71" s="12" t="s">
        <v>756</v>
      </c>
      <c r="P71" s="12" t="s">
        <v>47</v>
      </c>
      <c r="Q71" s="30" t="s">
        <v>47</v>
      </c>
      <c r="R71" s="27" t="s">
        <v>47</v>
      </c>
      <c r="S71" s="10" t="s">
        <v>47</v>
      </c>
      <c r="T71" s="13">
        <v>16.000658000000001</v>
      </c>
      <c r="U71" s="13">
        <v>18.7224</v>
      </c>
      <c r="V71" s="13">
        <v>22.596</v>
      </c>
      <c r="W71" s="13">
        <v>20.659200000000002</v>
      </c>
      <c r="X71" s="13">
        <v>22.273199999999999</v>
      </c>
      <c r="Y71" s="1">
        <f>AVERAGE(U71:X71)</f>
        <v>21.0627</v>
      </c>
      <c r="Z71" s="10" t="s">
        <v>693</v>
      </c>
      <c r="AA71" s="10"/>
      <c r="AB71" s="10"/>
      <c r="AC71" s="10"/>
      <c r="AD71" s="10"/>
      <c r="AE71" s="10"/>
      <c r="AF71" s="10"/>
      <c r="AG71" s="38">
        <f>COUNTIF(Z71:AF71,"X")/7</f>
        <v>0.14285714285714285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143</v>
      </c>
      <c r="B72" s="2" t="s">
        <v>40</v>
      </c>
      <c r="C72" s="21">
        <v>1.4</v>
      </c>
      <c r="D72" s="23">
        <v>1100</v>
      </c>
      <c r="E72" s="23" t="s">
        <v>41</v>
      </c>
      <c r="F72" s="23"/>
      <c r="G72" s="3" t="s">
        <v>144</v>
      </c>
      <c r="H72" s="10" t="s">
        <v>41</v>
      </c>
      <c r="I72" s="10"/>
      <c r="J72" s="6"/>
      <c r="K72" s="21"/>
      <c r="L72" s="21" t="s">
        <v>52</v>
      </c>
      <c r="M72" s="4" t="s">
        <v>84</v>
      </c>
      <c r="N72" s="6" t="s">
        <v>145</v>
      </c>
      <c r="O72" s="12" t="s">
        <v>756</v>
      </c>
      <c r="P72" s="10" t="s">
        <v>146</v>
      </c>
      <c r="Q72" s="29" t="s">
        <v>146</v>
      </c>
      <c r="R72" s="27" t="s">
        <v>47</v>
      </c>
      <c r="S72" s="10" t="s">
        <v>47</v>
      </c>
      <c r="T72" s="13">
        <v>8.5608599999999999</v>
      </c>
      <c r="U72" s="13">
        <v>17.625300000000003</v>
      </c>
      <c r="V72" s="13">
        <v>27.696900000000003</v>
      </c>
      <c r="W72" s="13">
        <v>18.128880000000002</v>
      </c>
      <c r="X72" s="13">
        <v>19.136040000000001</v>
      </c>
      <c r="Y72" s="1">
        <f>AVERAGE(U72:X72)</f>
        <v>20.646780000000003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147</v>
      </c>
      <c r="B73" s="2" t="s">
        <v>148</v>
      </c>
      <c r="C73" s="21">
        <v>3</v>
      </c>
      <c r="D73" s="23">
        <v>433</v>
      </c>
      <c r="E73" s="23" t="s">
        <v>41</v>
      </c>
      <c r="F73" s="23"/>
      <c r="G73" s="3" t="s">
        <v>149</v>
      </c>
      <c r="H73" s="10">
        <v>34025370</v>
      </c>
      <c r="I73" s="10"/>
      <c r="J73" s="6"/>
      <c r="K73" s="21"/>
      <c r="L73" s="21" t="s">
        <v>64</v>
      </c>
      <c r="M73" s="6" t="s">
        <v>150</v>
      </c>
      <c r="N73" s="35" t="s">
        <v>46</v>
      </c>
      <c r="O73" s="12" t="s">
        <v>756</v>
      </c>
      <c r="P73" s="10" t="s">
        <v>47</v>
      </c>
      <c r="Q73" s="29" t="s">
        <v>47</v>
      </c>
      <c r="R73" s="27" t="s">
        <v>47</v>
      </c>
      <c r="S73" s="10" t="s">
        <v>47</v>
      </c>
      <c r="T73" s="13">
        <v>18.74661</v>
      </c>
      <c r="U73" s="13">
        <v>22.757400000000001</v>
      </c>
      <c r="V73" s="13">
        <v>16.462799999999998</v>
      </c>
      <c r="W73" s="13">
        <v>19.367999999999999</v>
      </c>
      <c r="X73" s="13">
        <v>19.8522</v>
      </c>
      <c r="Y73" s="1">
        <f>AVERAGE(U73:X73)</f>
        <v>19.610099999999999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hidden="1" x14ac:dyDescent="0.3">
      <c r="A74" s="22" t="s">
        <v>777</v>
      </c>
      <c r="B74" s="2" t="s">
        <v>49</v>
      </c>
      <c r="C74" s="21">
        <v>7</v>
      </c>
      <c r="D74" s="23">
        <v>1200</v>
      </c>
      <c r="E74" s="23"/>
      <c r="F74" s="28"/>
      <c r="G74" s="3" t="s">
        <v>778</v>
      </c>
      <c r="H74" s="6"/>
      <c r="I74" s="6"/>
      <c r="J74" s="6">
        <v>63</v>
      </c>
      <c r="K74" s="21"/>
      <c r="L74" s="21" t="s">
        <v>764</v>
      </c>
      <c r="M74" s="6" t="s">
        <v>704</v>
      </c>
      <c r="N74" s="6"/>
      <c r="O74" s="6" t="s">
        <v>756</v>
      </c>
      <c r="P74" s="6"/>
      <c r="Q74" s="27"/>
      <c r="R74" s="28" t="s">
        <v>692</v>
      </c>
      <c r="S74" s="6"/>
      <c r="T74" s="1">
        <v>1.1909560000000001</v>
      </c>
      <c r="U74" s="1">
        <v>18.347159999999999</v>
      </c>
      <c r="V74" s="1">
        <v>22.789103999999998</v>
      </c>
      <c r="W74" s="1">
        <v>20.085312000000002</v>
      </c>
      <c r="X74" s="1">
        <v>16.802136000000001</v>
      </c>
      <c r="Y74" s="1">
        <f>AVERAGE(U74:X74)</f>
        <v>19.505928000000001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hidden="1" x14ac:dyDescent="0.3">
      <c r="A75" s="19" t="s">
        <v>1115</v>
      </c>
      <c r="B75" s="21" t="s">
        <v>40</v>
      </c>
      <c r="C75" s="21">
        <v>0.7</v>
      </c>
      <c r="D75" s="23">
        <v>1300</v>
      </c>
      <c r="E75" s="23"/>
      <c r="F75" s="23" t="s">
        <v>1108</v>
      </c>
      <c r="G75" s="20" t="s">
        <v>1116</v>
      </c>
      <c r="H75" s="6"/>
      <c r="I75" s="6" t="s">
        <v>1078</v>
      </c>
      <c r="J75" s="6">
        <v>59</v>
      </c>
      <c r="K75" s="21">
        <v>3.5</v>
      </c>
      <c r="L75" s="21" t="s">
        <v>1073</v>
      </c>
      <c r="M75" s="6" t="s">
        <v>195</v>
      </c>
      <c r="N75" s="6" t="s">
        <v>160</v>
      </c>
      <c r="O75" s="6">
        <v>10</v>
      </c>
      <c r="P75" s="6"/>
      <c r="Q75" s="27"/>
      <c r="R75" s="28" t="s">
        <v>108</v>
      </c>
      <c r="S75" s="6"/>
      <c r="T75" s="1">
        <v>18.920960000000001</v>
      </c>
      <c r="U75" s="1">
        <v>19.418880000000001</v>
      </c>
      <c r="V75" s="1">
        <v>20.514303999999999</v>
      </c>
      <c r="W75" s="1">
        <v>14.638847999999999</v>
      </c>
      <c r="X75" s="1">
        <v>22.107648000000001</v>
      </c>
      <c r="Y75" s="1">
        <f>AVERAGE(U75:X75)</f>
        <v>19.169919999999998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151</v>
      </c>
      <c r="B76" s="2" t="s">
        <v>152</v>
      </c>
      <c r="C76" s="21">
        <v>0.6</v>
      </c>
      <c r="D76" s="23">
        <v>500</v>
      </c>
      <c r="E76" s="23">
        <v>500</v>
      </c>
      <c r="F76" s="23"/>
      <c r="G76" s="3" t="s">
        <v>141</v>
      </c>
      <c r="H76" s="10">
        <v>34028964</v>
      </c>
      <c r="I76" s="10"/>
      <c r="J76" s="6"/>
      <c r="K76" s="21"/>
      <c r="L76" s="21" t="s">
        <v>64</v>
      </c>
      <c r="M76" s="6" t="s">
        <v>80</v>
      </c>
      <c r="N76" s="6" t="s">
        <v>142</v>
      </c>
      <c r="O76" s="12" t="s">
        <v>756</v>
      </c>
      <c r="P76" s="10" t="s">
        <v>47</v>
      </c>
      <c r="Q76" s="29" t="s">
        <v>47</v>
      </c>
      <c r="R76" s="27" t="s">
        <v>47</v>
      </c>
      <c r="S76" s="10" t="s">
        <v>47</v>
      </c>
      <c r="T76" s="13">
        <v>18.010124000000001</v>
      </c>
      <c r="U76" s="13">
        <v>16.257983999999997</v>
      </c>
      <c r="V76" s="13">
        <v>21.339775999999997</v>
      </c>
      <c r="W76" s="13">
        <v>18.56448</v>
      </c>
      <c r="X76" s="13">
        <v>19.427071999999999</v>
      </c>
      <c r="Y76" s="1">
        <f>AVERAGE(U76:X76)</f>
        <v>18.897327999999998</v>
      </c>
      <c r="Z76" s="10" t="s">
        <v>693</v>
      </c>
      <c r="AA76" s="10" t="s">
        <v>693</v>
      </c>
      <c r="AB76" s="10" t="s">
        <v>693</v>
      </c>
      <c r="AC76" s="10" t="s">
        <v>693</v>
      </c>
      <c r="AD76" s="10" t="s">
        <v>693</v>
      </c>
      <c r="AE76" s="10" t="s">
        <v>693</v>
      </c>
      <c r="AF76" s="10" t="s">
        <v>693</v>
      </c>
      <c r="AG76" s="38">
        <f>COUNTIF(Z76:AF76,"X")/7</f>
        <v>1</v>
      </c>
      <c r="AH76" s="51">
        <f>IF(AG76=100%,Y76," ")</f>
        <v>18.897327999999998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153</v>
      </c>
      <c r="B77" s="2" t="s">
        <v>49</v>
      </c>
      <c r="C77" s="21">
        <v>6</v>
      </c>
      <c r="D77" s="23">
        <v>1100</v>
      </c>
      <c r="E77" s="23" t="s">
        <v>41</v>
      </c>
      <c r="F77" s="23"/>
      <c r="G77" s="3" t="s">
        <v>154</v>
      </c>
      <c r="H77" s="12" t="s">
        <v>41</v>
      </c>
      <c r="I77" s="12"/>
      <c r="J77" s="4"/>
      <c r="K77" s="5"/>
      <c r="L77" s="5" t="s">
        <v>52</v>
      </c>
      <c r="M77" s="4" t="s">
        <v>155</v>
      </c>
      <c r="N77" s="4" t="s">
        <v>156</v>
      </c>
      <c r="O77" s="12" t="s">
        <v>756</v>
      </c>
      <c r="P77" s="12" t="s">
        <v>47</v>
      </c>
      <c r="Q77" s="30" t="s">
        <v>47</v>
      </c>
      <c r="R77" s="27" t="s">
        <v>47</v>
      </c>
      <c r="S77" s="12" t="s">
        <v>55</v>
      </c>
      <c r="T77" s="13">
        <v>15.537720000000002</v>
      </c>
      <c r="U77" s="13">
        <v>15.341040000000001</v>
      </c>
      <c r="V77" s="13">
        <v>19.471319999999999</v>
      </c>
      <c r="W77" s="13">
        <v>18.88128</v>
      </c>
      <c r="X77" s="13">
        <v>18.88128</v>
      </c>
      <c r="Y77" s="1">
        <f>AVERAGE(U77:X77)</f>
        <v>18.143730000000001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157</v>
      </c>
      <c r="B78" s="2" t="s">
        <v>158</v>
      </c>
      <c r="C78" s="21">
        <v>2</v>
      </c>
      <c r="D78" s="23">
        <v>400</v>
      </c>
      <c r="E78" s="23" t="s">
        <v>41</v>
      </c>
      <c r="F78" s="23"/>
      <c r="G78" s="3" t="s">
        <v>159</v>
      </c>
      <c r="H78" s="10">
        <v>34025662</v>
      </c>
      <c r="I78" s="10"/>
      <c r="J78" s="6"/>
      <c r="K78" s="21"/>
      <c r="L78" s="21" t="s">
        <v>64</v>
      </c>
      <c r="M78" s="6" t="s">
        <v>115</v>
      </c>
      <c r="N78" s="6" t="s">
        <v>160</v>
      </c>
      <c r="O78" s="12" t="s">
        <v>756</v>
      </c>
      <c r="P78" s="10" t="s">
        <v>47</v>
      </c>
      <c r="Q78" s="29" t="s">
        <v>47</v>
      </c>
      <c r="R78" s="27" t="s">
        <v>47</v>
      </c>
      <c r="S78" s="10" t="s">
        <v>47</v>
      </c>
      <c r="T78" s="13">
        <v>14.953199999999999</v>
      </c>
      <c r="U78" s="13">
        <v>17.591999999999999</v>
      </c>
      <c r="V78" s="13">
        <v>17.943840000000002</v>
      </c>
      <c r="W78" s="13">
        <v>17.943840000000002</v>
      </c>
      <c r="X78" s="13">
        <v>16.536480000000001</v>
      </c>
      <c r="Y78" s="1">
        <f>AVERAGE(U78:X78)</f>
        <v>17.50404</v>
      </c>
      <c r="Z78" s="10"/>
      <c r="AA78" s="10"/>
      <c r="AB78" s="10"/>
      <c r="AC78" s="10"/>
      <c r="AD78" s="10"/>
      <c r="AE78" s="10"/>
      <c r="AF78" s="10"/>
      <c r="AG78" s="38">
        <f>COUNTIF(Z78:AF78,"X")/7</f>
        <v>0</v>
      </c>
      <c r="AH78" s="51" t="str">
        <f>IF(AG78=100%,Y78," ")</f>
        <v xml:space="preserve"> </v>
      </c>
      <c r="AI78" s="64"/>
      <c r="AJ78" s="1"/>
      <c r="AK78" s="65">
        <v>0</v>
      </c>
      <c r="AL78" s="1"/>
      <c r="AM78" s="1"/>
    </row>
    <row r="79" spans="1:39" s="26" customFormat="1" hidden="1" x14ac:dyDescent="0.3">
      <c r="A79" s="22" t="s">
        <v>48</v>
      </c>
      <c r="B79" s="2" t="s">
        <v>49</v>
      </c>
      <c r="C79" s="21">
        <v>4.75</v>
      </c>
      <c r="D79" s="23">
        <v>1250</v>
      </c>
      <c r="E79" s="23"/>
      <c r="F79" s="28" t="s">
        <v>50</v>
      </c>
      <c r="G79" s="3" t="s">
        <v>748</v>
      </c>
      <c r="H79" s="6"/>
      <c r="I79" s="6" t="s">
        <v>687</v>
      </c>
      <c r="J79" s="6">
        <v>59</v>
      </c>
      <c r="K79" s="21">
        <v>23</v>
      </c>
      <c r="L79" s="21" t="s">
        <v>703</v>
      </c>
      <c r="M79" s="6" t="s">
        <v>779</v>
      </c>
      <c r="N79" s="6"/>
      <c r="O79" s="6" t="s">
        <v>756</v>
      </c>
      <c r="P79" s="6"/>
      <c r="Q79" s="27"/>
      <c r="R79" s="28" t="s">
        <v>692</v>
      </c>
      <c r="S79" s="6" t="s">
        <v>55</v>
      </c>
      <c r="T79" s="1">
        <v>12.894228999999999</v>
      </c>
      <c r="U79" s="1">
        <v>16.988973000000001</v>
      </c>
      <c r="V79" s="1">
        <v>21.603057999999997</v>
      </c>
      <c r="W79" s="1">
        <v>17.469856</v>
      </c>
      <c r="X79" s="1">
        <v>13.692178</v>
      </c>
      <c r="Y79" s="1">
        <f>AVERAGE(U79:X79)</f>
        <v>17.438516249999999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161</v>
      </c>
      <c r="B80" s="2" t="s">
        <v>68</v>
      </c>
      <c r="C80" s="21">
        <v>0.9</v>
      </c>
      <c r="D80" s="23">
        <v>1100</v>
      </c>
      <c r="E80" s="23" t="s">
        <v>41</v>
      </c>
      <c r="F80" s="23"/>
      <c r="G80" s="3" t="s">
        <v>83</v>
      </c>
      <c r="H80" s="12" t="s">
        <v>41</v>
      </c>
      <c r="I80" s="10"/>
      <c r="J80" s="4"/>
      <c r="K80" s="5"/>
      <c r="L80" s="5" t="s">
        <v>52</v>
      </c>
      <c r="M80" s="4" t="s">
        <v>84</v>
      </c>
      <c r="N80" s="4" t="s">
        <v>85</v>
      </c>
      <c r="O80" s="12" t="s">
        <v>756</v>
      </c>
      <c r="P80" s="12" t="s">
        <v>47</v>
      </c>
      <c r="Q80" s="30" t="s">
        <v>47</v>
      </c>
      <c r="R80" s="27" t="s">
        <v>47</v>
      </c>
      <c r="S80" s="10" t="s">
        <v>47</v>
      </c>
      <c r="T80" s="13">
        <v>12.315858</v>
      </c>
      <c r="U80" s="13">
        <v>14.371656</v>
      </c>
      <c r="V80" s="13">
        <v>24.588808</v>
      </c>
      <c r="W80" s="13">
        <v>13.912288</v>
      </c>
      <c r="X80" s="13">
        <v>15.618512000000001</v>
      </c>
      <c r="Y80" s="1">
        <f>AVERAGE(U80:X80)</f>
        <v>17.122816</v>
      </c>
      <c r="Z80" s="10"/>
      <c r="AA80" s="10"/>
      <c r="AB80" s="10"/>
      <c r="AC80" s="10"/>
      <c r="AD80" s="10"/>
      <c r="AE80" s="10"/>
      <c r="AF80" s="10"/>
      <c r="AG80" s="38">
        <f>COUNTIF(Z80:AF80,"X")/7</f>
        <v>0</v>
      </c>
      <c r="AH80" s="51" t="str">
        <f>IF(AG80=100%,Y80," ")</f>
        <v xml:space="preserve"> </v>
      </c>
      <c r="AI80" s="64"/>
      <c r="AJ80" s="1"/>
      <c r="AK80" s="65">
        <v>0</v>
      </c>
      <c r="AL80" s="1"/>
      <c r="AM80" s="1"/>
    </row>
    <row r="81" spans="1:39" s="26" customFormat="1" hidden="1" x14ac:dyDescent="0.3">
      <c r="A81" s="19" t="s">
        <v>1117</v>
      </c>
      <c r="B81" s="21" t="s">
        <v>40</v>
      </c>
      <c r="C81" s="21">
        <v>0.8</v>
      </c>
      <c r="D81" s="23">
        <v>625</v>
      </c>
      <c r="E81" s="23"/>
      <c r="F81" s="23" t="s">
        <v>82</v>
      </c>
      <c r="G81" s="20" t="s">
        <v>1118</v>
      </c>
      <c r="H81" s="6"/>
      <c r="I81" s="6" t="s">
        <v>1078</v>
      </c>
      <c r="J81" s="6">
        <v>59</v>
      </c>
      <c r="K81" s="21">
        <v>3.5</v>
      </c>
      <c r="L81" s="21" t="s">
        <v>1073</v>
      </c>
      <c r="M81" s="6" t="s">
        <v>195</v>
      </c>
      <c r="N81" s="6" t="s">
        <v>160</v>
      </c>
      <c r="O81" s="6">
        <v>10</v>
      </c>
      <c r="P81" s="6"/>
      <c r="Q81" s="27"/>
      <c r="R81" s="28" t="s">
        <v>108</v>
      </c>
      <c r="S81" s="6"/>
      <c r="T81" s="1">
        <v>16.496479999999998</v>
      </c>
      <c r="U81" s="1">
        <v>16.796416000000001</v>
      </c>
      <c r="V81" s="1">
        <v>17.546256</v>
      </c>
      <c r="W81" s="1">
        <v>12.597312000000001</v>
      </c>
      <c r="X81" s="1">
        <v>19.045935999999998</v>
      </c>
      <c r="Y81" s="1">
        <f>AVERAGE(U81:X81)</f>
        <v>16.496479999999998</v>
      </c>
      <c r="Z81" s="10"/>
      <c r="AA81" s="10"/>
      <c r="AB81" s="10"/>
      <c r="AC81" s="10"/>
      <c r="AD81" s="10"/>
      <c r="AE81" s="10"/>
      <c r="AF81" s="10"/>
      <c r="AG81" s="38">
        <f>COUNTIF(Z81:AF81,"X")/7</f>
        <v>0</v>
      </c>
      <c r="AH81" s="51" t="str">
        <f>IF(AG81=100%,Y81," ")</f>
        <v xml:space="preserve"> </v>
      </c>
      <c r="AI81" s="64"/>
      <c r="AJ81" s="1"/>
      <c r="AK81" s="65">
        <v>0</v>
      </c>
      <c r="AL81" s="1"/>
      <c r="AM81" s="1"/>
    </row>
    <row r="82" spans="1:39" s="26" customFormat="1" hidden="1" x14ac:dyDescent="0.3">
      <c r="A82" s="22" t="s">
        <v>586</v>
      </c>
      <c r="B82" s="2" t="s">
        <v>49</v>
      </c>
      <c r="C82" s="21">
        <v>2.5</v>
      </c>
      <c r="D82" s="23">
        <v>1250</v>
      </c>
      <c r="E82" s="23"/>
      <c r="F82" s="28"/>
      <c r="G82" s="3" t="s">
        <v>780</v>
      </c>
      <c r="H82" s="6"/>
      <c r="I82" s="6"/>
      <c r="J82" s="6">
        <v>63</v>
      </c>
      <c r="K82" s="21"/>
      <c r="L82" s="21" t="s">
        <v>764</v>
      </c>
      <c r="M82" s="6" t="s">
        <v>704</v>
      </c>
      <c r="N82" s="6" t="s">
        <v>781</v>
      </c>
      <c r="O82" s="6" t="s">
        <v>756</v>
      </c>
      <c r="P82" s="6"/>
      <c r="Q82" s="27"/>
      <c r="R82" s="28" t="s">
        <v>692</v>
      </c>
      <c r="S82" s="6"/>
      <c r="T82" s="1">
        <v>3.8926090000000002</v>
      </c>
      <c r="U82" s="1">
        <v>13.51455</v>
      </c>
      <c r="V82" s="1">
        <v>19.18695</v>
      </c>
      <c r="W82" s="1">
        <v>17.615680000000001</v>
      </c>
      <c r="X82" s="1">
        <v>14.790130000000001</v>
      </c>
      <c r="Y82" s="1">
        <f>AVERAGE(U82:X82)</f>
        <v>16.2768275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162</v>
      </c>
      <c r="B83" s="2" t="s">
        <v>68</v>
      </c>
      <c r="C83" s="21">
        <v>0.6</v>
      </c>
      <c r="D83" s="23">
        <v>1050</v>
      </c>
      <c r="E83" s="23" t="s">
        <v>41</v>
      </c>
      <c r="F83" s="23"/>
      <c r="G83" s="3" t="s">
        <v>163</v>
      </c>
      <c r="H83" s="12" t="s">
        <v>41</v>
      </c>
      <c r="I83" s="10"/>
      <c r="J83" s="4"/>
      <c r="K83" s="5"/>
      <c r="L83" s="5" t="s">
        <v>52</v>
      </c>
      <c r="M83" s="4" t="s">
        <v>164</v>
      </c>
      <c r="N83" s="4" t="s">
        <v>85</v>
      </c>
      <c r="O83" s="12" t="s">
        <v>756</v>
      </c>
      <c r="P83" s="12" t="s">
        <v>47</v>
      </c>
      <c r="Q83" s="30" t="s">
        <v>47</v>
      </c>
      <c r="R83" s="27" t="s">
        <v>47</v>
      </c>
      <c r="S83" s="10" t="s">
        <v>47</v>
      </c>
      <c r="T83" s="13">
        <v>12.456800000000001</v>
      </c>
      <c r="U83" s="13">
        <v>15.706400000000002</v>
      </c>
      <c r="V83" s="13">
        <v>18.414400000000001</v>
      </c>
      <c r="W83" s="13">
        <v>15.164800000000001</v>
      </c>
      <c r="X83" s="13">
        <v>15.706400000000002</v>
      </c>
      <c r="Y83" s="1">
        <f>AVERAGE(U83:X83)</f>
        <v>16.248000000000001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165</v>
      </c>
      <c r="B84" s="2" t="s">
        <v>49</v>
      </c>
      <c r="C84" s="21">
        <v>3</v>
      </c>
      <c r="D84" s="23">
        <v>1450</v>
      </c>
      <c r="E84" s="23" t="s">
        <v>41</v>
      </c>
      <c r="F84" s="23"/>
      <c r="G84" s="3" t="s">
        <v>166</v>
      </c>
      <c r="H84" s="10" t="s">
        <v>41</v>
      </c>
      <c r="I84" s="10"/>
      <c r="J84" s="6"/>
      <c r="K84" s="21"/>
      <c r="L84" s="21" t="s">
        <v>52</v>
      </c>
      <c r="M84" s="6" t="s">
        <v>75</v>
      </c>
      <c r="N84" s="6" t="s">
        <v>167</v>
      </c>
      <c r="O84" s="12" t="s">
        <v>756</v>
      </c>
      <c r="P84" s="10" t="s">
        <v>47</v>
      </c>
      <c r="Q84" s="29" t="s">
        <v>47</v>
      </c>
      <c r="R84" s="27" t="s">
        <v>47</v>
      </c>
      <c r="S84" s="10" t="s">
        <v>55</v>
      </c>
      <c r="T84" s="13">
        <v>5.5061499999999999</v>
      </c>
      <c r="U84" s="13">
        <v>14.867387999999998</v>
      </c>
      <c r="V84" s="13">
        <v>18.702372</v>
      </c>
      <c r="W84" s="13">
        <v>14.355245999999999</v>
      </c>
      <c r="X84" s="13">
        <v>16.549896</v>
      </c>
      <c r="Y84" s="1">
        <f>AVERAGE(U84:X84)</f>
        <v>16.1187255</v>
      </c>
      <c r="Z84" s="10"/>
      <c r="AA84" s="10"/>
      <c r="AB84" s="10"/>
      <c r="AC84" s="10"/>
      <c r="AD84" s="10"/>
      <c r="AE84" s="10"/>
      <c r="AF84" s="10"/>
      <c r="AG84" s="38">
        <f>COUNTIF(Z84:AF84,"X")/7</f>
        <v>0</v>
      </c>
      <c r="AH84" s="51" t="str">
        <f>IF(AG84=100%,Y84," ")</f>
        <v xml:space="preserve"> </v>
      </c>
      <c r="AI84" s="64"/>
      <c r="AJ84" s="1"/>
      <c r="AK84" s="65">
        <v>0</v>
      </c>
      <c r="AL84" s="1"/>
      <c r="AM84" s="1"/>
    </row>
    <row r="85" spans="1:39" s="26" customFormat="1" hidden="1" x14ac:dyDescent="0.3">
      <c r="A85" s="19" t="s">
        <v>1119</v>
      </c>
      <c r="B85" s="21" t="s">
        <v>40</v>
      </c>
      <c r="C85" s="21">
        <v>0.65</v>
      </c>
      <c r="D85" s="23">
        <v>750</v>
      </c>
      <c r="E85" s="23"/>
      <c r="F85" s="23" t="s">
        <v>82</v>
      </c>
      <c r="G85" s="20" t="s">
        <v>1100</v>
      </c>
      <c r="H85" s="6"/>
      <c r="I85" s="6" t="s">
        <v>1078</v>
      </c>
      <c r="J85" s="6">
        <v>59</v>
      </c>
      <c r="K85" s="21">
        <v>5</v>
      </c>
      <c r="L85" s="21" t="s">
        <v>1073</v>
      </c>
      <c r="M85" s="6" t="s">
        <v>195</v>
      </c>
      <c r="N85" s="6" t="s">
        <v>160</v>
      </c>
      <c r="O85" s="6">
        <v>10</v>
      </c>
      <c r="P85" s="6"/>
      <c r="Q85" s="27"/>
      <c r="R85" s="28" t="s">
        <v>108</v>
      </c>
      <c r="S85" s="6"/>
      <c r="T85" s="1">
        <v>15.237311999999999</v>
      </c>
      <c r="U85" s="1">
        <v>16.23648</v>
      </c>
      <c r="V85" s="1">
        <v>17.152383999999998</v>
      </c>
      <c r="W85" s="1">
        <v>12.239807999999998</v>
      </c>
      <c r="X85" s="1">
        <v>18.484608000000001</v>
      </c>
      <c r="Y85" s="1">
        <f>AVERAGE(U85:X85)</f>
        <v>16.028320000000001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hidden="1" x14ac:dyDescent="0.3">
      <c r="A86" s="22" t="s">
        <v>782</v>
      </c>
      <c r="B86" s="2" t="s">
        <v>49</v>
      </c>
      <c r="C86" s="21">
        <v>6</v>
      </c>
      <c r="D86" s="23">
        <v>1200</v>
      </c>
      <c r="E86" s="23"/>
      <c r="F86" s="28"/>
      <c r="G86" s="3" t="s">
        <v>760</v>
      </c>
      <c r="H86" s="4"/>
      <c r="I86" s="6" t="s">
        <v>687</v>
      </c>
      <c r="J86" s="4">
        <v>59</v>
      </c>
      <c r="K86" s="5">
        <v>23</v>
      </c>
      <c r="L86" s="5" t="s">
        <v>703</v>
      </c>
      <c r="M86" s="4" t="s">
        <v>761</v>
      </c>
      <c r="N86" s="4"/>
      <c r="O86" s="6" t="s">
        <v>756</v>
      </c>
      <c r="P86" s="4"/>
      <c r="Q86" s="24"/>
      <c r="R86" s="25" t="s">
        <v>692</v>
      </c>
      <c r="S86" s="6" t="s">
        <v>55</v>
      </c>
      <c r="T86" s="1">
        <v>6.8652519999999999</v>
      </c>
      <c r="U86" s="1">
        <v>12.267691999999998</v>
      </c>
      <c r="V86" s="1">
        <v>18.618827999999997</v>
      </c>
      <c r="W86" s="1">
        <v>16.268136000000002</v>
      </c>
      <c r="X86" s="1">
        <v>16.647292</v>
      </c>
      <c r="Y86" s="1">
        <f>AVERAGE(U86:X86)</f>
        <v>15.950487000000001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hidden="1" x14ac:dyDescent="0.3">
      <c r="A87" s="19" t="s">
        <v>327</v>
      </c>
      <c r="B87" s="21" t="s">
        <v>68</v>
      </c>
      <c r="C87" s="21">
        <v>1.5</v>
      </c>
      <c r="D87" s="23">
        <v>1100</v>
      </c>
      <c r="E87" s="23"/>
      <c r="F87" s="23" t="s">
        <v>1080</v>
      </c>
      <c r="G87" s="20" t="s">
        <v>1120</v>
      </c>
      <c r="H87" s="6"/>
      <c r="I87" s="6" t="s">
        <v>1121</v>
      </c>
      <c r="J87" s="6">
        <v>90</v>
      </c>
      <c r="K87" s="21">
        <v>10</v>
      </c>
      <c r="L87" s="21" t="s">
        <v>71</v>
      </c>
      <c r="M87" s="6" t="s">
        <v>195</v>
      </c>
      <c r="N87" s="6" t="s">
        <v>160</v>
      </c>
      <c r="O87" s="6">
        <v>15</v>
      </c>
      <c r="P87" s="6"/>
      <c r="Q87" s="27"/>
      <c r="R87" s="28" t="s">
        <v>108</v>
      </c>
      <c r="S87" s="6"/>
      <c r="T87" s="1">
        <v>14.430456</v>
      </c>
      <c r="U87" s="1">
        <v>15.945045</v>
      </c>
      <c r="V87" s="1">
        <v>16.807625000000002</v>
      </c>
      <c r="W87" s="1">
        <v>11.974639999999999</v>
      </c>
      <c r="X87" s="1">
        <v>18.126865000000002</v>
      </c>
      <c r="Y87" s="1">
        <f>AVERAGE(U87:X87)</f>
        <v>15.713543750000001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168</v>
      </c>
      <c r="B88" s="2" t="s">
        <v>49</v>
      </c>
      <c r="C88" s="21">
        <v>6</v>
      </c>
      <c r="D88" s="23">
        <v>1050</v>
      </c>
      <c r="E88" s="23" t="s">
        <v>41</v>
      </c>
      <c r="F88" s="23"/>
      <c r="G88" s="3" t="s">
        <v>169</v>
      </c>
      <c r="H88" s="12" t="s">
        <v>41</v>
      </c>
      <c r="I88" s="10"/>
      <c r="J88" s="4"/>
      <c r="K88" s="5"/>
      <c r="L88" s="5" t="s">
        <v>52</v>
      </c>
      <c r="M88" s="4" t="s">
        <v>119</v>
      </c>
      <c r="N88" s="4" t="s">
        <v>170</v>
      </c>
      <c r="O88" s="12" t="s">
        <v>756</v>
      </c>
      <c r="P88" s="12" t="s">
        <v>47</v>
      </c>
      <c r="Q88" s="30" t="s">
        <v>47</v>
      </c>
      <c r="R88" s="27" t="s">
        <v>47</v>
      </c>
      <c r="S88" s="10" t="s">
        <v>55</v>
      </c>
      <c r="T88" s="13">
        <v>11.44408</v>
      </c>
      <c r="U88" s="13">
        <v>12.0464</v>
      </c>
      <c r="V88" s="13">
        <v>14.68155</v>
      </c>
      <c r="W88" s="13">
        <v>14.68155</v>
      </c>
      <c r="X88" s="13">
        <v>18.604158999999999</v>
      </c>
      <c r="Y88" s="1">
        <f>AVERAGE(U88:X88)</f>
        <v>15.003414750000001</v>
      </c>
      <c r="Z88" s="10"/>
      <c r="AA88" s="10"/>
      <c r="AB88" s="10"/>
      <c r="AC88" s="10"/>
      <c r="AD88" s="10"/>
      <c r="AE88" s="10"/>
      <c r="AF88" s="10"/>
      <c r="AG88" s="38">
        <f>COUNTIF(Z88:AF88,"X")/7</f>
        <v>0</v>
      </c>
      <c r="AH88" s="51" t="str">
        <f>IF(AG88=100%,Y88," ")</f>
        <v xml:space="preserve"> </v>
      </c>
      <c r="AI88" s="64"/>
      <c r="AJ88" s="1"/>
      <c r="AK88" s="65">
        <v>0</v>
      </c>
      <c r="AL88" s="1"/>
      <c r="AM88" s="1"/>
    </row>
    <row r="89" spans="1:39" s="26" customFormat="1" x14ac:dyDescent="0.3">
      <c r="A89" s="22" t="s">
        <v>171</v>
      </c>
      <c r="B89" s="2" t="s">
        <v>40</v>
      </c>
      <c r="C89" s="21">
        <v>1.2</v>
      </c>
      <c r="D89" s="23">
        <v>1100</v>
      </c>
      <c r="E89" s="23" t="s">
        <v>41</v>
      </c>
      <c r="F89" s="23"/>
      <c r="G89" s="3" t="s">
        <v>172</v>
      </c>
      <c r="H89" s="10" t="s">
        <v>41</v>
      </c>
      <c r="I89" s="10"/>
      <c r="J89" s="6"/>
      <c r="K89" s="21"/>
      <c r="L89" s="21" t="s">
        <v>52</v>
      </c>
      <c r="M89" s="6" t="s">
        <v>164</v>
      </c>
      <c r="N89" s="6" t="s">
        <v>173</v>
      </c>
      <c r="O89" s="12" t="s">
        <v>756</v>
      </c>
      <c r="P89" s="10" t="s">
        <v>47</v>
      </c>
      <c r="Q89" s="29" t="s">
        <v>47</v>
      </c>
      <c r="R89" s="27" t="s">
        <v>47</v>
      </c>
      <c r="S89" s="10" t="s">
        <v>47</v>
      </c>
      <c r="T89" s="13">
        <v>10.476078000000001</v>
      </c>
      <c r="U89" s="13">
        <v>11.337382000000002</v>
      </c>
      <c r="V89" s="13">
        <v>17.497578000000001</v>
      </c>
      <c r="W89" s="13">
        <v>14.417479999999999</v>
      </c>
      <c r="X89" s="13">
        <v>15.363042000000002</v>
      </c>
      <c r="Y89" s="1">
        <f>AVERAGE(U89:X89)</f>
        <v>14.6538705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hidden="1" x14ac:dyDescent="0.3">
      <c r="A90" s="22" t="s">
        <v>797</v>
      </c>
      <c r="B90" s="2" t="s">
        <v>49</v>
      </c>
      <c r="C90" s="21">
        <v>7.75</v>
      </c>
      <c r="D90" s="23">
        <v>1100</v>
      </c>
      <c r="E90" s="23"/>
      <c r="F90" s="28"/>
      <c r="G90" s="3" t="s">
        <v>715</v>
      </c>
      <c r="H90" s="6"/>
      <c r="I90" s="6" t="s">
        <v>687</v>
      </c>
      <c r="J90" s="6">
        <v>59</v>
      </c>
      <c r="K90" s="21">
        <v>24</v>
      </c>
      <c r="L90" s="5" t="s">
        <v>703</v>
      </c>
      <c r="M90" s="6" t="s">
        <v>689</v>
      </c>
      <c r="N90" s="6" t="s">
        <v>798</v>
      </c>
      <c r="O90" s="6" t="s">
        <v>793</v>
      </c>
      <c r="P90" s="6"/>
      <c r="Q90" s="27"/>
      <c r="R90" s="28" t="s">
        <v>692</v>
      </c>
      <c r="S90" s="6" t="s">
        <v>55</v>
      </c>
      <c r="T90" s="1">
        <v>13.785334000000001</v>
      </c>
      <c r="U90" s="1">
        <v>10.883072</v>
      </c>
      <c r="V90" s="1">
        <v>10.883072</v>
      </c>
      <c r="W90" s="1">
        <v>15.666688000000002</v>
      </c>
      <c r="X90" s="1">
        <v>20.749280000000002</v>
      </c>
      <c r="Y90" s="1">
        <f>AVERAGE(U90:X90)</f>
        <v>14.545528000000001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hidden="1" x14ac:dyDescent="0.3">
      <c r="A91" s="19" t="s">
        <v>1122</v>
      </c>
      <c r="B91" s="21" t="s">
        <v>68</v>
      </c>
      <c r="C91" s="21">
        <v>1</v>
      </c>
      <c r="D91" s="23">
        <v>1150</v>
      </c>
      <c r="E91" s="23"/>
      <c r="F91" s="23" t="s">
        <v>1123</v>
      </c>
      <c r="G91" s="20" t="s">
        <v>1124</v>
      </c>
      <c r="H91" s="6"/>
      <c r="I91" s="6" t="s">
        <v>1125</v>
      </c>
      <c r="J91" s="6">
        <v>90</v>
      </c>
      <c r="K91" s="21">
        <v>8</v>
      </c>
      <c r="L91" s="21" t="s">
        <v>71</v>
      </c>
      <c r="M91" s="6" t="s">
        <v>195</v>
      </c>
      <c r="N91" s="35" t="s">
        <v>46</v>
      </c>
      <c r="O91" s="6">
        <v>12</v>
      </c>
      <c r="P91" s="6"/>
      <c r="Q91" s="27"/>
      <c r="R91" s="28" t="s">
        <v>108</v>
      </c>
      <c r="S91" s="6"/>
      <c r="T91" s="1">
        <v>11.883105000000002</v>
      </c>
      <c r="U91" s="1">
        <v>16.588950000000001</v>
      </c>
      <c r="V91" s="1">
        <v>16.588950000000001</v>
      </c>
      <c r="W91" s="1">
        <v>6.3196000000000003</v>
      </c>
      <c r="X91" s="1">
        <v>18.168850000000003</v>
      </c>
      <c r="Y91" s="1">
        <f>AVERAGE(U91:X91)</f>
        <v>14.416587500000002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ht="71.400000000000006" x14ac:dyDescent="0.3">
      <c r="A92" s="22" t="s">
        <v>174</v>
      </c>
      <c r="B92" s="2" t="s">
        <v>49</v>
      </c>
      <c r="C92" s="21">
        <v>4.75</v>
      </c>
      <c r="D92" s="23">
        <v>1230</v>
      </c>
      <c r="E92" s="23" t="s">
        <v>41</v>
      </c>
      <c r="F92" s="23"/>
      <c r="G92" s="3" t="s">
        <v>175</v>
      </c>
      <c r="H92" s="12" t="s">
        <v>41</v>
      </c>
      <c r="I92" s="12"/>
      <c r="J92" s="4">
        <v>69</v>
      </c>
      <c r="K92" s="5">
        <v>23</v>
      </c>
      <c r="L92" s="5" t="s">
        <v>74</v>
      </c>
      <c r="M92" s="4" t="s">
        <v>93</v>
      </c>
      <c r="N92" s="4" t="s">
        <v>94</v>
      </c>
      <c r="O92" s="12" t="s">
        <v>756</v>
      </c>
      <c r="P92" s="12" t="s">
        <v>47</v>
      </c>
      <c r="Q92" s="30" t="s">
        <v>47</v>
      </c>
      <c r="R92" s="27" t="s">
        <v>47</v>
      </c>
      <c r="S92" s="10" t="s">
        <v>55</v>
      </c>
      <c r="T92" s="13">
        <v>12.8765</v>
      </c>
      <c r="U92" s="13">
        <v>12.38236</v>
      </c>
      <c r="V92" s="13">
        <v>16.106900000000003</v>
      </c>
      <c r="W92" s="13">
        <v>13.187200000000001</v>
      </c>
      <c r="X92" s="13">
        <v>15.988899999999999</v>
      </c>
      <c r="Y92" s="1">
        <f>AVERAGE(U92:X92)</f>
        <v>14.416340000000002</v>
      </c>
      <c r="Z92" s="10" t="s">
        <v>693</v>
      </c>
      <c r="AA92" s="10" t="s">
        <v>693</v>
      </c>
      <c r="AB92" s="10" t="s">
        <v>693</v>
      </c>
      <c r="AC92" s="10" t="s">
        <v>693</v>
      </c>
      <c r="AD92" s="10" t="s">
        <v>693</v>
      </c>
      <c r="AE92" s="10" t="s">
        <v>693</v>
      </c>
      <c r="AF92" s="10" t="s">
        <v>693</v>
      </c>
      <c r="AG92" s="38">
        <f>COUNTIF(Z92:AF92,"X")/7</f>
        <v>1</v>
      </c>
      <c r="AH92" s="51">
        <f>IF(AG92=100%,Y92," ")</f>
        <v>14.416340000000002</v>
      </c>
      <c r="AI92" s="64">
        <v>13</v>
      </c>
      <c r="AJ92" s="83" t="s">
        <v>1423</v>
      </c>
      <c r="AK92" s="65">
        <v>0</v>
      </c>
      <c r="AL92" s="1"/>
      <c r="AM92" s="1"/>
    </row>
    <row r="93" spans="1:39" s="26" customFormat="1" x14ac:dyDescent="0.3">
      <c r="A93" s="22" t="s">
        <v>176</v>
      </c>
      <c r="B93" s="2" t="s">
        <v>40</v>
      </c>
      <c r="C93" s="21">
        <v>0.65</v>
      </c>
      <c r="D93" s="23">
        <v>1050</v>
      </c>
      <c r="E93" s="23" t="s">
        <v>41</v>
      </c>
      <c r="F93" s="23"/>
      <c r="G93" s="3" t="s">
        <v>177</v>
      </c>
      <c r="H93" s="10" t="s">
        <v>41</v>
      </c>
      <c r="I93" s="10"/>
      <c r="J93" s="6"/>
      <c r="K93" s="21"/>
      <c r="L93" s="21" t="s">
        <v>52</v>
      </c>
      <c r="M93" s="4" t="s">
        <v>84</v>
      </c>
      <c r="N93" s="6"/>
      <c r="O93" s="12" t="s">
        <v>756</v>
      </c>
      <c r="P93" s="10" t="s">
        <v>146</v>
      </c>
      <c r="Q93" s="29" t="s">
        <v>146</v>
      </c>
      <c r="R93" s="27" t="s">
        <v>47</v>
      </c>
      <c r="S93" s="10" t="s">
        <v>47</v>
      </c>
      <c r="T93" s="13">
        <v>6.9278000000000004</v>
      </c>
      <c r="U93" s="13">
        <v>12.470040000000001</v>
      </c>
      <c r="V93" s="13">
        <v>19.397839999999999</v>
      </c>
      <c r="W93" s="13">
        <v>11.084479999999999</v>
      </c>
      <c r="X93" s="13">
        <v>13.855600000000001</v>
      </c>
      <c r="Y93" s="1">
        <f>AVERAGE(U93:X93)</f>
        <v>14.20199</v>
      </c>
      <c r="Z93" s="10"/>
      <c r="AA93" s="10"/>
      <c r="AB93" s="10"/>
      <c r="AC93" s="10"/>
      <c r="AD93" s="10"/>
      <c r="AE93" s="10"/>
      <c r="AF93" s="10"/>
      <c r="AG93" s="38">
        <f>COUNTIF(Z93:AF93,"X")/7</f>
        <v>0</v>
      </c>
      <c r="AH93" s="51" t="str">
        <f>IF(AG93=100%,Y93," ")</f>
        <v xml:space="preserve"> 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178</v>
      </c>
      <c r="B94" s="2" t="s">
        <v>49</v>
      </c>
      <c r="C94" s="21">
        <v>3.75</v>
      </c>
      <c r="D94" s="23">
        <v>880</v>
      </c>
      <c r="E94" s="23" t="s">
        <v>41</v>
      </c>
      <c r="F94" s="23" t="s">
        <v>104</v>
      </c>
      <c r="G94" s="3" t="s">
        <v>179</v>
      </c>
      <c r="H94" s="12" t="s">
        <v>41</v>
      </c>
      <c r="I94" s="12"/>
      <c r="J94" s="4"/>
      <c r="K94" s="5"/>
      <c r="L94" s="5" t="s">
        <v>52</v>
      </c>
      <c r="M94" s="4" t="s">
        <v>106</v>
      </c>
      <c r="N94" s="4" t="s">
        <v>107</v>
      </c>
      <c r="O94" s="12" t="s">
        <v>756</v>
      </c>
      <c r="P94" s="12" t="s">
        <v>108</v>
      </c>
      <c r="Q94" s="30" t="s">
        <v>47</v>
      </c>
      <c r="R94" s="27" t="s">
        <v>47</v>
      </c>
      <c r="S94" s="12" t="s">
        <v>47</v>
      </c>
      <c r="T94" s="13">
        <v>7.2131000000000007</v>
      </c>
      <c r="U94" s="13">
        <v>11.0318</v>
      </c>
      <c r="V94" s="13">
        <v>15.444520000000001</v>
      </c>
      <c r="W94" s="13">
        <v>13.74732</v>
      </c>
      <c r="X94" s="13">
        <v>16.462840000000003</v>
      </c>
      <c r="Y94" s="1">
        <f>AVERAGE(U94:X94)</f>
        <v>14.171620000000001</v>
      </c>
      <c r="Z94" s="10" t="s">
        <v>693</v>
      </c>
      <c r="AA94" s="10" t="s">
        <v>693</v>
      </c>
      <c r="AB94" s="10" t="s">
        <v>693</v>
      </c>
      <c r="AC94" s="10" t="s">
        <v>693</v>
      </c>
      <c r="AD94" s="10" t="s">
        <v>693</v>
      </c>
      <c r="AE94" s="10" t="s">
        <v>693</v>
      </c>
      <c r="AF94" s="10" t="s">
        <v>693</v>
      </c>
      <c r="AG94" s="38">
        <f>COUNTIF(Z94:AF94,"X")/7</f>
        <v>1</v>
      </c>
      <c r="AH94" s="51">
        <f>IF(AG94=100%,Y94," ")</f>
        <v>14.171620000000001</v>
      </c>
      <c r="AI94" s="64">
        <v>2</v>
      </c>
      <c r="AJ94" s="82" t="s">
        <v>1424</v>
      </c>
      <c r="AK94" s="65">
        <v>0</v>
      </c>
      <c r="AL94" s="1"/>
      <c r="AM94" s="1"/>
    </row>
    <row r="95" spans="1:39" s="26" customFormat="1" hidden="1" x14ac:dyDescent="0.3">
      <c r="A95" s="19" t="s">
        <v>1126</v>
      </c>
      <c r="B95" s="21" t="s">
        <v>40</v>
      </c>
      <c r="C95" s="21">
        <v>1.5</v>
      </c>
      <c r="D95" s="23">
        <v>1150</v>
      </c>
      <c r="E95" s="23"/>
      <c r="F95" s="23"/>
      <c r="G95" s="20" t="s">
        <v>1127</v>
      </c>
      <c r="H95" s="6"/>
      <c r="I95" s="6" t="s">
        <v>1078</v>
      </c>
      <c r="J95" s="6">
        <v>59</v>
      </c>
      <c r="K95" s="21">
        <v>26</v>
      </c>
      <c r="L95" s="21" t="s">
        <v>703</v>
      </c>
      <c r="M95" s="6" t="s">
        <v>1128</v>
      </c>
      <c r="N95" s="6" t="s">
        <v>1129</v>
      </c>
      <c r="O95" s="6"/>
      <c r="P95" s="6"/>
      <c r="Q95" s="27"/>
      <c r="R95" s="28" t="s">
        <v>108</v>
      </c>
      <c r="S95" s="6" t="s">
        <v>71</v>
      </c>
      <c r="T95" s="1">
        <v>6.4080000000000004</v>
      </c>
      <c r="U95" s="1">
        <v>11.505600000000001</v>
      </c>
      <c r="V95" s="1">
        <v>18.532799999999998</v>
      </c>
      <c r="W95" s="1">
        <v>12.142800000000001</v>
      </c>
      <c r="X95" s="1">
        <v>13.7448</v>
      </c>
      <c r="Y95" s="1">
        <f>AVERAGE(U95:X95)</f>
        <v>13.9815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hidden="1" x14ac:dyDescent="0.3">
      <c r="A96" s="22" t="s">
        <v>799</v>
      </c>
      <c r="B96" s="2" t="s">
        <v>49</v>
      </c>
      <c r="C96" s="21">
        <v>7.75</v>
      </c>
      <c r="D96" s="23">
        <v>1100</v>
      </c>
      <c r="E96" s="23"/>
      <c r="F96" s="28"/>
      <c r="G96" s="3" t="s">
        <v>784</v>
      </c>
      <c r="H96" s="6"/>
      <c r="I96" s="6" t="s">
        <v>687</v>
      </c>
      <c r="J96" s="6">
        <v>69</v>
      </c>
      <c r="K96" s="21">
        <v>21</v>
      </c>
      <c r="L96" s="21" t="s">
        <v>785</v>
      </c>
      <c r="M96" s="6" t="s">
        <v>723</v>
      </c>
      <c r="N96" s="6" t="s">
        <v>716</v>
      </c>
      <c r="O96" s="6" t="s">
        <v>793</v>
      </c>
      <c r="P96" s="6"/>
      <c r="Q96" s="27"/>
      <c r="R96" s="28" t="s">
        <v>692</v>
      </c>
      <c r="S96" s="6" t="s">
        <v>55</v>
      </c>
      <c r="T96" s="1">
        <v>33.795550000000006</v>
      </c>
      <c r="U96" s="1">
        <v>25.94248</v>
      </c>
      <c r="V96" s="1">
        <v>22.015944999999999</v>
      </c>
      <c r="W96" s="1">
        <v>7.8140000000000001</v>
      </c>
      <c r="X96" s="1">
        <v>0</v>
      </c>
      <c r="Y96" s="1">
        <f>AVERAGE(U96:X96)</f>
        <v>13.94310625</v>
      </c>
      <c r="Z96" s="10"/>
      <c r="AA96" s="10"/>
      <c r="AB96" s="10"/>
      <c r="AC96" s="10"/>
      <c r="AD96" s="10"/>
      <c r="AE96" s="10"/>
      <c r="AF96" s="10"/>
      <c r="AG96" s="38">
        <f>COUNTIF(Z96:AF96,"X")/7</f>
        <v>0</v>
      </c>
      <c r="AH96" s="51" t="str">
        <f>IF(AG96=100%,Y96," ")</f>
        <v xml:space="preserve"> </v>
      </c>
      <c r="AI96" s="64"/>
      <c r="AJ96" s="1"/>
      <c r="AK96" s="65">
        <v>0</v>
      </c>
      <c r="AL96" s="1"/>
      <c r="AM96" s="1"/>
    </row>
    <row r="97" spans="1:39" s="26" customFormat="1" hidden="1" x14ac:dyDescent="0.3">
      <c r="A97" s="19" t="s">
        <v>1130</v>
      </c>
      <c r="B97" s="21" t="s">
        <v>40</v>
      </c>
      <c r="C97" s="21">
        <v>0.7</v>
      </c>
      <c r="D97" s="23">
        <v>550</v>
      </c>
      <c r="E97" s="23"/>
      <c r="F97" s="23" t="s">
        <v>82</v>
      </c>
      <c r="G97" s="20" t="s">
        <v>1131</v>
      </c>
      <c r="H97" s="6"/>
      <c r="I97" s="6" t="s">
        <v>1078</v>
      </c>
      <c r="J97" s="6">
        <v>59</v>
      </c>
      <c r="K97" s="21">
        <v>3</v>
      </c>
      <c r="L97" s="21" t="s">
        <v>1073</v>
      </c>
      <c r="M97" s="6" t="s">
        <v>195</v>
      </c>
      <c r="N97" s="6" t="s">
        <v>160</v>
      </c>
      <c r="O97" s="6">
        <v>10</v>
      </c>
      <c r="P97" s="6"/>
      <c r="Q97" s="27"/>
      <c r="R97" s="28" t="s">
        <v>108</v>
      </c>
      <c r="S97" s="6"/>
      <c r="T97" s="1">
        <v>13.759039999999999</v>
      </c>
      <c r="U97" s="1">
        <v>14.121119999999999</v>
      </c>
      <c r="V97" s="1">
        <v>14.917695999999999</v>
      </c>
      <c r="W97" s="1">
        <v>10.645152</v>
      </c>
      <c r="X97" s="1">
        <v>16.076352</v>
      </c>
      <c r="Y97" s="1">
        <f>AVERAGE(U97:X97)</f>
        <v>13.940079999999998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22" t="s">
        <v>180</v>
      </c>
      <c r="B98" s="2" t="s">
        <v>68</v>
      </c>
      <c r="C98" s="21">
        <v>2</v>
      </c>
      <c r="D98" s="23">
        <v>900</v>
      </c>
      <c r="E98" s="23" t="s">
        <v>41</v>
      </c>
      <c r="F98" s="23"/>
      <c r="G98" s="3" t="s">
        <v>181</v>
      </c>
      <c r="H98" s="12" t="s">
        <v>182</v>
      </c>
      <c r="I98" s="10"/>
      <c r="J98" s="4"/>
      <c r="K98" s="5"/>
      <c r="L98" s="5" t="s">
        <v>183</v>
      </c>
      <c r="M98" s="4" t="s">
        <v>45</v>
      </c>
      <c r="N98" s="36" t="s">
        <v>46</v>
      </c>
      <c r="O98" s="12" t="s">
        <v>756</v>
      </c>
      <c r="P98" s="12" t="s">
        <v>47</v>
      </c>
      <c r="Q98" s="30" t="s">
        <v>47</v>
      </c>
      <c r="R98" s="27" t="s">
        <v>47</v>
      </c>
      <c r="S98" s="10" t="s">
        <v>47</v>
      </c>
      <c r="T98" s="13">
        <v>12.032906000000002</v>
      </c>
      <c r="U98" s="13">
        <v>15.097200000000001</v>
      </c>
      <c r="V98" s="13">
        <v>16.41</v>
      </c>
      <c r="W98" s="13">
        <v>5.2512000000000008</v>
      </c>
      <c r="X98" s="13">
        <v>17.066400000000002</v>
      </c>
      <c r="Y98" s="1">
        <f>AVERAGE(U98:X98)</f>
        <v>13.456200000000001</v>
      </c>
      <c r="Z98" s="10"/>
      <c r="AA98" s="10"/>
      <c r="AB98" s="10"/>
      <c r="AC98" s="10"/>
      <c r="AD98" s="10"/>
      <c r="AE98" s="10"/>
      <c r="AF98" s="10"/>
      <c r="AG98" s="38">
        <f>COUNTIF(Z98:AF98,"X")/7</f>
        <v>0</v>
      </c>
      <c r="AH98" s="51" t="str">
        <f>IF(AG98=100%,Y98," ")</f>
        <v xml:space="preserve"> 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184</v>
      </c>
      <c r="B99" s="2" t="s">
        <v>68</v>
      </c>
      <c r="C99" s="21">
        <v>1</v>
      </c>
      <c r="D99" s="23">
        <v>1100</v>
      </c>
      <c r="E99" s="23" t="s">
        <v>41</v>
      </c>
      <c r="F99" s="23"/>
      <c r="G99" s="3" t="s">
        <v>185</v>
      </c>
      <c r="H99" s="10" t="s">
        <v>41</v>
      </c>
      <c r="I99" s="10"/>
      <c r="J99" s="6"/>
      <c r="K99" s="21"/>
      <c r="L99" s="21" t="s">
        <v>186</v>
      </c>
      <c r="M99" s="4" t="s">
        <v>119</v>
      </c>
      <c r="N99" s="6" t="s">
        <v>187</v>
      </c>
      <c r="O99" s="12" t="s">
        <v>756</v>
      </c>
      <c r="P99" s="10" t="s">
        <v>47</v>
      </c>
      <c r="Q99" s="29" t="s">
        <v>47</v>
      </c>
      <c r="R99" s="27" t="s">
        <v>47</v>
      </c>
      <c r="S99" s="10" t="s">
        <v>47</v>
      </c>
      <c r="T99" s="13">
        <v>11.262899999999998</v>
      </c>
      <c r="U99" s="13">
        <v>11.945499999999999</v>
      </c>
      <c r="V99" s="13">
        <v>14.50525</v>
      </c>
      <c r="W99" s="13">
        <v>13.651999999999999</v>
      </c>
      <c r="X99" s="13">
        <v>13.651999999999999</v>
      </c>
      <c r="Y99" s="1">
        <f>AVERAGE(U99:X99)</f>
        <v>13.4386875</v>
      </c>
      <c r="Z99" s="10"/>
      <c r="AA99" s="10"/>
      <c r="AB99" s="10"/>
      <c r="AC99" s="10"/>
      <c r="AD99" s="10"/>
      <c r="AE99" s="10"/>
      <c r="AF99" s="10"/>
      <c r="AG99" s="38">
        <f>COUNTIF(Z99:AF99,"X")/7</f>
        <v>0</v>
      </c>
      <c r="AH99" s="51" t="str">
        <f>IF(AG99=100%,Y99," ")</f>
        <v xml:space="preserve"> </v>
      </c>
      <c r="AI99" s="64"/>
      <c r="AJ99" s="1"/>
      <c r="AK99" s="65">
        <v>0</v>
      </c>
      <c r="AL99" s="1"/>
      <c r="AM99" s="1"/>
    </row>
    <row r="100" spans="1:39" s="26" customFormat="1" hidden="1" x14ac:dyDescent="0.3">
      <c r="A100" s="22" t="s">
        <v>783</v>
      </c>
      <c r="B100" s="2" t="s">
        <v>49</v>
      </c>
      <c r="C100" s="21">
        <v>7.25</v>
      </c>
      <c r="D100" s="23">
        <v>1100</v>
      </c>
      <c r="E100" s="23"/>
      <c r="F100" s="28"/>
      <c r="G100" s="3" t="s">
        <v>784</v>
      </c>
      <c r="H100" s="6"/>
      <c r="I100" s="6" t="s">
        <v>687</v>
      </c>
      <c r="J100" s="6">
        <v>59</v>
      </c>
      <c r="K100" s="21">
        <v>24</v>
      </c>
      <c r="L100" s="21" t="s">
        <v>785</v>
      </c>
      <c r="M100" s="6" t="s">
        <v>723</v>
      </c>
      <c r="N100" s="6" t="s">
        <v>716</v>
      </c>
      <c r="O100" s="6" t="s">
        <v>756</v>
      </c>
      <c r="P100" s="6"/>
      <c r="Q100" s="27"/>
      <c r="R100" s="28" t="s">
        <v>692</v>
      </c>
      <c r="S100" s="6" t="s">
        <v>55</v>
      </c>
      <c r="T100" s="1">
        <v>15.855984000000001</v>
      </c>
      <c r="U100" s="1">
        <v>17.590655999999999</v>
      </c>
      <c r="V100" s="1">
        <v>17.181248</v>
      </c>
      <c r="W100" s="1">
        <v>18.792480000000005</v>
      </c>
      <c r="X100" s="1">
        <v>0</v>
      </c>
      <c r="Y100" s="1">
        <f>AVERAGE(U100:X100)</f>
        <v>13.391096000000001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188</v>
      </c>
      <c r="B101" s="2" t="s">
        <v>49</v>
      </c>
      <c r="C101" s="21">
        <v>3</v>
      </c>
      <c r="D101" s="23">
        <v>1100</v>
      </c>
      <c r="E101" s="23" t="s">
        <v>41</v>
      </c>
      <c r="F101" s="23"/>
      <c r="G101" s="3" t="s">
        <v>189</v>
      </c>
      <c r="H101" s="10" t="s">
        <v>41</v>
      </c>
      <c r="I101" s="10"/>
      <c r="J101" s="6"/>
      <c r="K101" s="21"/>
      <c r="L101" s="21" t="s">
        <v>52</v>
      </c>
      <c r="M101" s="6" t="s">
        <v>75</v>
      </c>
      <c r="N101" s="6" t="s">
        <v>190</v>
      </c>
      <c r="O101" s="12" t="s">
        <v>756</v>
      </c>
      <c r="P101" s="10" t="s">
        <v>47</v>
      </c>
      <c r="Q101" s="29" t="s">
        <v>47</v>
      </c>
      <c r="R101" s="27" t="s">
        <v>47</v>
      </c>
      <c r="S101" s="10" t="s">
        <v>55</v>
      </c>
      <c r="T101" s="13">
        <v>7.3853</v>
      </c>
      <c r="U101" s="13">
        <v>11.971935000000002</v>
      </c>
      <c r="V101" s="13">
        <v>15.045050999999999</v>
      </c>
      <c r="W101" s="13">
        <v>11.743664000000001</v>
      </c>
      <c r="X101" s="13">
        <v>13.136912000000001</v>
      </c>
      <c r="Y101" s="1">
        <f>AVERAGE(U101:X101)</f>
        <v>12.974390500000002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hidden="1" x14ac:dyDescent="0.3">
      <c r="A102" s="19" t="s">
        <v>1132</v>
      </c>
      <c r="B102" s="21" t="s">
        <v>40</v>
      </c>
      <c r="C102" s="21">
        <v>0.7</v>
      </c>
      <c r="D102" s="23">
        <v>800</v>
      </c>
      <c r="E102" s="23"/>
      <c r="F102" s="23"/>
      <c r="G102" s="20" t="s">
        <v>1133</v>
      </c>
      <c r="H102" s="6"/>
      <c r="I102" s="6" t="s">
        <v>1084</v>
      </c>
      <c r="J102" s="6">
        <v>69</v>
      </c>
      <c r="K102" s="21">
        <v>4.5</v>
      </c>
      <c r="L102" s="21" t="s">
        <v>1073</v>
      </c>
      <c r="M102" s="6" t="s">
        <v>195</v>
      </c>
      <c r="N102" s="6" t="s">
        <v>160</v>
      </c>
      <c r="O102" s="6">
        <v>10</v>
      </c>
      <c r="P102" s="6"/>
      <c r="Q102" s="27"/>
      <c r="R102" s="28" t="s">
        <v>108</v>
      </c>
      <c r="S102" s="6"/>
      <c r="T102" s="1">
        <v>12.4542</v>
      </c>
      <c r="U102" s="1">
        <v>12.600720000000001</v>
      </c>
      <c r="V102" s="1">
        <v>13.479839999999999</v>
      </c>
      <c r="W102" s="1">
        <v>9.5238000000000014</v>
      </c>
      <c r="X102" s="1">
        <v>14.505480000000002</v>
      </c>
      <c r="Y102" s="1">
        <f>AVERAGE(U102:X102)</f>
        <v>12.527460000000001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hidden="1" x14ac:dyDescent="0.3">
      <c r="A103" s="19" t="s">
        <v>1134</v>
      </c>
      <c r="B103" s="21" t="s">
        <v>40</v>
      </c>
      <c r="C103" s="21">
        <v>1.8</v>
      </c>
      <c r="D103" s="23">
        <v>1200</v>
      </c>
      <c r="E103" s="23"/>
      <c r="F103" s="23" t="s">
        <v>1135</v>
      </c>
      <c r="G103" s="20" t="s">
        <v>1136</v>
      </c>
      <c r="H103" s="6"/>
      <c r="I103" s="6" t="s">
        <v>1084</v>
      </c>
      <c r="J103" s="6">
        <v>69</v>
      </c>
      <c r="K103" s="21">
        <v>1.7</v>
      </c>
      <c r="L103" s="21" t="s">
        <v>1073</v>
      </c>
      <c r="M103" s="6" t="s">
        <v>195</v>
      </c>
      <c r="N103" s="6" t="s">
        <v>1088</v>
      </c>
      <c r="O103" s="6">
        <v>10</v>
      </c>
      <c r="P103" s="6"/>
      <c r="Q103" s="27"/>
      <c r="R103" s="28" t="s">
        <v>108</v>
      </c>
      <c r="S103" s="6"/>
      <c r="T103" s="1">
        <v>12.129463199999998</v>
      </c>
      <c r="U103" s="1">
        <v>10.81875</v>
      </c>
      <c r="V103" s="1">
        <v>12.549749999999998</v>
      </c>
      <c r="W103" s="1">
        <v>10.962999999999999</v>
      </c>
      <c r="X103" s="1">
        <v>15.001999999999999</v>
      </c>
      <c r="Y103" s="1">
        <f>AVERAGE(U103:X103)</f>
        <v>12.333375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hidden="1" x14ac:dyDescent="0.3">
      <c r="A104" s="22" t="s">
        <v>91</v>
      </c>
      <c r="B104" s="2" t="s">
        <v>49</v>
      </c>
      <c r="C104" s="21">
        <v>6.3</v>
      </c>
      <c r="D104" s="23">
        <v>1300</v>
      </c>
      <c r="E104" s="23"/>
      <c r="F104" s="28"/>
      <c r="G104" s="3" t="s">
        <v>748</v>
      </c>
      <c r="H104" s="6"/>
      <c r="I104" s="6" t="s">
        <v>687</v>
      </c>
      <c r="J104" s="6">
        <v>59</v>
      </c>
      <c r="K104" s="21">
        <v>25</v>
      </c>
      <c r="L104" s="5" t="s">
        <v>74</v>
      </c>
      <c r="M104" s="6" t="s">
        <v>119</v>
      </c>
      <c r="N104" s="6"/>
      <c r="O104" s="6" t="s">
        <v>691</v>
      </c>
      <c r="P104" s="6"/>
      <c r="Q104" s="27"/>
      <c r="R104" s="28" t="s">
        <v>692</v>
      </c>
      <c r="S104" s="6" t="s">
        <v>55</v>
      </c>
      <c r="T104" s="1">
        <v>8.6745479999999997</v>
      </c>
      <c r="U104" s="1">
        <v>10.234774999999999</v>
      </c>
      <c r="V104" s="1">
        <v>11.784660000000001</v>
      </c>
      <c r="W104" s="1">
        <v>13.036380000000001</v>
      </c>
      <c r="X104" s="1">
        <v>12.957055</v>
      </c>
      <c r="Y104" s="1">
        <f>AVERAGE(U104:X104)</f>
        <v>12.003217500000002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hidden="1" x14ac:dyDescent="0.3">
      <c r="A105" s="22">
        <v>98451</v>
      </c>
      <c r="B105" s="2"/>
      <c r="C105" s="21"/>
      <c r="D105" s="23"/>
      <c r="E105" s="23"/>
      <c r="F105" s="28"/>
      <c r="G105" s="3"/>
      <c r="H105" s="6"/>
      <c r="I105" s="6"/>
      <c r="J105" s="6"/>
      <c r="K105" s="21">
        <v>24</v>
      </c>
      <c r="L105" s="21" t="s">
        <v>74</v>
      </c>
      <c r="M105" s="6" t="s">
        <v>1057</v>
      </c>
      <c r="N105" s="6"/>
      <c r="O105" s="6"/>
      <c r="P105" s="6"/>
      <c r="Q105" s="27"/>
      <c r="R105" s="28" t="s">
        <v>692</v>
      </c>
      <c r="S105" s="6"/>
      <c r="T105" s="1">
        <v>6</v>
      </c>
      <c r="U105" s="1">
        <v>12</v>
      </c>
      <c r="V105" s="1">
        <v>12</v>
      </c>
      <c r="W105" s="1">
        <v>12</v>
      </c>
      <c r="X105" s="1">
        <v>12</v>
      </c>
      <c r="Y105" s="1">
        <f>AVERAGE(U105:X105)</f>
        <v>12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hidden="1" x14ac:dyDescent="0.3">
      <c r="A106" s="19" t="s">
        <v>1137</v>
      </c>
      <c r="B106" s="21" t="s">
        <v>49</v>
      </c>
      <c r="C106" s="21">
        <v>4</v>
      </c>
      <c r="D106" s="23">
        <v>1300</v>
      </c>
      <c r="E106" s="23"/>
      <c r="F106" s="23"/>
      <c r="G106" s="20" t="s">
        <v>1138</v>
      </c>
      <c r="H106" s="6"/>
      <c r="I106" s="6"/>
      <c r="J106" s="6">
        <v>120</v>
      </c>
      <c r="K106" s="21"/>
      <c r="L106" s="21" t="s">
        <v>1139</v>
      </c>
      <c r="M106" s="6" t="s">
        <v>195</v>
      </c>
      <c r="N106" s="6" t="s">
        <v>160</v>
      </c>
      <c r="O106" s="6"/>
      <c r="P106" s="6"/>
      <c r="Q106" s="27"/>
      <c r="R106" s="28" t="s">
        <v>108</v>
      </c>
      <c r="S106" s="6" t="s">
        <v>71</v>
      </c>
      <c r="T106" s="1">
        <v>10.699128</v>
      </c>
      <c r="U106" s="1">
        <v>11.822085</v>
      </c>
      <c r="V106" s="1">
        <v>12.461625</v>
      </c>
      <c r="W106" s="1">
        <v>8.8783200000000004</v>
      </c>
      <c r="X106" s="1">
        <v>13.439745</v>
      </c>
      <c r="Y106" s="1">
        <f>AVERAGE(U106:X106)</f>
        <v>11.650443750000001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22" t="s">
        <v>191</v>
      </c>
      <c r="B107" s="2" t="s">
        <v>192</v>
      </c>
      <c r="C107" s="21">
        <v>1.4</v>
      </c>
      <c r="D107" s="23">
        <v>287</v>
      </c>
      <c r="E107" s="23">
        <v>460</v>
      </c>
      <c r="F107" s="23"/>
      <c r="G107" s="3" t="s">
        <v>193</v>
      </c>
      <c r="H107" s="10" t="s">
        <v>41</v>
      </c>
      <c r="I107" s="10"/>
      <c r="J107" s="6"/>
      <c r="K107" s="21"/>
      <c r="L107" s="21" t="s">
        <v>194</v>
      </c>
      <c r="M107" s="6" t="s">
        <v>195</v>
      </c>
      <c r="N107" s="6" t="s">
        <v>196</v>
      </c>
      <c r="O107" s="12" t="s">
        <v>793</v>
      </c>
      <c r="P107" s="10" t="s">
        <v>47</v>
      </c>
      <c r="Q107" s="29" t="s">
        <v>47</v>
      </c>
      <c r="R107" s="27" t="s">
        <v>47</v>
      </c>
      <c r="S107" s="10" t="s">
        <v>47</v>
      </c>
      <c r="T107" s="13">
        <v>13.246799999999999</v>
      </c>
      <c r="U107" s="13">
        <v>10.458</v>
      </c>
      <c r="V107" s="13">
        <v>14.292599999999998</v>
      </c>
      <c r="W107" s="13">
        <v>10.806599999999998</v>
      </c>
      <c r="X107" s="13">
        <v>10.806599999999998</v>
      </c>
      <c r="Y107" s="1">
        <f>AVERAGE(U107:X107)</f>
        <v>11.590949999999998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197</v>
      </c>
      <c r="B108" s="2" t="s">
        <v>78</v>
      </c>
      <c r="C108" s="21">
        <v>1</v>
      </c>
      <c r="D108" s="23">
        <v>325</v>
      </c>
      <c r="E108" s="23">
        <v>720</v>
      </c>
      <c r="F108" s="23"/>
      <c r="G108" s="3" t="s">
        <v>198</v>
      </c>
      <c r="H108" s="12">
        <v>34025699</v>
      </c>
      <c r="I108" s="12"/>
      <c r="J108" s="4"/>
      <c r="K108" s="5"/>
      <c r="L108" s="5" t="s">
        <v>64</v>
      </c>
      <c r="M108" s="4" t="s">
        <v>195</v>
      </c>
      <c r="N108" s="4" t="s">
        <v>160</v>
      </c>
      <c r="O108" s="12" t="s">
        <v>793</v>
      </c>
      <c r="P108" s="12" t="s">
        <v>47</v>
      </c>
      <c r="Q108" s="30" t="s">
        <v>47</v>
      </c>
      <c r="R108" s="27" t="s">
        <v>47</v>
      </c>
      <c r="S108" s="12" t="s">
        <v>47</v>
      </c>
      <c r="T108" s="13">
        <v>10.255728</v>
      </c>
      <c r="U108" s="13">
        <v>11.456144</v>
      </c>
      <c r="V108" s="13">
        <v>12.239024000000001</v>
      </c>
      <c r="W108" s="13">
        <v>10.542784000000001</v>
      </c>
      <c r="X108" s="13">
        <v>10.490592000000001</v>
      </c>
      <c r="Y108" s="1">
        <f>AVERAGE(U108:X108)</f>
        <v>11.182136000000002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hidden="1" x14ac:dyDescent="0.3">
      <c r="A109" s="22" t="s">
        <v>675</v>
      </c>
      <c r="B109" s="2" t="s">
        <v>49</v>
      </c>
      <c r="C109" s="21">
        <v>4.75</v>
      </c>
      <c r="D109" s="23">
        <v>1400</v>
      </c>
      <c r="E109" s="23"/>
      <c r="F109" s="28"/>
      <c r="G109" s="3" t="s">
        <v>786</v>
      </c>
      <c r="H109" s="4"/>
      <c r="I109" s="6" t="s">
        <v>687</v>
      </c>
      <c r="J109" s="4">
        <v>69</v>
      </c>
      <c r="K109" s="5">
        <v>24</v>
      </c>
      <c r="L109" s="5" t="s">
        <v>703</v>
      </c>
      <c r="M109" s="4" t="s">
        <v>787</v>
      </c>
      <c r="N109" s="4" t="s">
        <v>239</v>
      </c>
      <c r="O109" s="4" t="s">
        <v>756</v>
      </c>
      <c r="P109" s="4"/>
      <c r="Q109" s="24"/>
      <c r="R109" s="25" t="s">
        <v>692</v>
      </c>
      <c r="S109" s="6" t="s">
        <v>55</v>
      </c>
      <c r="T109" s="1">
        <v>12.696260999999998</v>
      </c>
      <c r="U109" s="1">
        <v>9.4883570000000006</v>
      </c>
      <c r="V109" s="1">
        <v>12.293255439999999</v>
      </c>
      <c r="W109" s="1">
        <v>11.188557999999999</v>
      </c>
      <c r="X109" s="1">
        <v>11.025865000000001</v>
      </c>
      <c r="Y109" s="1">
        <f>AVERAGE(U109:X109)</f>
        <v>10.99900886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hidden="1" x14ac:dyDescent="0.3">
      <c r="A110" s="19" t="s">
        <v>1140</v>
      </c>
      <c r="B110" s="21" t="s">
        <v>40</v>
      </c>
      <c r="C110" s="21">
        <v>1.65</v>
      </c>
      <c r="D110" s="23">
        <v>520</v>
      </c>
      <c r="E110" s="23"/>
      <c r="F110" s="23" t="s">
        <v>1135</v>
      </c>
      <c r="G110" s="20" t="s">
        <v>1141</v>
      </c>
      <c r="H110" s="6"/>
      <c r="I110" s="6" t="s">
        <v>1084</v>
      </c>
      <c r="J110" s="6">
        <v>69</v>
      </c>
      <c r="K110" s="21">
        <v>2</v>
      </c>
      <c r="L110" s="21" t="s">
        <v>1073</v>
      </c>
      <c r="M110" s="6" t="s">
        <v>195</v>
      </c>
      <c r="N110" s="6" t="s">
        <v>160</v>
      </c>
      <c r="O110" s="6">
        <v>15</v>
      </c>
      <c r="P110" s="6"/>
      <c r="Q110" s="27"/>
      <c r="R110" s="28" t="s">
        <v>108</v>
      </c>
      <c r="S110" s="6"/>
      <c r="T110" s="1">
        <v>9.8248799999999985</v>
      </c>
      <c r="U110" s="1">
        <v>11.46236</v>
      </c>
      <c r="V110" s="1">
        <v>11.46236</v>
      </c>
      <c r="W110" s="1">
        <v>8.1874000000000002</v>
      </c>
      <c r="X110" s="1">
        <v>12.2811</v>
      </c>
      <c r="Y110" s="1">
        <f>AVERAGE(U110:X110)</f>
        <v>10.848305</v>
      </c>
      <c r="Z110" s="10"/>
      <c r="AA110" s="10"/>
      <c r="AB110" s="10"/>
      <c r="AC110" s="10"/>
      <c r="AD110" s="10"/>
      <c r="AE110" s="10"/>
      <c r="AF110" s="10"/>
      <c r="AG110" s="38">
        <f>COUNTIF(Z110:AF110,"X")/7</f>
        <v>0</v>
      </c>
      <c r="AH110" s="51" t="str">
        <f>IF(AG110=100%,Y110," ")</f>
        <v xml:space="preserve"> </v>
      </c>
      <c r="AI110" s="64"/>
      <c r="AJ110" s="1"/>
      <c r="AK110" s="65">
        <v>0</v>
      </c>
      <c r="AL110" s="1"/>
      <c r="AM110" s="1"/>
    </row>
    <row r="111" spans="1:39" s="26" customFormat="1" hidden="1" x14ac:dyDescent="0.3">
      <c r="A111" s="22" t="s">
        <v>800</v>
      </c>
      <c r="B111" s="2" t="s">
        <v>770</v>
      </c>
      <c r="C111" s="21">
        <v>1.7</v>
      </c>
      <c r="D111" s="23">
        <v>1200</v>
      </c>
      <c r="E111" s="23"/>
      <c r="F111" s="28"/>
      <c r="G111" s="3" t="s">
        <v>801</v>
      </c>
      <c r="H111" s="4"/>
      <c r="I111" s="6" t="s">
        <v>702</v>
      </c>
      <c r="J111" s="4">
        <v>69</v>
      </c>
      <c r="K111" s="5">
        <v>26</v>
      </c>
      <c r="L111" s="5" t="s">
        <v>703</v>
      </c>
      <c r="M111" s="4" t="s">
        <v>787</v>
      </c>
      <c r="N111" s="4" t="s">
        <v>802</v>
      </c>
      <c r="O111" s="4" t="s">
        <v>793</v>
      </c>
      <c r="P111" s="4"/>
      <c r="Q111" s="24"/>
      <c r="R111" s="25" t="s">
        <v>692</v>
      </c>
      <c r="S111" s="4" t="s">
        <v>55</v>
      </c>
      <c r="T111" s="1">
        <v>6.9961140000000004</v>
      </c>
      <c r="U111" s="1">
        <v>8.7304140000000015</v>
      </c>
      <c r="V111" s="1">
        <v>10.438386000000001</v>
      </c>
      <c r="W111" s="1">
        <v>9.3196020000000015</v>
      </c>
      <c r="X111" s="1">
        <v>13.330377</v>
      </c>
      <c r="Y111" s="1">
        <f>AVERAGE(U111:X111)</f>
        <v>10.454694750000002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hidden="1" x14ac:dyDescent="0.3">
      <c r="A112" s="22" t="s">
        <v>749</v>
      </c>
      <c r="B112" s="2" t="s">
        <v>49</v>
      </c>
      <c r="C112" s="21">
        <v>11</v>
      </c>
      <c r="D112" s="23">
        <v>1050</v>
      </c>
      <c r="E112" s="23"/>
      <c r="F112" s="28"/>
      <c r="G112" s="3" t="s">
        <v>701</v>
      </c>
      <c r="H112" s="6"/>
      <c r="I112" s="6" t="s">
        <v>687</v>
      </c>
      <c r="J112" s="6">
        <v>69</v>
      </c>
      <c r="K112" s="21">
        <v>25</v>
      </c>
      <c r="L112" s="21" t="s">
        <v>703</v>
      </c>
      <c r="M112" s="6" t="s">
        <v>704</v>
      </c>
      <c r="N112" s="6" t="s">
        <v>750</v>
      </c>
      <c r="O112" s="6" t="s">
        <v>691</v>
      </c>
      <c r="P112" s="6"/>
      <c r="Q112" s="27"/>
      <c r="R112" s="28" t="s">
        <v>692</v>
      </c>
      <c r="S112" s="6" t="s">
        <v>55</v>
      </c>
      <c r="T112" s="1">
        <v>0</v>
      </c>
      <c r="U112" s="1">
        <v>0</v>
      </c>
      <c r="V112" s="1">
        <v>1.1212500000000001</v>
      </c>
      <c r="W112" s="1">
        <v>20.182500000000001</v>
      </c>
      <c r="X112" s="1">
        <v>20.182500000000001</v>
      </c>
      <c r="Y112" s="1">
        <f>AVERAGE(U112:X112)</f>
        <v>10.3715625</v>
      </c>
      <c r="Z112" s="10"/>
      <c r="AA112" s="10"/>
      <c r="AB112" s="10"/>
      <c r="AC112" s="10"/>
      <c r="AD112" s="10"/>
      <c r="AE112" s="10"/>
      <c r="AF112" s="10"/>
      <c r="AG112" s="38">
        <f>COUNTIF(Z112:AF112,"X")/7</f>
        <v>0</v>
      </c>
      <c r="AH112" s="51" t="str">
        <f>IF(AG112=100%,Y112," ")</f>
        <v xml:space="preserve"> </v>
      </c>
      <c r="AI112" s="64"/>
      <c r="AJ112" s="1"/>
      <c r="AK112" s="65">
        <v>0</v>
      </c>
      <c r="AL112" s="1"/>
      <c r="AM112" s="1"/>
    </row>
    <row r="113" spans="1:39" s="26" customFormat="1" hidden="1" x14ac:dyDescent="0.3">
      <c r="A113" s="22" t="s">
        <v>803</v>
      </c>
      <c r="B113" s="2" t="s">
        <v>49</v>
      </c>
      <c r="C113" s="21">
        <v>2</v>
      </c>
      <c r="D113" s="23">
        <v>1200</v>
      </c>
      <c r="E113" s="23"/>
      <c r="F113" s="28"/>
      <c r="G113" s="3" t="s">
        <v>804</v>
      </c>
      <c r="H113" s="6"/>
      <c r="I113" s="6" t="s">
        <v>702</v>
      </c>
      <c r="J113" s="6">
        <v>69</v>
      </c>
      <c r="K113" s="21">
        <v>24</v>
      </c>
      <c r="L113" s="21" t="s">
        <v>703</v>
      </c>
      <c r="M113" s="6" t="s">
        <v>704</v>
      </c>
      <c r="N113" s="6" t="s">
        <v>781</v>
      </c>
      <c r="O113" s="6" t="s">
        <v>793</v>
      </c>
      <c r="P113" s="6"/>
      <c r="Q113" s="27"/>
      <c r="R113" s="28" t="s">
        <v>692</v>
      </c>
      <c r="S113" s="6" t="s">
        <v>55</v>
      </c>
      <c r="T113" s="1">
        <v>3.2090240000000003</v>
      </c>
      <c r="U113" s="1">
        <v>8.1976519999999997</v>
      </c>
      <c r="V113" s="1">
        <v>12.286136000000001</v>
      </c>
      <c r="W113" s="1">
        <v>10.66718</v>
      </c>
      <c r="X113" s="1">
        <v>10.062668000000002</v>
      </c>
      <c r="Y113" s="1">
        <f>AVERAGE(U113:X113)</f>
        <v>10.303409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hidden="1" x14ac:dyDescent="0.3">
      <c r="A114" s="19" t="s">
        <v>1142</v>
      </c>
      <c r="B114" s="21" t="s">
        <v>40</v>
      </c>
      <c r="C114" s="21">
        <v>1.2</v>
      </c>
      <c r="D114" s="23">
        <v>1050</v>
      </c>
      <c r="E114" s="23"/>
      <c r="F114" s="23" t="s">
        <v>1143</v>
      </c>
      <c r="G114" s="20" t="s">
        <v>1144</v>
      </c>
      <c r="H114" s="6"/>
      <c r="I114" s="6" t="s">
        <v>1084</v>
      </c>
      <c r="J114" s="6">
        <v>69</v>
      </c>
      <c r="K114" s="21">
        <v>1.8</v>
      </c>
      <c r="L114" s="21" t="s">
        <v>1073</v>
      </c>
      <c r="M114" s="6" t="s">
        <v>195</v>
      </c>
      <c r="N114" s="6" t="s">
        <v>1088</v>
      </c>
      <c r="O114" s="6">
        <v>20</v>
      </c>
      <c r="P114" s="6"/>
      <c r="Q114" s="27"/>
      <c r="R114" s="28" t="s">
        <v>108</v>
      </c>
      <c r="S114" s="6"/>
      <c r="T114" s="1">
        <v>8.018203999999999</v>
      </c>
      <c r="U114" s="1">
        <v>9.0838839999999994</v>
      </c>
      <c r="V114" s="1">
        <v>9.5890439999999995</v>
      </c>
      <c r="W114" s="1">
        <v>10.13434</v>
      </c>
      <c r="X114" s="1">
        <v>11.996511999999999</v>
      </c>
      <c r="Y114" s="1">
        <f>AVERAGE(U114:X114)</f>
        <v>10.200945000000001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hidden="1" x14ac:dyDescent="0.3">
      <c r="A115" s="3" t="s">
        <v>805</v>
      </c>
      <c r="B115" s="2" t="s">
        <v>49</v>
      </c>
      <c r="C115" s="21">
        <v>8</v>
      </c>
      <c r="D115" s="23">
        <v>1200</v>
      </c>
      <c r="E115" s="23"/>
      <c r="F115" s="28"/>
      <c r="G115" s="3" t="s">
        <v>806</v>
      </c>
      <c r="H115" s="4"/>
      <c r="I115" s="4" t="s">
        <v>687</v>
      </c>
      <c r="J115" s="4">
        <v>59</v>
      </c>
      <c r="K115" s="5"/>
      <c r="L115" s="5" t="s">
        <v>194</v>
      </c>
      <c r="M115" s="4" t="s">
        <v>807</v>
      </c>
      <c r="N115" s="4"/>
      <c r="O115" s="4" t="s">
        <v>793</v>
      </c>
      <c r="P115" s="4"/>
      <c r="Q115" s="24"/>
      <c r="R115" s="25" t="s">
        <v>692</v>
      </c>
      <c r="S115" s="4" t="s">
        <v>55</v>
      </c>
      <c r="T115" s="1">
        <v>4.0658260000000004</v>
      </c>
      <c r="U115" s="1">
        <v>10.823040000000001</v>
      </c>
      <c r="V115" s="1">
        <v>11.000216</v>
      </c>
      <c r="W115" s="1">
        <v>9.598355999999999</v>
      </c>
      <c r="X115" s="1">
        <v>8.8224119999999999</v>
      </c>
      <c r="Y115" s="1">
        <f>AVERAGE(U115:X115)</f>
        <v>10.061005999999999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hidden="1" x14ac:dyDescent="0.3">
      <c r="A116" s="22" t="s">
        <v>580</v>
      </c>
      <c r="B116" s="2" t="s">
        <v>49</v>
      </c>
      <c r="C116" s="21">
        <v>2</v>
      </c>
      <c r="D116" s="23">
        <v>1100</v>
      </c>
      <c r="E116" s="23"/>
      <c r="F116" s="28"/>
      <c r="G116" s="3" t="s">
        <v>780</v>
      </c>
      <c r="H116" s="6"/>
      <c r="I116" s="6"/>
      <c r="J116" s="6">
        <v>63</v>
      </c>
      <c r="K116" s="21"/>
      <c r="L116" s="21" t="s">
        <v>764</v>
      </c>
      <c r="M116" s="6" t="s">
        <v>704</v>
      </c>
      <c r="N116" s="6" t="s">
        <v>781</v>
      </c>
      <c r="O116" s="6" t="s">
        <v>756</v>
      </c>
      <c r="P116" s="6"/>
      <c r="Q116" s="27"/>
      <c r="R116" s="28" t="s">
        <v>692</v>
      </c>
      <c r="S116" s="6"/>
      <c r="T116" s="1">
        <v>2.3393360000000003</v>
      </c>
      <c r="U116" s="1">
        <v>8.0808999999999997</v>
      </c>
      <c r="V116" s="1">
        <v>11.619300000000001</v>
      </c>
      <c r="W116" s="1">
        <v>10.73232</v>
      </c>
      <c r="X116" s="1">
        <v>8.8824199999999998</v>
      </c>
      <c r="Y116" s="1">
        <f>AVERAGE(U116:X116)</f>
        <v>9.8287350000000018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199</v>
      </c>
      <c r="B117" s="2" t="s">
        <v>62</v>
      </c>
      <c r="C117" s="21">
        <v>2.5</v>
      </c>
      <c r="D117" s="23">
        <v>200</v>
      </c>
      <c r="E117" s="23" t="s">
        <v>41</v>
      </c>
      <c r="F117" s="23"/>
      <c r="G117" s="3" t="s">
        <v>200</v>
      </c>
      <c r="H117" s="12">
        <v>34025652</v>
      </c>
      <c r="I117" s="10"/>
      <c r="J117" s="4"/>
      <c r="K117" s="5"/>
      <c r="L117" s="5" t="s">
        <v>64</v>
      </c>
      <c r="M117" s="4" t="s">
        <v>80</v>
      </c>
      <c r="N117" s="36" t="s">
        <v>46</v>
      </c>
      <c r="O117" s="12" t="s">
        <v>793</v>
      </c>
      <c r="P117" s="12" t="s">
        <v>47</v>
      </c>
      <c r="Q117" s="30" t="s">
        <v>47</v>
      </c>
      <c r="R117" s="27" t="s">
        <v>47</v>
      </c>
      <c r="S117" s="10" t="s">
        <v>47</v>
      </c>
      <c r="T117" s="13">
        <v>9.5039999999999996</v>
      </c>
      <c r="U117" s="13">
        <v>11.087999999999999</v>
      </c>
      <c r="V117" s="13">
        <v>11.087999999999999</v>
      </c>
      <c r="W117" s="13">
        <v>6.3360000000000003</v>
      </c>
      <c r="X117" s="13">
        <v>10.295999999999999</v>
      </c>
      <c r="Y117" s="1">
        <f>AVERAGE(U117:X117)</f>
        <v>9.702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201</v>
      </c>
      <c r="B118" s="2" t="s">
        <v>40</v>
      </c>
      <c r="C118" s="21">
        <v>1.2</v>
      </c>
      <c r="D118" s="23">
        <v>1100</v>
      </c>
      <c r="E118" s="23" t="s">
        <v>41</v>
      </c>
      <c r="F118" s="23"/>
      <c r="G118" s="3" t="s">
        <v>202</v>
      </c>
      <c r="H118" s="12" t="s">
        <v>41</v>
      </c>
      <c r="I118" s="10"/>
      <c r="J118" s="4"/>
      <c r="K118" s="5"/>
      <c r="L118" s="5" t="s">
        <v>52</v>
      </c>
      <c r="M118" s="4" t="s">
        <v>164</v>
      </c>
      <c r="N118" s="4" t="s">
        <v>203</v>
      </c>
      <c r="O118" s="12" t="s">
        <v>793</v>
      </c>
      <c r="P118" s="12" t="s">
        <v>47</v>
      </c>
      <c r="Q118" s="30" t="s">
        <v>47</v>
      </c>
      <c r="R118" s="27" t="s">
        <v>47</v>
      </c>
      <c r="S118" s="10" t="s">
        <v>55</v>
      </c>
      <c r="T118" s="13">
        <v>3.8148</v>
      </c>
      <c r="U118" s="13">
        <v>7.6295999999999999</v>
      </c>
      <c r="V118" s="13">
        <v>12.117599999999999</v>
      </c>
      <c r="W118" s="13">
        <v>8.0784000000000002</v>
      </c>
      <c r="X118" s="13">
        <v>8.9760000000000009</v>
      </c>
      <c r="Y118" s="1">
        <f>AVERAGE(U118:X118)</f>
        <v>9.2004000000000001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204</v>
      </c>
      <c r="B119" s="2" t="s">
        <v>68</v>
      </c>
      <c r="C119" s="21">
        <v>1.2</v>
      </c>
      <c r="D119" s="23">
        <v>1100</v>
      </c>
      <c r="E119" s="23" t="s">
        <v>41</v>
      </c>
      <c r="F119" s="23"/>
      <c r="G119" s="3" t="s">
        <v>205</v>
      </c>
      <c r="H119" s="10" t="s">
        <v>41</v>
      </c>
      <c r="I119" s="10"/>
      <c r="J119" s="6"/>
      <c r="K119" s="21"/>
      <c r="L119" s="21" t="s">
        <v>194</v>
      </c>
      <c r="M119" s="6" t="s">
        <v>119</v>
      </c>
      <c r="N119" s="6" t="s">
        <v>206</v>
      </c>
      <c r="O119" s="12" t="s">
        <v>793</v>
      </c>
      <c r="P119" s="10" t="s">
        <v>47</v>
      </c>
      <c r="Q119" s="29" t="s">
        <v>47</v>
      </c>
      <c r="R119" s="27" t="s">
        <v>47</v>
      </c>
      <c r="S119" s="10" t="s">
        <v>47</v>
      </c>
      <c r="T119" s="13">
        <v>7.1572839999999998</v>
      </c>
      <c r="U119" s="13">
        <v>7.5461</v>
      </c>
      <c r="V119" s="13">
        <v>10.104100000000001</v>
      </c>
      <c r="W119" s="13">
        <v>8.8250999999999991</v>
      </c>
      <c r="X119" s="13">
        <v>8.9529999999999994</v>
      </c>
      <c r="Y119" s="1">
        <f>AVERAGE(U119:X119)</f>
        <v>8.857075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hidden="1" x14ac:dyDescent="0.3">
      <c r="A120" s="19" t="s">
        <v>1145</v>
      </c>
      <c r="B120" s="21" t="s">
        <v>40</v>
      </c>
      <c r="C120" s="21">
        <v>1.5</v>
      </c>
      <c r="D120" s="23">
        <v>1100</v>
      </c>
      <c r="E120" s="23"/>
      <c r="F120" s="23" t="s">
        <v>82</v>
      </c>
      <c r="G120" s="20" t="s">
        <v>1127</v>
      </c>
      <c r="H120" s="6"/>
      <c r="I120" s="6" t="s">
        <v>1078</v>
      </c>
      <c r="J120" s="6">
        <v>59</v>
      </c>
      <c r="K120" s="21">
        <v>24</v>
      </c>
      <c r="L120" s="21" t="s">
        <v>703</v>
      </c>
      <c r="M120" s="6" t="s">
        <v>164</v>
      </c>
      <c r="N120" s="6" t="s">
        <v>1129</v>
      </c>
      <c r="O120" s="6"/>
      <c r="P120" s="6"/>
      <c r="Q120" s="27"/>
      <c r="R120" s="28" t="s">
        <v>108</v>
      </c>
      <c r="S120" s="6" t="s">
        <v>71</v>
      </c>
      <c r="T120" s="1">
        <v>4.7143199999999998</v>
      </c>
      <c r="U120" s="1">
        <v>8.9044799999999995</v>
      </c>
      <c r="V120" s="1">
        <v>8.9044799999999995</v>
      </c>
      <c r="W120" s="1">
        <v>7.8093600000000007</v>
      </c>
      <c r="X120" s="1">
        <v>8.9044799999999995</v>
      </c>
      <c r="Y120" s="1">
        <f>AVERAGE(U120:X120)</f>
        <v>8.6307000000000009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207</v>
      </c>
      <c r="B121" s="2" t="s">
        <v>62</v>
      </c>
      <c r="C121" s="21">
        <v>1</v>
      </c>
      <c r="D121" s="23">
        <v>550</v>
      </c>
      <c r="E121" s="23" t="s">
        <v>41</v>
      </c>
      <c r="F121" s="23"/>
      <c r="G121" s="3" t="s">
        <v>208</v>
      </c>
      <c r="H121" s="12" t="s">
        <v>41</v>
      </c>
      <c r="I121" s="12"/>
      <c r="J121" s="4"/>
      <c r="K121" s="5"/>
      <c r="L121" s="5" t="s">
        <v>209</v>
      </c>
      <c r="M121" s="4" t="s">
        <v>108</v>
      </c>
      <c r="N121" s="4" t="s">
        <v>196</v>
      </c>
      <c r="O121" s="12" t="s">
        <v>793</v>
      </c>
      <c r="P121" s="12" t="s">
        <v>47</v>
      </c>
      <c r="Q121" s="30" t="s">
        <v>47</v>
      </c>
      <c r="R121" s="27" t="s">
        <v>47</v>
      </c>
      <c r="S121" s="10" t="s">
        <v>47</v>
      </c>
      <c r="T121" s="13">
        <v>7.8285</v>
      </c>
      <c r="U121" s="13">
        <v>7.14</v>
      </c>
      <c r="V121" s="13">
        <v>8.0342000000000002</v>
      </c>
      <c r="W121" s="13">
        <v>10.264599999999998</v>
      </c>
      <c r="X121" s="13">
        <v>8.0342000000000002</v>
      </c>
      <c r="Y121" s="1">
        <f>AVERAGE(U121:X121)</f>
        <v>8.3682499999999997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22" t="s">
        <v>210</v>
      </c>
      <c r="B122" s="2" t="s">
        <v>152</v>
      </c>
      <c r="C122" s="21">
        <v>1.2</v>
      </c>
      <c r="D122" s="23">
        <v>300</v>
      </c>
      <c r="E122" s="23">
        <v>470</v>
      </c>
      <c r="F122" s="23"/>
      <c r="G122" s="3" t="s">
        <v>211</v>
      </c>
      <c r="H122" s="10">
        <v>34025697</v>
      </c>
      <c r="I122" s="10"/>
      <c r="J122" s="6"/>
      <c r="K122" s="21"/>
      <c r="L122" s="21" t="s">
        <v>64</v>
      </c>
      <c r="M122" s="6" t="s">
        <v>45</v>
      </c>
      <c r="N122" s="6" t="s">
        <v>160</v>
      </c>
      <c r="O122" s="12" t="s">
        <v>793</v>
      </c>
      <c r="P122" s="10" t="s">
        <v>47</v>
      </c>
      <c r="Q122" s="29" t="s">
        <v>47</v>
      </c>
      <c r="R122" s="27" t="s">
        <v>47</v>
      </c>
      <c r="S122" s="10" t="s">
        <v>47</v>
      </c>
      <c r="T122" s="13">
        <v>6.37174</v>
      </c>
      <c r="U122" s="13">
        <v>8.2006160000000001</v>
      </c>
      <c r="V122" s="13">
        <v>8.7631420000000002</v>
      </c>
      <c r="W122" s="13">
        <v>7.5381149999999995</v>
      </c>
      <c r="X122" s="13">
        <v>7.4981249999999999</v>
      </c>
      <c r="Y122" s="1">
        <f>AVERAGE(U122:X122)</f>
        <v>7.9999994999999995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hidden="1" x14ac:dyDescent="0.3">
      <c r="A123" s="22" t="s">
        <v>808</v>
      </c>
      <c r="B123" s="2" t="s">
        <v>49</v>
      </c>
      <c r="C123" s="21">
        <v>16</v>
      </c>
      <c r="D123" s="23">
        <v>1200</v>
      </c>
      <c r="E123" s="23"/>
      <c r="F123" s="28"/>
      <c r="G123" s="3"/>
      <c r="H123" s="4"/>
      <c r="I123" s="4"/>
      <c r="J123" s="4"/>
      <c r="K123" s="5"/>
      <c r="L123" s="5" t="s">
        <v>764</v>
      </c>
      <c r="M123" s="4" t="s">
        <v>704</v>
      </c>
      <c r="N123" s="4"/>
      <c r="O123" s="4" t="s">
        <v>809</v>
      </c>
      <c r="P123" s="4"/>
      <c r="Q123" s="24"/>
      <c r="R123" s="25" t="s">
        <v>692</v>
      </c>
      <c r="S123" s="4" t="s">
        <v>55</v>
      </c>
      <c r="T123" s="1">
        <v>1.6559079999999999</v>
      </c>
      <c r="U123" s="1">
        <v>7.1890639999999992</v>
      </c>
      <c r="V123" s="1">
        <v>7.9968240000000002</v>
      </c>
      <c r="W123" s="1">
        <v>7.7141079999999995</v>
      </c>
      <c r="X123" s="1">
        <v>8.7641960000000001</v>
      </c>
      <c r="Y123" s="1">
        <f>AVERAGE(U123:X123)</f>
        <v>7.916048</v>
      </c>
      <c r="Z123" s="10"/>
      <c r="AA123" s="10"/>
      <c r="AB123" s="10"/>
      <c r="AC123" s="10"/>
      <c r="AD123" s="10"/>
      <c r="AE123" s="10"/>
      <c r="AF123" s="10"/>
      <c r="AG123" s="38">
        <f>COUNTIF(Z123:AF123,"X")/7</f>
        <v>0</v>
      </c>
      <c r="AH123" s="51" t="str">
        <f>IF(AG123=100%,Y123," ")</f>
        <v xml:space="preserve"> </v>
      </c>
      <c r="AI123" s="64"/>
      <c r="AJ123" s="1"/>
      <c r="AK123" s="65">
        <v>0</v>
      </c>
      <c r="AL123" s="1"/>
      <c r="AM123" s="1"/>
    </row>
    <row r="124" spans="1:39" s="26" customFormat="1" hidden="1" x14ac:dyDescent="0.3">
      <c r="A124" s="19" t="s">
        <v>659</v>
      </c>
      <c r="B124" s="21" t="s">
        <v>40</v>
      </c>
      <c r="C124" s="21">
        <v>1.2</v>
      </c>
      <c r="D124" s="23">
        <v>550</v>
      </c>
      <c r="E124" s="23"/>
      <c r="F124" s="23"/>
      <c r="G124" s="20" t="s">
        <v>1146</v>
      </c>
      <c r="H124" s="6"/>
      <c r="I124" s="6" t="s">
        <v>1084</v>
      </c>
      <c r="J124" s="6">
        <v>60</v>
      </c>
      <c r="K124" s="21"/>
      <c r="L124" s="21" t="s">
        <v>1073</v>
      </c>
      <c r="M124" s="6" t="s">
        <v>195</v>
      </c>
      <c r="N124" s="6" t="s">
        <v>160</v>
      </c>
      <c r="O124" s="6">
        <v>20</v>
      </c>
      <c r="P124" s="6"/>
      <c r="Q124" s="27"/>
      <c r="R124" s="28" t="s">
        <v>108</v>
      </c>
      <c r="S124" s="6"/>
      <c r="T124" s="1">
        <v>7.8249599999999999</v>
      </c>
      <c r="U124" s="1">
        <v>7.8249599999999999</v>
      </c>
      <c r="V124" s="1">
        <v>8.4268799999999988</v>
      </c>
      <c r="W124" s="1">
        <v>6.0191999999999997</v>
      </c>
      <c r="X124" s="1">
        <v>9.0287999999999986</v>
      </c>
      <c r="Y124" s="1">
        <f>AVERAGE(U124:X124)</f>
        <v>7.824959999999999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hidden="1" x14ac:dyDescent="0.3">
      <c r="A125" s="22" t="s">
        <v>272</v>
      </c>
      <c r="B125" s="2" t="s">
        <v>49</v>
      </c>
      <c r="C125" s="21">
        <v>3</v>
      </c>
      <c r="D125" s="23">
        <v>1220</v>
      </c>
      <c r="E125" s="23"/>
      <c r="F125" s="28"/>
      <c r="G125" s="3" t="s">
        <v>810</v>
      </c>
      <c r="H125" s="6"/>
      <c r="I125" s="6" t="s">
        <v>687</v>
      </c>
      <c r="J125" s="6">
        <v>69</v>
      </c>
      <c r="K125" s="21">
        <v>24</v>
      </c>
      <c r="L125" s="21" t="s">
        <v>703</v>
      </c>
      <c r="M125" s="6" t="s">
        <v>94</v>
      </c>
      <c r="N125" s="6"/>
      <c r="O125" s="6" t="s">
        <v>793</v>
      </c>
      <c r="P125" s="6"/>
      <c r="Q125" s="27"/>
      <c r="R125" s="28" t="s">
        <v>692</v>
      </c>
      <c r="S125" s="6" t="s">
        <v>55</v>
      </c>
      <c r="T125" s="1">
        <v>4.100536</v>
      </c>
      <c r="U125" s="1">
        <v>6.0100700000000007</v>
      </c>
      <c r="V125" s="1">
        <v>9.4226080000000003</v>
      </c>
      <c r="W125" s="1">
        <v>9.0376659999999998</v>
      </c>
      <c r="X125" s="1">
        <v>6.0122790000000013</v>
      </c>
      <c r="Y125" s="1">
        <f>AVERAGE(U125:X125)</f>
        <v>7.6206557500000009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hidden="1" x14ac:dyDescent="0.3">
      <c r="A126" s="19" t="s">
        <v>1147</v>
      </c>
      <c r="B126" s="21" t="s">
        <v>40</v>
      </c>
      <c r="C126" s="21">
        <v>1.2</v>
      </c>
      <c r="D126" s="23">
        <v>1200</v>
      </c>
      <c r="E126" s="23"/>
      <c r="F126" s="23" t="s">
        <v>82</v>
      </c>
      <c r="G126" s="20" t="s">
        <v>1148</v>
      </c>
      <c r="H126" s="6"/>
      <c r="I126" s="6" t="s">
        <v>1078</v>
      </c>
      <c r="J126" s="6">
        <v>59</v>
      </c>
      <c r="K126" s="21">
        <v>1.6</v>
      </c>
      <c r="L126" s="21" t="s">
        <v>1073</v>
      </c>
      <c r="M126" s="6" t="s">
        <v>195</v>
      </c>
      <c r="N126" s="6" t="s">
        <v>1088</v>
      </c>
      <c r="O126" s="6">
        <v>10</v>
      </c>
      <c r="P126" s="6"/>
      <c r="Q126" s="27"/>
      <c r="R126" s="28" t="s">
        <v>108</v>
      </c>
      <c r="S126" s="6"/>
      <c r="T126" s="1">
        <v>11.020800000000001</v>
      </c>
      <c r="U126" s="1">
        <v>6.8224000000000009</v>
      </c>
      <c r="V126" s="1">
        <v>8.9215999999999998</v>
      </c>
      <c r="W126" s="1">
        <v>5.7728000000000002</v>
      </c>
      <c r="X126" s="1">
        <v>8.9215999999999998</v>
      </c>
      <c r="Y126" s="1">
        <f>AVERAGE(U126:X126)</f>
        <v>7.6096000000000004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hidden="1" x14ac:dyDescent="0.3">
      <c r="A127" s="19" t="s">
        <v>1149</v>
      </c>
      <c r="B127" s="21" t="s">
        <v>40</v>
      </c>
      <c r="C127" s="21">
        <v>1.2</v>
      </c>
      <c r="D127" s="23">
        <v>1150</v>
      </c>
      <c r="E127" s="23"/>
      <c r="F127" s="23"/>
      <c r="G127" s="20" t="s">
        <v>1127</v>
      </c>
      <c r="H127" s="6"/>
      <c r="I127" s="6" t="s">
        <v>1084</v>
      </c>
      <c r="J127" s="6">
        <v>69</v>
      </c>
      <c r="K127" s="21">
        <v>26</v>
      </c>
      <c r="L127" s="21" t="s">
        <v>703</v>
      </c>
      <c r="M127" s="6" t="s">
        <v>1128</v>
      </c>
      <c r="N127" s="6" t="s">
        <v>1150</v>
      </c>
      <c r="O127" s="6"/>
      <c r="P127" s="6"/>
      <c r="Q127" s="27"/>
      <c r="R127" s="28" t="s">
        <v>108</v>
      </c>
      <c r="S127" s="6" t="s">
        <v>71</v>
      </c>
      <c r="T127" s="1">
        <v>1.8766799999999999</v>
      </c>
      <c r="U127" s="1">
        <v>6.4300800000000002</v>
      </c>
      <c r="V127" s="1">
        <v>11.204880000000001</v>
      </c>
      <c r="W127" s="1">
        <v>5.8783199999999995</v>
      </c>
      <c r="X127" s="1">
        <v>6.8863199999999996</v>
      </c>
      <c r="Y127" s="1">
        <f>AVERAGE(U127:X127)</f>
        <v>7.5998999999999999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212</v>
      </c>
      <c r="B128" s="2" t="s">
        <v>49</v>
      </c>
      <c r="C128" s="21">
        <v>4</v>
      </c>
      <c r="D128" s="23">
        <v>1250</v>
      </c>
      <c r="E128" s="23" t="s">
        <v>41</v>
      </c>
      <c r="F128" s="23"/>
      <c r="G128" s="3" t="s">
        <v>213</v>
      </c>
      <c r="H128" s="10" t="s">
        <v>41</v>
      </c>
      <c r="I128" s="10"/>
      <c r="J128" s="6"/>
      <c r="K128" s="21"/>
      <c r="L128" s="21" t="s">
        <v>52</v>
      </c>
      <c r="M128" s="6" t="s">
        <v>214</v>
      </c>
      <c r="N128" s="6" t="s">
        <v>215</v>
      </c>
      <c r="O128" s="12" t="s">
        <v>793</v>
      </c>
      <c r="P128" s="10" t="s">
        <v>108</v>
      </c>
      <c r="Q128" s="29" t="s">
        <v>47</v>
      </c>
      <c r="R128" s="27" t="s">
        <v>47</v>
      </c>
      <c r="S128" s="10" t="s">
        <v>55</v>
      </c>
      <c r="T128" s="13">
        <v>5.3885119999999995</v>
      </c>
      <c r="U128" s="13">
        <v>6.6923999999999992</v>
      </c>
      <c r="V128" s="13">
        <v>7.8078000000000003</v>
      </c>
      <c r="W128" s="13">
        <v>7.8078000000000003</v>
      </c>
      <c r="X128" s="13">
        <v>7.8078000000000003</v>
      </c>
      <c r="Y128" s="1">
        <f>AVERAGE(U128:X128)</f>
        <v>7.52895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hidden="1" x14ac:dyDescent="0.3">
      <c r="A129" s="22" t="s">
        <v>811</v>
      </c>
      <c r="B129" s="2" t="s">
        <v>49</v>
      </c>
      <c r="C129" s="21">
        <v>4</v>
      </c>
      <c r="D129" s="23">
        <v>1200</v>
      </c>
      <c r="E129" s="23"/>
      <c r="F129" s="28"/>
      <c r="G129" s="3" t="s">
        <v>774</v>
      </c>
      <c r="H129" s="6"/>
      <c r="I129" s="6" t="s">
        <v>702</v>
      </c>
      <c r="J129" s="6">
        <v>69</v>
      </c>
      <c r="K129" s="21">
        <v>22</v>
      </c>
      <c r="L129" s="21" t="s">
        <v>52</v>
      </c>
      <c r="M129" s="6" t="s">
        <v>94</v>
      </c>
      <c r="N129" s="33" t="s">
        <v>776</v>
      </c>
      <c r="O129" s="6" t="s">
        <v>793</v>
      </c>
      <c r="P129" s="6"/>
      <c r="Q129" s="27"/>
      <c r="R129" s="28" t="s">
        <v>692</v>
      </c>
      <c r="S129" s="6" t="s">
        <v>55</v>
      </c>
      <c r="T129" s="1">
        <v>8.0781390000000002</v>
      </c>
      <c r="U129" s="1">
        <v>6.9584680000000008</v>
      </c>
      <c r="V129" s="1">
        <v>8.574014</v>
      </c>
      <c r="W129" s="1">
        <v>9.1992239999999992</v>
      </c>
      <c r="X129" s="1">
        <v>4.8066329999999997</v>
      </c>
      <c r="Y129" s="1">
        <f>AVERAGE(U129:X129)</f>
        <v>7.3845847500000001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216</v>
      </c>
      <c r="B130" s="2" t="s">
        <v>49</v>
      </c>
      <c r="C130" s="21">
        <v>1.5</v>
      </c>
      <c r="D130" s="23">
        <v>1000</v>
      </c>
      <c r="E130" s="23" t="s">
        <v>41</v>
      </c>
      <c r="F130" s="23"/>
      <c r="G130" s="3" t="s">
        <v>217</v>
      </c>
      <c r="H130" s="10" t="s">
        <v>41</v>
      </c>
      <c r="I130" s="10"/>
      <c r="J130" s="6"/>
      <c r="K130" s="21"/>
      <c r="L130" s="21" t="s">
        <v>52</v>
      </c>
      <c r="M130" s="6" t="s">
        <v>155</v>
      </c>
      <c r="N130" s="6" t="s">
        <v>218</v>
      </c>
      <c r="O130" s="12" t="s">
        <v>793</v>
      </c>
      <c r="P130" s="10" t="s">
        <v>47</v>
      </c>
      <c r="Q130" s="29" t="s">
        <v>47</v>
      </c>
      <c r="R130" s="27" t="s">
        <v>47</v>
      </c>
      <c r="S130" s="10" t="s">
        <v>47</v>
      </c>
      <c r="T130" s="13">
        <v>5.7919680000000007</v>
      </c>
      <c r="U130" s="13">
        <v>6.4355200000000004</v>
      </c>
      <c r="V130" s="13">
        <v>8.0443999999999996</v>
      </c>
      <c r="W130" s="13">
        <v>7.38192</v>
      </c>
      <c r="X130" s="13">
        <v>7.571200000000001</v>
      </c>
      <c r="Y130" s="1">
        <f>AVERAGE(U130:X130)</f>
        <v>7.3582600000000005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219</v>
      </c>
      <c r="B131" s="2" t="s">
        <v>49</v>
      </c>
      <c r="C131" s="21">
        <v>6</v>
      </c>
      <c r="D131" s="23">
        <v>1050</v>
      </c>
      <c r="E131" s="23" t="s">
        <v>41</v>
      </c>
      <c r="F131" s="23"/>
      <c r="G131" s="3" t="s">
        <v>220</v>
      </c>
      <c r="H131" s="10" t="s">
        <v>41</v>
      </c>
      <c r="I131" s="10"/>
      <c r="J131" s="6"/>
      <c r="K131" s="21"/>
      <c r="L131" s="21" t="s">
        <v>74</v>
      </c>
      <c r="M131" s="6" t="s">
        <v>93</v>
      </c>
      <c r="N131" s="6" t="s">
        <v>94</v>
      </c>
      <c r="O131" s="12" t="s">
        <v>793</v>
      </c>
      <c r="P131" s="10" t="s">
        <v>47</v>
      </c>
      <c r="Q131" s="29" t="s">
        <v>47</v>
      </c>
      <c r="R131" s="27" t="s">
        <v>47</v>
      </c>
      <c r="S131" s="10" t="s">
        <v>55</v>
      </c>
      <c r="T131" s="13">
        <v>5.9327399999999999</v>
      </c>
      <c r="U131" s="13">
        <v>6.2134400000000003</v>
      </c>
      <c r="V131" s="13">
        <v>7.53972</v>
      </c>
      <c r="W131" s="13">
        <v>7.2028800000000004</v>
      </c>
      <c r="X131" s="13">
        <v>6.5663199999999993</v>
      </c>
      <c r="Y131" s="1">
        <f>AVERAGE(U131:X131)</f>
        <v>6.8805899999999998</v>
      </c>
      <c r="Z131" s="10" t="s">
        <v>693</v>
      </c>
      <c r="AA131" s="10" t="s">
        <v>693</v>
      </c>
      <c r="AB131" s="10" t="s">
        <v>693</v>
      </c>
      <c r="AC131" s="10" t="s">
        <v>693</v>
      </c>
      <c r="AD131" s="10" t="s">
        <v>693</v>
      </c>
      <c r="AE131" s="10" t="s">
        <v>693</v>
      </c>
      <c r="AF131" s="10" t="s">
        <v>693</v>
      </c>
      <c r="AG131" s="38">
        <f>COUNTIF(Z131:AF131,"X")/7</f>
        <v>1</v>
      </c>
      <c r="AH131" s="51">
        <f>IF(AG131=100%,Y131," ")</f>
        <v>6.8805899999999998</v>
      </c>
      <c r="AI131" s="64"/>
      <c r="AJ131" s="81" t="s">
        <v>1425</v>
      </c>
      <c r="AK131" s="65">
        <v>0</v>
      </c>
      <c r="AL131" s="1"/>
      <c r="AM131" s="1"/>
    </row>
    <row r="132" spans="1:39" s="26" customFormat="1" hidden="1" x14ac:dyDescent="0.3">
      <c r="A132" s="19" t="s">
        <v>1151</v>
      </c>
      <c r="B132" s="21" t="s">
        <v>49</v>
      </c>
      <c r="C132" s="21">
        <v>3</v>
      </c>
      <c r="D132" s="23">
        <v>1050</v>
      </c>
      <c r="E132" s="23"/>
      <c r="F132" s="23"/>
      <c r="G132" s="20" t="s">
        <v>1152</v>
      </c>
      <c r="H132" s="6"/>
      <c r="I132" s="6" t="s">
        <v>1078</v>
      </c>
      <c r="J132" s="6">
        <v>59</v>
      </c>
      <c r="K132" s="21">
        <v>20</v>
      </c>
      <c r="L132" s="21" t="s">
        <v>703</v>
      </c>
      <c r="M132" s="6" t="s">
        <v>164</v>
      </c>
      <c r="N132" s="6" t="s">
        <v>1129</v>
      </c>
      <c r="O132" s="6"/>
      <c r="P132" s="6"/>
      <c r="Q132" s="27"/>
      <c r="R132" s="28" t="s">
        <v>108</v>
      </c>
      <c r="S132" s="6" t="s">
        <v>71</v>
      </c>
      <c r="T132" s="1">
        <v>5.1520320000000002</v>
      </c>
      <c r="U132" s="1">
        <v>6.689951999999999</v>
      </c>
      <c r="V132" s="1">
        <v>6.689951999999999</v>
      </c>
      <c r="W132" s="1">
        <v>8.7732639999999993</v>
      </c>
      <c r="X132" s="1">
        <v>5.205076</v>
      </c>
      <c r="Y132" s="1">
        <f>AVERAGE(U132:X132)</f>
        <v>6.8395609999999998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221</v>
      </c>
      <c r="B133" s="2" t="s">
        <v>68</v>
      </c>
      <c r="C133" s="21">
        <v>1.2</v>
      </c>
      <c r="D133" s="23">
        <v>1100</v>
      </c>
      <c r="E133" s="23" t="s">
        <v>41</v>
      </c>
      <c r="F133" s="23"/>
      <c r="G133" s="3" t="s">
        <v>222</v>
      </c>
      <c r="H133" s="12" t="s">
        <v>41</v>
      </c>
      <c r="I133" s="10"/>
      <c r="J133" s="4"/>
      <c r="K133" s="5"/>
      <c r="L133" s="5" t="s">
        <v>52</v>
      </c>
      <c r="M133" s="4" t="s">
        <v>84</v>
      </c>
      <c r="N133" s="4" t="s">
        <v>85</v>
      </c>
      <c r="O133" s="12" t="s">
        <v>793</v>
      </c>
      <c r="P133" s="12" t="s">
        <v>47</v>
      </c>
      <c r="Q133" s="30" t="s">
        <v>47</v>
      </c>
      <c r="R133" s="27" t="s">
        <v>47</v>
      </c>
      <c r="S133" s="10" t="s">
        <v>55</v>
      </c>
      <c r="T133" s="13">
        <v>2.1155999999999997</v>
      </c>
      <c r="U133" s="13">
        <v>5.6028959999999994</v>
      </c>
      <c r="V133" s="13">
        <v>9.5861280000000004</v>
      </c>
      <c r="W133" s="13">
        <v>5.4238080000000002</v>
      </c>
      <c r="X133" s="13">
        <v>6.0889920000000002</v>
      </c>
      <c r="Y133" s="1">
        <f>AVERAGE(U133:X133)</f>
        <v>6.6754560000000005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hidden="1" x14ac:dyDescent="0.3">
      <c r="A134" s="19" t="s">
        <v>1153</v>
      </c>
      <c r="B134" s="21" t="s">
        <v>40</v>
      </c>
      <c r="C134" s="21">
        <v>1.2</v>
      </c>
      <c r="D134" s="23">
        <v>375</v>
      </c>
      <c r="E134" s="23"/>
      <c r="F134" s="23" t="s">
        <v>1143</v>
      </c>
      <c r="G134" s="20" t="s">
        <v>1154</v>
      </c>
      <c r="H134" s="6"/>
      <c r="I134" s="6" t="s">
        <v>1084</v>
      </c>
      <c r="J134" s="6">
        <v>60</v>
      </c>
      <c r="K134" s="21"/>
      <c r="L134" s="21" t="s">
        <v>785</v>
      </c>
      <c r="M134" s="6" t="s">
        <v>195</v>
      </c>
      <c r="N134" s="6">
        <v>246</v>
      </c>
      <c r="O134" s="6"/>
      <c r="P134" s="6"/>
      <c r="Q134" s="27"/>
      <c r="R134" s="28" t="s">
        <v>108</v>
      </c>
      <c r="S134" s="6"/>
      <c r="T134" s="1">
        <v>7.626240000000001</v>
      </c>
      <c r="U134" s="1">
        <v>6.0374400000000001</v>
      </c>
      <c r="V134" s="1">
        <v>7.944</v>
      </c>
      <c r="W134" s="1">
        <v>6.0374400000000001</v>
      </c>
      <c r="X134" s="1">
        <v>6.3552000000000008</v>
      </c>
      <c r="Y134" s="1">
        <f>AVERAGE(U134:X134)</f>
        <v>6.5935199999999998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hidden="1" x14ac:dyDescent="0.3">
      <c r="A135" s="19" t="s">
        <v>1155</v>
      </c>
      <c r="B135" s="21" t="s">
        <v>68</v>
      </c>
      <c r="C135" s="21">
        <v>2.5</v>
      </c>
      <c r="D135" s="23">
        <v>1050</v>
      </c>
      <c r="E135" s="23"/>
      <c r="F135" s="23" t="s">
        <v>1156</v>
      </c>
      <c r="G135" s="20" t="s">
        <v>1157</v>
      </c>
      <c r="H135" s="6"/>
      <c r="I135" s="6" t="s">
        <v>1084</v>
      </c>
      <c r="J135" s="6">
        <v>69</v>
      </c>
      <c r="K135" s="21">
        <v>2</v>
      </c>
      <c r="L135" s="21" t="s">
        <v>1073</v>
      </c>
      <c r="M135" s="6" t="s">
        <v>195</v>
      </c>
      <c r="N135" s="6" t="s">
        <v>160</v>
      </c>
      <c r="O135" s="6">
        <v>15</v>
      </c>
      <c r="P135" s="6"/>
      <c r="Q135" s="27"/>
      <c r="R135" s="28" t="s">
        <v>108</v>
      </c>
      <c r="S135" s="6"/>
      <c r="T135" s="1">
        <v>6.1440000000000001</v>
      </c>
      <c r="U135" s="1">
        <v>6.1440000000000001</v>
      </c>
      <c r="V135" s="1">
        <v>7.3727999999999998</v>
      </c>
      <c r="W135" s="1">
        <v>4.9151999999999996</v>
      </c>
      <c r="X135" s="1">
        <v>7.3727999999999998</v>
      </c>
      <c r="Y135" s="1">
        <f>AVERAGE(U135:X135)</f>
        <v>6.4512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223</v>
      </c>
      <c r="B136" s="2" t="s">
        <v>68</v>
      </c>
      <c r="C136" s="21">
        <v>1.2</v>
      </c>
      <c r="D136" s="23">
        <v>1300</v>
      </c>
      <c r="E136" s="23" t="s">
        <v>41</v>
      </c>
      <c r="F136" s="23"/>
      <c r="G136" s="3" t="s">
        <v>224</v>
      </c>
      <c r="H136" s="10" t="s">
        <v>41</v>
      </c>
      <c r="I136" s="10"/>
      <c r="J136" s="6"/>
      <c r="K136" s="21"/>
      <c r="L136" s="21" t="s">
        <v>52</v>
      </c>
      <c r="M136" s="4" t="s">
        <v>84</v>
      </c>
      <c r="N136" s="6" t="s">
        <v>85</v>
      </c>
      <c r="O136" s="12" t="s">
        <v>793</v>
      </c>
      <c r="P136" s="10" t="s">
        <v>47</v>
      </c>
      <c r="Q136" s="29" t="s">
        <v>47</v>
      </c>
      <c r="R136" s="27" t="s">
        <v>47</v>
      </c>
      <c r="S136" s="10" t="s">
        <v>55</v>
      </c>
      <c r="T136" s="13">
        <v>1.9080280000000003</v>
      </c>
      <c r="U136" s="13">
        <v>5.2212000000000005</v>
      </c>
      <c r="V136" s="13">
        <v>8.9877919999999989</v>
      </c>
      <c r="W136" s="13">
        <v>5.0380000000000003</v>
      </c>
      <c r="X136" s="13">
        <v>5.6425600000000005</v>
      </c>
      <c r="Y136" s="1">
        <f>AVERAGE(U136:X136)</f>
        <v>6.2223879999999996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22" t="s">
        <v>225</v>
      </c>
      <c r="B137" s="2" t="s">
        <v>62</v>
      </c>
      <c r="C137" s="21">
        <v>0.7</v>
      </c>
      <c r="D137" s="23">
        <v>800</v>
      </c>
      <c r="E137" s="23" t="s">
        <v>41</v>
      </c>
      <c r="F137" s="23"/>
      <c r="G137" s="3" t="s">
        <v>226</v>
      </c>
      <c r="H137" s="12">
        <v>34025669</v>
      </c>
      <c r="I137" s="10"/>
      <c r="J137" s="4"/>
      <c r="K137" s="5"/>
      <c r="L137" s="5" t="s">
        <v>64</v>
      </c>
      <c r="M137" s="4" t="s">
        <v>115</v>
      </c>
      <c r="N137" s="4" t="s">
        <v>160</v>
      </c>
      <c r="O137" s="12" t="s">
        <v>793</v>
      </c>
      <c r="P137" s="12" t="s">
        <v>47</v>
      </c>
      <c r="Q137" s="30" t="s">
        <v>47</v>
      </c>
      <c r="R137" s="27" t="s">
        <v>47</v>
      </c>
      <c r="S137" s="10" t="s">
        <v>47</v>
      </c>
      <c r="T137" s="13">
        <v>3.7521999999999998</v>
      </c>
      <c r="U137" s="13">
        <v>6.2502399999999998</v>
      </c>
      <c r="V137" s="13">
        <v>6.2666880000000003</v>
      </c>
      <c r="W137" s="13">
        <v>6.2666880000000003</v>
      </c>
      <c r="X137" s="13">
        <v>5.7732479999999997</v>
      </c>
      <c r="Y137" s="1">
        <f>AVERAGE(U137:X137)</f>
        <v>6.1392160000000002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hidden="1" x14ac:dyDescent="0.3">
      <c r="A138" s="22" t="s">
        <v>1250</v>
      </c>
      <c r="B138" s="2"/>
      <c r="C138" s="21">
        <v>15</v>
      </c>
      <c r="D138" s="23"/>
      <c r="E138" s="23"/>
      <c r="F138" s="23"/>
      <c r="G138" s="3" t="s">
        <v>1251</v>
      </c>
      <c r="H138" s="4"/>
      <c r="I138" s="4"/>
      <c r="J138" s="4"/>
      <c r="K138" s="5"/>
      <c r="L138" s="21" t="s">
        <v>52</v>
      </c>
      <c r="M138" s="4"/>
      <c r="N138" s="6"/>
      <c r="O138" s="4"/>
      <c r="P138" s="4"/>
      <c r="Q138" s="24"/>
      <c r="R138" s="27" t="s">
        <v>146</v>
      </c>
      <c r="S138" s="4" t="s">
        <v>1252</v>
      </c>
      <c r="T138" s="1">
        <v>3.5890178076923074</v>
      </c>
      <c r="U138" s="1">
        <v>6.1286553461538471</v>
      </c>
      <c r="V138" s="1">
        <v>4.3946124807692311</v>
      </c>
      <c r="W138" s="1">
        <v>6.7948429038461544</v>
      </c>
      <c r="X138" s="1">
        <v>7.1346457500000007</v>
      </c>
      <c r="Y138" s="1">
        <f>AVERAGE(U138:X138)</f>
        <v>6.1131891201923088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hidden="1" x14ac:dyDescent="0.3">
      <c r="A139" s="19" t="s">
        <v>1158</v>
      </c>
      <c r="B139" s="21" t="s">
        <v>40</v>
      </c>
      <c r="C139" s="21">
        <v>1.2</v>
      </c>
      <c r="D139" s="23">
        <v>1300</v>
      </c>
      <c r="E139" s="23"/>
      <c r="F139" s="23"/>
      <c r="G139" s="20" t="s">
        <v>1159</v>
      </c>
      <c r="H139" s="6"/>
      <c r="I139" s="6" t="s">
        <v>1078</v>
      </c>
      <c r="J139" s="6">
        <v>59</v>
      </c>
      <c r="K139" s="21">
        <v>28</v>
      </c>
      <c r="L139" s="21" t="s">
        <v>703</v>
      </c>
      <c r="M139" s="6" t="s">
        <v>1128</v>
      </c>
      <c r="N139" s="6" t="s">
        <v>1160</v>
      </c>
      <c r="O139" s="6"/>
      <c r="P139" s="6"/>
      <c r="Q139" s="27"/>
      <c r="R139" s="28" t="s">
        <v>108</v>
      </c>
      <c r="S139" s="6" t="s">
        <v>71</v>
      </c>
      <c r="T139" s="1">
        <v>0.85750000000000004</v>
      </c>
      <c r="U139" s="1">
        <v>5.3164999999999996</v>
      </c>
      <c r="V139" s="1">
        <v>9.1438199999999998</v>
      </c>
      <c r="W139" s="1">
        <v>4.7568100000000006</v>
      </c>
      <c r="X139" s="1">
        <v>4.6304999999999996</v>
      </c>
      <c r="Y139" s="1">
        <f>AVERAGE(U139:X139)</f>
        <v>5.9619075000000006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hidden="1" x14ac:dyDescent="0.3">
      <c r="A140" s="19" t="s">
        <v>1161</v>
      </c>
      <c r="B140" s="21" t="s">
        <v>68</v>
      </c>
      <c r="C140" s="21">
        <v>2.5</v>
      </c>
      <c r="D140" s="23">
        <v>1000</v>
      </c>
      <c r="E140" s="23"/>
      <c r="F140" s="23" t="s">
        <v>1156</v>
      </c>
      <c r="G140" s="20" t="s">
        <v>1162</v>
      </c>
      <c r="H140" s="6"/>
      <c r="I140" s="6" t="s">
        <v>1084</v>
      </c>
      <c r="J140" s="6">
        <v>69</v>
      </c>
      <c r="K140" s="21">
        <v>1.7</v>
      </c>
      <c r="L140" s="21" t="s">
        <v>1073</v>
      </c>
      <c r="M140" s="6" t="s">
        <v>195</v>
      </c>
      <c r="N140" s="6" t="s">
        <v>160</v>
      </c>
      <c r="O140" s="6">
        <v>15</v>
      </c>
      <c r="P140" s="6"/>
      <c r="Q140" s="27"/>
      <c r="R140" s="28" t="s">
        <v>108</v>
      </c>
      <c r="S140" s="6"/>
      <c r="T140" s="1">
        <v>4.5359999999999996</v>
      </c>
      <c r="U140" s="1">
        <v>6.8040000000000003</v>
      </c>
      <c r="V140" s="1">
        <v>5.67</v>
      </c>
      <c r="W140" s="1">
        <v>4.5359999999999996</v>
      </c>
      <c r="X140" s="1">
        <v>6.8040000000000003</v>
      </c>
      <c r="Y140" s="1">
        <f>AVERAGE(U140:X140)</f>
        <v>5.9535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227</v>
      </c>
      <c r="B141" s="2" t="s">
        <v>152</v>
      </c>
      <c r="C141" s="21">
        <v>1.2</v>
      </c>
      <c r="D141" s="23">
        <v>325</v>
      </c>
      <c r="E141" s="23">
        <v>315</v>
      </c>
      <c r="F141" s="23"/>
      <c r="G141" s="3" t="s">
        <v>211</v>
      </c>
      <c r="H141" s="12">
        <v>34025698</v>
      </c>
      <c r="I141" s="12"/>
      <c r="J141" s="4"/>
      <c r="K141" s="5"/>
      <c r="L141" s="5" t="s">
        <v>64</v>
      </c>
      <c r="M141" s="4" t="s">
        <v>45</v>
      </c>
      <c r="N141" s="4" t="s">
        <v>160</v>
      </c>
      <c r="O141" s="12" t="s">
        <v>793</v>
      </c>
      <c r="P141" s="12" t="s">
        <v>47</v>
      </c>
      <c r="Q141" s="30" t="s">
        <v>47</v>
      </c>
      <c r="R141" s="27" t="s">
        <v>47</v>
      </c>
      <c r="S141" s="12" t="s">
        <v>47</v>
      </c>
      <c r="T141" s="13">
        <v>5.3682420000000004</v>
      </c>
      <c r="U141" s="13">
        <v>6.0166560000000002</v>
      </c>
      <c r="V141" s="13">
        <v>6.4293719999999999</v>
      </c>
      <c r="W141" s="13">
        <v>5.5305900000000001</v>
      </c>
      <c r="X141" s="13">
        <v>5.5012499999999998</v>
      </c>
      <c r="Y141" s="1">
        <f>AVERAGE(U141:X141)</f>
        <v>5.8694670000000002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idden="1" x14ac:dyDescent="0.3">
      <c r="A142" s="19" t="s">
        <v>1163</v>
      </c>
      <c r="B142" s="21" t="s">
        <v>40</v>
      </c>
      <c r="C142" s="21">
        <v>1.2</v>
      </c>
      <c r="D142" s="23">
        <v>467</v>
      </c>
      <c r="E142" s="23"/>
      <c r="F142" s="23" t="s">
        <v>1143</v>
      </c>
      <c r="G142" s="20" t="s">
        <v>1164</v>
      </c>
      <c r="H142" s="6"/>
      <c r="I142" s="6" t="s">
        <v>1084</v>
      </c>
      <c r="J142" s="6">
        <v>60</v>
      </c>
      <c r="K142" s="21"/>
      <c r="L142" s="21" t="s">
        <v>785</v>
      </c>
      <c r="M142" s="6" t="s">
        <v>195</v>
      </c>
      <c r="N142" s="6">
        <v>246</v>
      </c>
      <c r="O142" s="6"/>
      <c r="P142" s="6"/>
      <c r="Q142" s="27"/>
      <c r="R142" s="28" t="s">
        <v>108</v>
      </c>
      <c r="S142" s="6"/>
      <c r="T142" s="1">
        <v>6.8207999999999993</v>
      </c>
      <c r="U142" s="1">
        <v>5.3591999999999995</v>
      </c>
      <c r="V142" s="1">
        <v>6.8207999999999993</v>
      </c>
      <c r="W142" s="1">
        <v>5.3591999999999995</v>
      </c>
      <c r="X142" s="1">
        <v>5.3591999999999995</v>
      </c>
      <c r="Y142" s="1">
        <f>AVERAGE(U142:X142)</f>
        <v>5.7246000000000006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hidden="1" x14ac:dyDescent="0.3">
      <c r="A143" s="19" t="s">
        <v>670</v>
      </c>
      <c r="B143" s="21" t="s">
        <v>68</v>
      </c>
      <c r="C143" s="21">
        <v>0.75</v>
      </c>
      <c r="D143" s="23">
        <v>1000</v>
      </c>
      <c r="E143" s="23"/>
      <c r="F143" s="23" t="s">
        <v>82</v>
      </c>
      <c r="G143" s="20" t="s">
        <v>1165</v>
      </c>
      <c r="H143" s="6"/>
      <c r="I143" s="6" t="s">
        <v>1078</v>
      </c>
      <c r="J143" s="6">
        <v>59</v>
      </c>
      <c r="K143" s="21">
        <v>5</v>
      </c>
      <c r="L143" s="21" t="s">
        <v>1073</v>
      </c>
      <c r="M143" s="6" t="s">
        <v>195</v>
      </c>
      <c r="N143" s="6" t="s">
        <v>160</v>
      </c>
      <c r="O143" s="6">
        <v>10</v>
      </c>
      <c r="P143" s="6"/>
      <c r="Q143" s="27"/>
      <c r="R143" s="28" t="s">
        <v>108</v>
      </c>
      <c r="S143" s="6"/>
      <c r="T143" s="1">
        <v>5.4259199999999996</v>
      </c>
      <c r="U143" s="1">
        <v>5.4259199999999996</v>
      </c>
      <c r="V143" s="1">
        <v>6.3302399999999999</v>
      </c>
      <c r="W143" s="1">
        <v>4.5215999999999994</v>
      </c>
      <c r="X143" s="1">
        <v>6.3302399999999999</v>
      </c>
      <c r="Y143" s="1">
        <f>AVERAGE(U143:X143)</f>
        <v>5.6520000000000001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ht="20.399999999999999" x14ac:dyDescent="0.3">
      <c r="A144" s="22" t="s">
        <v>228</v>
      </c>
      <c r="B144" s="2" t="s">
        <v>229</v>
      </c>
      <c r="C144" s="21">
        <v>3</v>
      </c>
      <c r="D144" s="23">
        <v>1150</v>
      </c>
      <c r="E144" s="23">
        <v>1520</v>
      </c>
      <c r="F144" s="23" t="s">
        <v>230</v>
      </c>
      <c r="G144" s="3" t="s">
        <v>231</v>
      </c>
      <c r="H144" s="12" t="s">
        <v>41</v>
      </c>
      <c r="I144" s="12"/>
      <c r="J144" s="4"/>
      <c r="K144" s="5"/>
      <c r="L144" s="5" t="s">
        <v>194</v>
      </c>
      <c r="M144" s="4" t="s">
        <v>93</v>
      </c>
      <c r="N144" s="4"/>
      <c r="O144" s="12" t="s">
        <v>793</v>
      </c>
      <c r="P144" s="12" t="s">
        <v>47</v>
      </c>
      <c r="Q144" s="30" t="s">
        <v>47</v>
      </c>
      <c r="R144" s="27" t="s">
        <v>47</v>
      </c>
      <c r="S144" s="10" t="s">
        <v>47</v>
      </c>
      <c r="T144" s="13">
        <v>4.653492</v>
      </c>
      <c r="U144" s="13">
        <v>4.8366499999999997</v>
      </c>
      <c r="V144" s="13">
        <v>6.0875300000000001</v>
      </c>
      <c r="W144" s="13">
        <v>5.7834200000000004</v>
      </c>
      <c r="X144" s="13">
        <v>5.6846499999999995</v>
      </c>
      <c r="Y144" s="1">
        <f>AVERAGE(U144:X144)</f>
        <v>5.5980624999999993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82" t="s">
        <v>1426</v>
      </c>
      <c r="AK144" s="65">
        <v>0</v>
      </c>
      <c r="AL144" s="1"/>
      <c r="AM144" s="1"/>
    </row>
    <row r="145" spans="1:39" s="26" customFormat="1" hidden="1" x14ac:dyDescent="0.3">
      <c r="A145" s="3" t="s">
        <v>812</v>
      </c>
      <c r="B145" s="2" t="s">
        <v>49</v>
      </c>
      <c r="C145" s="21">
        <v>3.5</v>
      </c>
      <c r="D145" s="23">
        <v>1200</v>
      </c>
      <c r="E145" s="23"/>
      <c r="F145" s="28"/>
      <c r="G145" s="3" t="s">
        <v>806</v>
      </c>
      <c r="H145" s="6"/>
      <c r="I145" s="6" t="s">
        <v>687</v>
      </c>
      <c r="J145" s="6">
        <v>59</v>
      </c>
      <c r="K145" s="21"/>
      <c r="L145" s="5" t="s">
        <v>194</v>
      </c>
      <c r="M145" s="6" t="s">
        <v>94</v>
      </c>
      <c r="N145" s="6"/>
      <c r="O145" s="6" t="s">
        <v>793</v>
      </c>
      <c r="P145" s="6"/>
      <c r="Q145" s="27"/>
      <c r="R145" s="28" t="s">
        <v>692</v>
      </c>
      <c r="S145" s="6" t="s">
        <v>55</v>
      </c>
      <c r="T145" s="1">
        <v>3.5435940000000001</v>
      </c>
      <c r="U145" s="1">
        <v>3.09775</v>
      </c>
      <c r="V145" s="1">
        <v>5.7540599999999991</v>
      </c>
      <c r="W145" s="1">
        <v>8.572439000000001</v>
      </c>
      <c r="X145" s="1">
        <v>4.1806599999999996</v>
      </c>
      <c r="Y145" s="1">
        <f>AVERAGE(U145:X145)</f>
        <v>5.4012272499999998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84"/>
      <c r="AK145" s="65">
        <v>0</v>
      </c>
      <c r="AL145" s="1"/>
      <c r="AM145" s="1"/>
    </row>
    <row r="146" spans="1:39" s="26" customFormat="1" x14ac:dyDescent="0.3">
      <c r="A146" s="22" t="s">
        <v>232</v>
      </c>
      <c r="B146" s="2" t="s">
        <v>40</v>
      </c>
      <c r="C146" s="21">
        <v>0.6</v>
      </c>
      <c r="D146" s="23">
        <v>1100</v>
      </c>
      <c r="E146" s="23" t="s">
        <v>41</v>
      </c>
      <c r="F146" s="23"/>
      <c r="G146" s="3" t="s">
        <v>233</v>
      </c>
      <c r="H146" s="12" t="s">
        <v>41</v>
      </c>
      <c r="I146" s="10"/>
      <c r="J146" s="4"/>
      <c r="K146" s="5"/>
      <c r="L146" s="5" t="s">
        <v>52</v>
      </c>
      <c r="M146" s="4" t="s">
        <v>164</v>
      </c>
      <c r="N146" s="4" t="s">
        <v>203</v>
      </c>
      <c r="O146" s="12" t="s">
        <v>793</v>
      </c>
      <c r="P146" s="12" t="s">
        <v>47</v>
      </c>
      <c r="Q146" s="30" t="s">
        <v>47</v>
      </c>
      <c r="R146" s="27" t="s">
        <v>47</v>
      </c>
      <c r="S146" s="10" t="s">
        <v>55</v>
      </c>
      <c r="T146" s="13">
        <v>1.7595999999999998</v>
      </c>
      <c r="U146" s="13">
        <v>5.0880000000000001</v>
      </c>
      <c r="V146" s="13">
        <v>7.7591999999999999</v>
      </c>
      <c r="W146" s="13">
        <v>4.3460000000000001</v>
      </c>
      <c r="X146" s="13">
        <v>3.9855999999999998</v>
      </c>
      <c r="Y146" s="1">
        <f>AVERAGE(U146:X146)</f>
        <v>5.2947000000000006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85"/>
      <c r="AK146" s="65">
        <v>0</v>
      </c>
      <c r="AL146" s="1"/>
      <c r="AM146" s="1"/>
    </row>
    <row r="147" spans="1:39" s="26" customFormat="1" x14ac:dyDescent="0.3">
      <c r="A147" s="22" t="s">
        <v>234</v>
      </c>
      <c r="B147" s="2" t="s">
        <v>68</v>
      </c>
      <c r="C147" s="21">
        <v>1</v>
      </c>
      <c r="D147" s="23">
        <v>1200</v>
      </c>
      <c r="E147" s="23" t="s">
        <v>41</v>
      </c>
      <c r="F147" s="23"/>
      <c r="G147" s="3" t="s">
        <v>235</v>
      </c>
      <c r="H147" s="12" t="s">
        <v>41</v>
      </c>
      <c r="I147" s="10"/>
      <c r="J147" s="4"/>
      <c r="K147" s="5"/>
      <c r="L147" s="5" t="s">
        <v>52</v>
      </c>
      <c r="M147" s="6" t="s">
        <v>164</v>
      </c>
      <c r="N147" s="4" t="s">
        <v>203</v>
      </c>
      <c r="O147" s="12" t="s">
        <v>793</v>
      </c>
      <c r="P147" s="12" t="s">
        <v>47</v>
      </c>
      <c r="Q147" s="30" t="s">
        <v>146</v>
      </c>
      <c r="R147" s="27" t="s">
        <v>47</v>
      </c>
      <c r="S147" s="10" t="s">
        <v>55</v>
      </c>
      <c r="T147" s="13">
        <v>1.1439999999999999</v>
      </c>
      <c r="U147" s="13">
        <v>4.5759999999999996</v>
      </c>
      <c r="V147" s="13">
        <v>7.3216000000000001</v>
      </c>
      <c r="W147" s="13">
        <v>4.1184000000000003</v>
      </c>
      <c r="X147" s="13">
        <v>5.0336000000000007</v>
      </c>
      <c r="Y147" s="1">
        <f>AVERAGE(U147:X147)</f>
        <v>5.2624000000000004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81"/>
      <c r="AK147" s="65">
        <v>0</v>
      </c>
      <c r="AL147" s="1"/>
      <c r="AM147" s="1"/>
    </row>
    <row r="148" spans="1:39" s="26" customFormat="1" x14ac:dyDescent="0.3">
      <c r="A148" s="22" t="s">
        <v>236</v>
      </c>
      <c r="B148" s="2" t="s">
        <v>49</v>
      </c>
      <c r="C148" s="21">
        <v>2</v>
      </c>
      <c r="D148" s="23">
        <v>1250</v>
      </c>
      <c r="E148" s="23" t="s">
        <v>41</v>
      </c>
      <c r="F148" s="23"/>
      <c r="G148" s="3" t="s">
        <v>237</v>
      </c>
      <c r="H148" s="10" t="s">
        <v>41</v>
      </c>
      <c r="I148" s="10"/>
      <c r="J148" s="6"/>
      <c r="K148" s="21"/>
      <c r="L148" s="21" t="s">
        <v>186</v>
      </c>
      <c r="M148" s="4" t="s">
        <v>238</v>
      </c>
      <c r="N148" s="6" t="s">
        <v>239</v>
      </c>
      <c r="O148" s="12" t="s">
        <v>793</v>
      </c>
      <c r="P148" s="10" t="s">
        <v>47</v>
      </c>
      <c r="Q148" s="29" t="s">
        <v>47</v>
      </c>
      <c r="R148" s="27" t="s">
        <v>47</v>
      </c>
      <c r="S148" s="30" t="s">
        <v>55</v>
      </c>
      <c r="T148" s="13">
        <v>6.2279780000000011</v>
      </c>
      <c r="U148" s="13">
        <v>4.8074100000000008</v>
      </c>
      <c r="V148" s="13">
        <v>5.0672700000000006</v>
      </c>
      <c r="W148" s="13">
        <v>5.3271300000000004</v>
      </c>
      <c r="X148" s="13">
        <v>5.586990000000001</v>
      </c>
      <c r="Y148" s="1">
        <f>AVERAGE(U148:X148)</f>
        <v>5.1972000000000005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hidden="1" x14ac:dyDescent="0.3">
      <c r="A149" s="19" t="s">
        <v>1166</v>
      </c>
      <c r="B149" s="21" t="s">
        <v>40</v>
      </c>
      <c r="C149" s="21">
        <v>0.8</v>
      </c>
      <c r="D149" s="23">
        <v>1050</v>
      </c>
      <c r="E149" s="23"/>
      <c r="F149" s="23" t="s">
        <v>82</v>
      </c>
      <c r="G149" s="20" t="s">
        <v>1167</v>
      </c>
      <c r="H149" s="6"/>
      <c r="I149" s="6" t="s">
        <v>1084</v>
      </c>
      <c r="J149" s="6">
        <v>69</v>
      </c>
      <c r="K149" s="21">
        <v>2</v>
      </c>
      <c r="L149" s="21" t="s">
        <v>1073</v>
      </c>
      <c r="M149" s="6" t="s">
        <v>195</v>
      </c>
      <c r="N149" s="6" t="s">
        <v>1088</v>
      </c>
      <c r="O149" s="6">
        <v>20</v>
      </c>
      <c r="P149" s="6"/>
      <c r="Q149" s="27"/>
      <c r="R149" s="28" t="s">
        <v>108</v>
      </c>
      <c r="S149" s="6"/>
      <c r="T149" s="1">
        <v>4.42</v>
      </c>
      <c r="U149" s="1">
        <v>4.8620000000000001</v>
      </c>
      <c r="V149" s="1">
        <v>5.7460000000000004</v>
      </c>
      <c r="W149" s="1">
        <v>4.42</v>
      </c>
      <c r="X149" s="1">
        <v>5.7460000000000004</v>
      </c>
      <c r="Y149" s="1">
        <f>AVERAGE(U149:X149)</f>
        <v>5.1935000000000002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hidden="1" x14ac:dyDescent="0.3">
      <c r="A150" s="22" t="s">
        <v>813</v>
      </c>
      <c r="B150" s="2" t="s">
        <v>68</v>
      </c>
      <c r="C150" s="21">
        <v>3</v>
      </c>
      <c r="D150" s="23">
        <v>1200</v>
      </c>
      <c r="E150" s="23"/>
      <c r="F150" s="28"/>
      <c r="G150" s="3" t="s">
        <v>814</v>
      </c>
      <c r="H150" s="6"/>
      <c r="I150" s="6"/>
      <c r="J150" s="6">
        <v>30</v>
      </c>
      <c r="K150" s="21"/>
      <c r="L150" s="21" t="s">
        <v>815</v>
      </c>
      <c r="M150" s="6" t="s">
        <v>704</v>
      </c>
      <c r="N150" s="6"/>
      <c r="O150" s="6" t="s">
        <v>793</v>
      </c>
      <c r="P150" s="6"/>
      <c r="Q150" s="27"/>
      <c r="R150" s="28" t="s">
        <v>692</v>
      </c>
      <c r="S150" s="6"/>
      <c r="T150" s="1">
        <v>2.272259</v>
      </c>
      <c r="U150" s="1">
        <v>4.8117080000000003</v>
      </c>
      <c r="V150" s="1">
        <v>6.0278349999999996</v>
      </c>
      <c r="W150" s="1">
        <v>4.7809720000000002</v>
      </c>
      <c r="X150" s="1">
        <v>4.7154549999999995</v>
      </c>
      <c r="Y150" s="1">
        <f>AVERAGE(U150:X150)</f>
        <v>5.0839924999999999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hidden="1" x14ac:dyDescent="0.3">
      <c r="A151" s="19" t="s">
        <v>1168</v>
      </c>
      <c r="B151" s="21" t="s">
        <v>40</v>
      </c>
      <c r="C151" s="21">
        <v>0.7</v>
      </c>
      <c r="D151" s="23">
        <v>750</v>
      </c>
      <c r="E151" s="23"/>
      <c r="F151" s="23" t="s">
        <v>82</v>
      </c>
      <c r="G151" s="20" t="s">
        <v>1131</v>
      </c>
      <c r="H151" s="6"/>
      <c r="I151" s="6" t="s">
        <v>1084</v>
      </c>
      <c r="J151" s="6">
        <v>60</v>
      </c>
      <c r="K151" s="21"/>
      <c r="L151" s="21" t="s">
        <v>785</v>
      </c>
      <c r="M151" s="6" t="s">
        <v>195</v>
      </c>
      <c r="N151" s="6">
        <v>246</v>
      </c>
      <c r="O151" s="6"/>
      <c r="P151" s="6"/>
      <c r="Q151" s="27"/>
      <c r="R151" s="28" t="s">
        <v>108</v>
      </c>
      <c r="S151" s="6"/>
      <c r="T151" s="1">
        <v>5.7415200000000004</v>
      </c>
      <c r="U151" s="1">
        <v>4.6217199999999998</v>
      </c>
      <c r="V151" s="1">
        <v>6.0571000000000002</v>
      </c>
      <c r="W151" s="1">
        <v>4.6217199999999998</v>
      </c>
      <c r="X151" s="1">
        <v>4.7744200000000001</v>
      </c>
      <c r="Y151" s="1">
        <f>AVERAGE(U151:X151)</f>
        <v>5.0187400000000002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22" t="s">
        <v>240</v>
      </c>
      <c r="B152" s="2" t="s">
        <v>62</v>
      </c>
      <c r="C152" s="21">
        <v>1.2</v>
      </c>
      <c r="D152" s="23">
        <v>525</v>
      </c>
      <c r="E152" s="23" t="s">
        <v>41</v>
      </c>
      <c r="F152" s="23"/>
      <c r="G152" s="3" t="s">
        <v>241</v>
      </c>
      <c r="H152" s="10">
        <v>34025388</v>
      </c>
      <c r="I152" s="10"/>
      <c r="J152" s="6"/>
      <c r="K152" s="21"/>
      <c r="L152" s="21" t="s">
        <v>64</v>
      </c>
      <c r="M152" s="6" t="s">
        <v>115</v>
      </c>
      <c r="N152" s="6" t="s">
        <v>242</v>
      </c>
      <c r="O152" s="12" t="s">
        <v>793</v>
      </c>
      <c r="P152" s="10" t="s">
        <v>47</v>
      </c>
      <c r="Q152" s="29" t="s">
        <v>47</v>
      </c>
      <c r="R152" s="27" t="s">
        <v>47</v>
      </c>
      <c r="S152" s="10" t="s">
        <v>47</v>
      </c>
      <c r="T152" s="13">
        <v>4.3429950000000002</v>
      </c>
      <c r="U152" s="13">
        <v>5.5620000000000003</v>
      </c>
      <c r="V152" s="13">
        <v>5.5820850000000002</v>
      </c>
      <c r="W152" s="13">
        <v>3.1100850000000002</v>
      </c>
      <c r="X152" s="13">
        <v>5.5820850000000002</v>
      </c>
      <c r="Y152" s="1">
        <f>AVERAGE(U152:X152)</f>
        <v>4.9590637500000003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hidden="1" x14ac:dyDescent="0.3">
      <c r="A153" s="22" t="s">
        <v>109</v>
      </c>
      <c r="B153" s="2" t="s">
        <v>49</v>
      </c>
      <c r="C153" s="21">
        <v>8</v>
      </c>
      <c r="D153" s="23">
        <v>1300</v>
      </c>
      <c r="E153" s="23"/>
      <c r="F153" s="28"/>
      <c r="G153" s="3" t="s">
        <v>788</v>
      </c>
      <c r="H153" s="4"/>
      <c r="I153" s="6" t="s">
        <v>687</v>
      </c>
      <c r="J153" s="4">
        <v>69</v>
      </c>
      <c r="K153" s="5">
        <v>15</v>
      </c>
      <c r="L153" s="5" t="s">
        <v>703</v>
      </c>
      <c r="M153" s="4" t="s">
        <v>704</v>
      </c>
      <c r="N153" s="4"/>
      <c r="O153" s="4" t="s">
        <v>756</v>
      </c>
      <c r="P153" s="4"/>
      <c r="Q153" s="24"/>
      <c r="R153" s="25" t="s">
        <v>692</v>
      </c>
      <c r="S153" s="6" t="s">
        <v>55</v>
      </c>
      <c r="T153" s="1">
        <v>1.3049849999999998</v>
      </c>
      <c r="U153" s="1">
        <v>1.9769999999999999</v>
      </c>
      <c r="V153" s="1">
        <v>2.6135000000000002</v>
      </c>
      <c r="W153" s="1">
        <v>3.5903899999999997</v>
      </c>
      <c r="X153" s="1">
        <v>11.4114</v>
      </c>
      <c r="Y153" s="1">
        <f>AVERAGE(U153:X153)</f>
        <v>4.8980724999999996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22" t="s">
        <v>243</v>
      </c>
      <c r="B154" s="2" t="s">
        <v>40</v>
      </c>
      <c r="C154" s="21">
        <v>1.2</v>
      </c>
      <c r="D154" s="23">
        <v>1200</v>
      </c>
      <c r="E154" s="23" t="s">
        <v>41</v>
      </c>
      <c r="F154" s="23"/>
      <c r="G154" s="3" t="s">
        <v>244</v>
      </c>
      <c r="H154" s="12" t="s">
        <v>41</v>
      </c>
      <c r="I154" s="10"/>
      <c r="J154" s="4"/>
      <c r="K154" s="5"/>
      <c r="L154" s="5" t="s">
        <v>52</v>
      </c>
      <c r="M154" s="4" t="s">
        <v>84</v>
      </c>
      <c r="N154" s="4" t="s">
        <v>203</v>
      </c>
      <c r="O154" s="12" t="s">
        <v>793</v>
      </c>
      <c r="P154" s="12" t="s">
        <v>47</v>
      </c>
      <c r="Q154" s="30" t="s">
        <v>47</v>
      </c>
      <c r="R154" s="27" t="s">
        <v>47</v>
      </c>
      <c r="S154" s="10" t="s">
        <v>55</v>
      </c>
      <c r="T154" s="13">
        <v>4.1972800000000001</v>
      </c>
      <c r="U154" s="13">
        <v>4.0838399999999995</v>
      </c>
      <c r="V154" s="13">
        <v>6.9198399999999989</v>
      </c>
      <c r="W154" s="13">
        <v>3.9136799999999998</v>
      </c>
      <c r="X154" s="13">
        <v>4.4241599999999996</v>
      </c>
      <c r="Y154" s="1">
        <f>AVERAGE(U154:X154)</f>
        <v>4.8353799999999998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22" t="s">
        <v>245</v>
      </c>
      <c r="B155" s="2" t="s">
        <v>152</v>
      </c>
      <c r="C155" s="21">
        <v>2.5</v>
      </c>
      <c r="D155" s="23">
        <v>150</v>
      </c>
      <c r="E155" s="23">
        <v>260</v>
      </c>
      <c r="F155" s="23"/>
      <c r="G155" s="3" t="s">
        <v>200</v>
      </c>
      <c r="H155" s="12">
        <v>34025708</v>
      </c>
      <c r="I155" s="12"/>
      <c r="J155" s="4"/>
      <c r="K155" s="5"/>
      <c r="L155" s="5" t="s">
        <v>64</v>
      </c>
      <c r="M155" s="4" t="s">
        <v>80</v>
      </c>
      <c r="N155" s="36" t="s">
        <v>46</v>
      </c>
      <c r="O155" s="12" t="s">
        <v>793</v>
      </c>
      <c r="P155" s="12" t="s">
        <v>47</v>
      </c>
      <c r="Q155" s="30" t="s">
        <v>47</v>
      </c>
      <c r="R155" s="27" t="s">
        <v>47</v>
      </c>
      <c r="S155" s="12" t="s">
        <v>47</v>
      </c>
      <c r="T155" s="13">
        <v>3.5663519999999997</v>
      </c>
      <c r="U155" s="13">
        <v>5.835</v>
      </c>
      <c r="V155" s="13">
        <v>5.2515000000000001</v>
      </c>
      <c r="W155" s="13">
        <v>2.3340000000000001</v>
      </c>
      <c r="X155" s="13">
        <v>5.835</v>
      </c>
      <c r="Y155" s="1">
        <f>AVERAGE(U155:X155)</f>
        <v>4.8138750000000003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hidden="1" x14ac:dyDescent="0.3">
      <c r="A156" s="19" t="s">
        <v>655</v>
      </c>
      <c r="B156" s="21" t="s">
        <v>40</v>
      </c>
      <c r="C156" s="21">
        <v>0.8</v>
      </c>
      <c r="D156" s="23">
        <v>900</v>
      </c>
      <c r="E156" s="23"/>
      <c r="F156" s="23"/>
      <c r="G156" s="20" t="s">
        <v>1146</v>
      </c>
      <c r="H156" s="6"/>
      <c r="I156" s="6" t="s">
        <v>1084</v>
      </c>
      <c r="J156" s="6">
        <v>60</v>
      </c>
      <c r="K156" s="21"/>
      <c r="L156" s="21" t="s">
        <v>1073</v>
      </c>
      <c r="M156" s="6" t="s">
        <v>195</v>
      </c>
      <c r="N156" s="6" t="s">
        <v>160</v>
      </c>
      <c r="O156" s="6">
        <v>20</v>
      </c>
      <c r="P156" s="6"/>
      <c r="Q156" s="27"/>
      <c r="R156" s="28" t="s">
        <v>108</v>
      </c>
      <c r="S156" s="6"/>
      <c r="T156" s="1">
        <v>5.4568919999999999</v>
      </c>
      <c r="U156" s="1">
        <v>4.8360479999999999</v>
      </c>
      <c r="V156" s="1">
        <v>5.1301320000000006</v>
      </c>
      <c r="W156" s="1">
        <v>3.6597119999999999</v>
      </c>
      <c r="X156" s="1">
        <v>5.5222440000000006</v>
      </c>
      <c r="Y156" s="1">
        <f>AVERAGE(U156:X156)</f>
        <v>4.7870340000000002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22" t="s">
        <v>246</v>
      </c>
      <c r="B157" s="2" t="s">
        <v>68</v>
      </c>
      <c r="C157" s="21">
        <v>0.6</v>
      </c>
      <c r="D157" s="23">
        <v>1100</v>
      </c>
      <c r="E157" s="23" t="s">
        <v>41</v>
      </c>
      <c r="F157" s="23"/>
      <c r="G157" s="3" t="s">
        <v>247</v>
      </c>
      <c r="H157" s="12" t="s">
        <v>41</v>
      </c>
      <c r="I157" s="10"/>
      <c r="J157" s="4"/>
      <c r="K157" s="5"/>
      <c r="L157" s="5" t="s">
        <v>248</v>
      </c>
      <c r="M157" s="4" t="s">
        <v>164</v>
      </c>
      <c r="N157" s="4" t="s">
        <v>173</v>
      </c>
      <c r="O157" s="12" t="s">
        <v>793</v>
      </c>
      <c r="P157" s="12" t="s">
        <v>47</v>
      </c>
      <c r="Q157" s="30" t="s">
        <v>47</v>
      </c>
      <c r="R157" s="27" t="s">
        <v>47</v>
      </c>
      <c r="S157" s="10" t="s">
        <v>47</v>
      </c>
      <c r="T157" s="13">
        <v>2.63</v>
      </c>
      <c r="U157" s="13">
        <v>4.2080000000000002</v>
      </c>
      <c r="V157" s="13">
        <v>5.7859999999999996</v>
      </c>
      <c r="W157" s="13">
        <v>4.2080000000000002</v>
      </c>
      <c r="X157" s="13">
        <v>4.734</v>
      </c>
      <c r="Y157" s="1">
        <f>AVERAGE(U157:X157)</f>
        <v>4.734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hidden="1" x14ac:dyDescent="0.3">
      <c r="A158" s="22" t="s">
        <v>582</v>
      </c>
      <c r="B158" s="2" t="s">
        <v>49</v>
      </c>
      <c r="C158" s="21">
        <v>2</v>
      </c>
      <c r="D158" s="23">
        <v>1100</v>
      </c>
      <c r="E158" s="23"/>
      <c r="F158" s="28"/>
      <c r="G158" s="3" t="s">
        <v>780</v>
      </c>
      <c r="H158" s="6"/>
      <c r="I158" s="6"/>
      <c r="J158" s="6">
        <v>63</v>
      </c>
      <c r="K158" s="21"/>
      <c r="L158" s="21" t="s">
        <v>764</v>
      </c>
      <c r="M158" s="4" t="s">
        <v>704</v>
      </c>
      <c r="N158" s="6" t="s">
        <v>781</v>
      </c>
      <c r="O158" s="6" t="s">
        <v>793</v>
      </c>
      <c r="P158" s="6"/>
      <c r="Q158" s="27"/>
      <c r="R158" s="28" t="s">
        <v>692</v>
      </c>
      <c r="S158" s="6"/>
      <c r="T158" s="1">
        <v>0.69523200000000007</v>
      </c>
      <c r="U158" s="1">
        <v>3.4761600000000001</v>
      </c>
      <c r="V158" s="1">
        <v>5.8225680000000004</v>
      </c>
      <c r="W158" s="1">
        <v>4.9100760000000001</v>
      </c>
      <c r="X158" s="1">
        <v>4.5624599999999997</v>
      </c>
      <c r="Y158" s="1">
        <f>AVERAGE(U158:X158)</f>
        <v>4.6928160000000005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hidden="1" x14ac:dyDescent="0.3">
      <c r="A159" s="19" t="s">
        <v>1169</v>
      </c>
      <c r="B159" s="21" t="s">
        <v>40</v>
      </c>
      <c r="C159" s="21">
        <v>0.7</v>
      </c>
      <c r="D159" s="23">
        <v>1350</v>
      </c>
      <c r="E159" s="23"/>
      <c r="F159" s="23"/>
      <c r="G159" s="20" t="s">
        <v>1170</v>
      </c>
      <c r="H159" s="6"/>
      <c r="I159" s="6" t="s">
        <v>1078</v>
      </c>
      <c r="J159" s="6">
        <v>59</v>
      </c>
      <c r="K159" s="21">
        <v>30</v>
      </c>
      <c r="L159" s="21" t="s">
        <v>703</v>
      </c>
      <c r="M159" s="6" t="s">
        <v>164</v>
      </c>
      <c r="N159" s="6" t="s">
        <v>1129</v>
      </c>
      <c r="O159" s="6"/>
      <c r="P159" s="6"/>
      <c r="Q159" s="27"/>
      <c r="R159" s="28" t="s">
        <v>108</v>
      </c>
      <c r="S159" s="6" t="s">
        <v>71</v>
      </c>
      <c r="T159" s="1">
        <v>3.4830000000000001</v>
      </c>
      <c r="U159" s="1">
        <v>4.5279000000000007</v>
      </c>
      <c r="V159" s="1">
        <v>5.2244999999999999</v>
      </c>
      <c r="W159" s="1">
        <v>4.1796000000000006</v>
      </c>
      <c r="X159" s="1">
        <v>4.5279000000000007</v>
      </c>
      <c r="Y159" s="1">
        <f>AVERAGE(U159:X159)</f>
        <v>4.6149750000000012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22" t="s">
        <v>249</v>
      </c>
      <c r="B160" s="2" t="s">
        <v>250</v>
      </c>
      <c r="C160" s="21">
        <v>1</v>
      </c>
      <c r="D160" s="23">
        <v>1350</v>
      </c>
      <c r="E160" s="23" t="s">
        <v>41</v>
      </c>
      <c r="F160" s="23"/>
      <c r="G160" s="3" t="s">
        <v>101</v>
      </c>
      <c r="H160" s="10">
        <v>34029202</v>
      </c>
      <c r="I160" s="10"/>
      <c r="J160" s="6"/>
      <c r="K160" s="21"/>
      <c r="L160" s="21" t="s">
        <v>44</v>
      </c>
      <c r="M160" s="6" t="s">
        <v>45</v>
      </c>
      <c r="N160" s="35" t="s">
        <v>46</v>
      </c>
      <c r="O160" s="12" t="s">
        <v>793</v>
      </c>
      <c r="P160" s="10" t="s">
        <v>47</v>
      </c>
      <c r="Q160" s="29" t="s">
        <v>47</v>
      </c>
      <c r="R160" s="27" t="s">
        <v>47</v>
      </c>
      <c r="S160" s="10" t="s">
        <v>47</v>
      </c>
      <c r="T160" s="13">
        <v>4.82484</v>
      </c>
      <c r="U160" s="13">
        <v>5.3567999999999998</v>
      </c>
      <c r="V160" s="13">
        <v>5.3567999999999998</v>
      </c>
      <c r="W160" s="13">
        <v>2.976</v>
      </c>
      <c r="X160" s="13">
        <v>4.7616000000000005</v>
      </c>
      <c r="Y160" s="1">
        <f>AVERAGE(U160:X160)</f>
        <v>4.6128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22" t="s">
        <v>251</v>
      </c>
      <c r="B161" s="2" t="s">
        <v>62</v>
      </c>
      <c r="C161" s="21">
        <v>1.2</v>
      </c>
      <c r="D161" s="23">
        <v>575</v>
      </c>
      <c r="E161" s="23" t="s">
        <v>41</v>
      </c>
      <c r="F161" s="23"/>
      <c r="G161" s="3" t="s">
        <v>252</v>
      </c>
      <c r="H161" s="10">
        <v>34025389</v>
      </c>
      <c r="I161" s="10"/>
      <c r="J161" s="4"/>
      <c r="K161" s="5"/>
      <c r="L161" s="5" t="s">
        <v>64</v>
      </c>
      <c r="M161" s="1" t="s">
        <v>115</v>
      </c>
      <c r="N161" s="4" t="s">
        <v>242</v>
      </c>
      <c r="O161" s="12" t="s">
        <v>793</v>
      </c>
      <c r="P161" s="13" t="s">
        <v>47</v>
      </c>
      <c r="Q161" s="13" t="s">
        <v>47</v>
      </c>
      <c r="R161" s="27" t="s">
        <v>47</v>
      </c>
      <c r="S161" s="17" t="s">
        <v>47</v>
      </c>
      <c r="T161" s="13">
        <v>0.31372000000000005</v>
      </c>
      <c r="U161" s="13">
        <v>3.9283200000000003</v>
      </c>
      <c r="V161" s="13">
        <v>3.9283200000000003</v>
      </c>
      <c r="W161" s="13">
        <v>4.5830399999999996</v>
      </c>
      <c r="X161" s="13">
        <v>5.8924800000000008</v>
      </c>
      <c r="Y161" s="1">
        <f>AVERAGE(U161:X161)</f>
        <v>4.5830400000000004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hidden="1" x14ac:dyDescent="0.3">
      <c r="A162" s="3" t="s">
        <v>816</v>
      </c>
      <c r="B162" s="2" t="s">
        <v>49</v>
      </c>
      <c r="C162" s="21">
        <v>4</v>
      </c>
      <c r="D162" s="23">
        <v>1350</v>
      </c>
      <c r="E162" s="23"/>
      <c r="F162" s="28"/>
      <c r="G162" s="3" t="s">
        <v>804</v>
      </c>
      <c r="H162" s="4"/>
      <c r="I162" s="6" t="s">
        <v>687</v>
      </c>
      <c r="J162" s="4">
        <v>59</v>
      </c>
      <c r="K162" s="5">
        <v>26</v>
      </c>
      <c r="L162" s="5" t="s">
        <v>815</v>
      </c>
      <c r="M162" s="4" t="s">
        <v>817</v>
      </c>
      <c r="N162" s="4"/>
      <c r="O162" s="4" t="s">
        <v>793</v>
      </c>
      <c r="P162" s="4"/>
      <c r="Q162" s="24"/>
      <c r="R162" s="25" t="s">
        <v>692</v>
      </c>
      <c r="S162" s="6" t="s">
        <v>55</v>
      </c>
      <c r="T162" s="1">
        <v>2.6553249999999999</v>
      </c>
      <c r="U162" s="1">
        <v>3.2084979999999996</v>
      </c>
      <c r="V162" s="1">
        <v>5.4247099999999993</v>
      </c>
      <c r="W162" s="1">
        <v>5.3173699999999995</v>
      </c>
      <c r="X162" s="1">
        <v>3.7868939999999998</v>
      </c>
      <c r="Y162" s="1">
        <f>AVERAGE(U162:X162)</f>
        <v>4.4343680000000001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hidden="1" x14ac:dyDescent="0.3">
      <c r="A163" s="22" t="s">
        <v>1058</v>
      </c>
      <c r="B163" s="2" t="s">
        <v>49</v>
      </c>
      <c r="C163" s="21">
        <v>6.3</v>
      </c>
      <c r="D163" s="23">
        <v>1220</v>
      </c>
      <c r="E163" s="23"/>
      <c r="F163" s="28"/>
      <c r="G163" s="3" t="s">
        <v>708</v>
      </c>
      <c r="H163" s="4"/>
      <c r="I163" s="6" t="s">
        <v>702</v>
      </c>
      <c r="J163" s="4">
        <v>69</v>
      </c>
      <c r="K163" s="5">
        <v>20</v>
      </c>
      <c r="L163" s="5" t="s">
        <v>703</v>
      </c>
      <c r="M163" s="4" t="s">
        <v>297</v>
      </c>
      <c r="N163" s="4"/>
      <c r="O163" s="4"/>
      <c r="P163" s="4"/>
      <c r="Q163" s="24"/>
      <c r="R163" s="25" t="s">
        <v>692</v>
      </c>
      <c r="S163" s="6" t="s">
        <v>55</v>
      </c>
      <c r="T163" s="1">
        <v>7.5552399999999995</v>
      </c>
      <c r="U163" s="1">
        <v>5.1513</v>
      </c>
      <c r="V163" s="1">
        <v>5.1513</v>
      </c>
      <c r="W163" s="1">
        <v>3.438205</v>
      </c>
      <c r="X163" s="1">
        <v>3.7776199999999998</v>
      </c>
      <c r="Y163" s="1">
        <f>AVERAGE(U163:X163)</f>
        <v>4.3796062500000001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22" t="s">
        <v>253</v>
      </c>
      <c r="B164" s="2" t="s">
        <v>49</v>
      </c>
      <c r="C164" s="21">
        <v>4</v>
      </c>
      <c r="D164" s="23">
        <v>1100</v>
      </c>
      <c r="E164" s="23" t="s">
        <v>41</v>
      </c>
      <c r="F164" s="23"/>
      <c r="G164" s="3" t="s">
        <v>254</v>
      </c>
      <c r="H164" s="12" t="s">
        <v>41</v>
      </c>
      <c r="I164" s="12"/>
      <c r="J164" s="4"/>
      <c r="K164" s="5"/>
      <c r="L164" s="5" t="s">
        <v>52</v>
      </c>
      <c r="M164" s="4" t="s">
        <v>93</v>
      </c>
      <c r="N164" s="4" t="s">
        <v>255</v>
      </c>
      <c r="O164" s="12" t="s">
        <v>793</v>
      </c>
      <c r="P164" s="12" t="s">
        <v>108</v>
      </c>
      <c r="Q164" s="30" t="s">
        <v>47</v>
      </c>
      <c r="R164" s="27" t="s">
        <v>47</v>
      </c>
      <c r="S164" s="12" t="s">
        <v>55</v>
      </c>
      <c r="T164" s="13">
        <v>1.4885999999999999</v>
      </c>
      <c r="U164" s="13">
        <v>4.0489920000000001</v>
      </c>
      <c r="V164" s="13">
        <v>5.0612399999999997</v>
      </c>
      <c r="W164" s="13">
        <v>3.8703599999999998</v>
      </c>
      <c r="X164" s="13">
        <v>4.4657999999999989</v>
      </c>
      <c r="Y164" s="1">
        <f>AVERAGE(U164:X164)</f>
        <v>4.3615979999999999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hidden="1" x14ac:dyDescent="0.3">
      <c r="A165" s="19" t="s">
        <v>1171</v>
      </c>
      <c r="B165" s="21" t="s">
        <v>68</v>
      </c>
      <c r="C165" s="21">
        <v>1.5</v>
      </c>
      <c r="D165" s="23">
        <v>1050</v>
      </c>
      <c r="E165" s="23"/>
      <c r="F165" s="23" t="s">
        <v>1135</v>
      </c>
      <c r="G165" s="20" t="s">
        <v>1172</v>
      </c>
      <c r="H165" s="6"/>
      <c r="I165" s="6" t="s">
        <v>1084</v>
      </c>
      <c r="J165" s="6">
        <v>69</v>
      </c>
      <c r="K165" s="21">
        <v>1.1000000000000001</v>
      </c>
      <c r="L165" s="21" t="s">
        <v>1073</v>
      </c>
      <c r="M165" s="6" t="s">
        <v>195</v>
      </c>
      <c r="N165" s="6" t="s">
        <v>160</v>
      </c>
      <c r="O165" s="6">
        <v>20</v>
      </c>
      <c r="P165" s="6"/>
      <c r="Q165" s="27"/>
      <c r="R165" s="28" t="s">
        <v>108</v>
      </c>
      <c r="S165" s="6"/>
      <c r="T165" s="1">
        <v>3.8678400000000002</v>
      </c>
      <c r="U165" s="1">
        <v>4.2738000000000005</v>
      </c>
      <c r="V165" s="1">
        <v>4.5049999999999999</v>
      </c>
      <c r="W165" s="1">
        <v>3.2096000000000005</v>
      </c>
      <c r="X165" s="1">
        <v>4.8586</v>
      </c>
      <c r="Y165" s="1">
        <f>AVERAGE(U165:X165)</f>
        <v>4.2117500000000003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hidden="1" x14ac:dyDescent="0.3">
      <c r="A166" s="19" t="s">
        <v>1173</v>
      </c>
      <c r="B166" s="21" t="s">
        <v>40</v>
      </c>
      <c r="C166" s="21">
        <v>2.5</v>
      </c>
      <c r="D166" s="23">
        <v>175</v>
      </c>
      <c r="E166" s="23"/>
      <c r="F166" s="23"/>
      <c r="G166" s="20" t="s">
        <v>1162</v>
      </c>
      <c r="H166" s="6"/>
      <c r="I166" s="6" t="s">
        <v>1078</v>
      </c>
      <c r="J166" s="6">
        <v>59</v>
      </c>
      <c r="K166" s="21">
        <v>1.9</v>
      </c>
      <c r="L166" s="21" t="s">
        <v>1073</v>
      </c>
      <c r="M166" s="6" t="s">
        <v>195</v>
      </c>
      <c r="N166" s="6">
        <v>246</v>
      </c>
      <c r="O166" s="6">
        <v>20</v>
      </c>
      <c r="P166" s="6"/>
      <c r="Q166" s="27"/>
      <c r="R166" s="28" t="s">
        <v>108</v>
      </c>
      <c r="S166" s="6"/>
      <c r="T166" s="1">
        <v>5.5679999999999996</v>
      </c>
      <c r="U166" s="1">
        <v>3.7120000000000002</v>
      </c>
      <c r="V166" s="1">
        <v>5.5679999999999996</v>
      </c>
      <c r="W166" s="1">
        <v>3.7120000000000002</v>
      </c>
      <c r="X166" s="1">
        <v>3.7120000000000002</v>
      </c>
      <c r="Y166" s="1">
        <f>AVERAGE(U166:X166)</f>
        <v>4.1760000000000002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hidden="1" x14ac:dyDescent="0.3">
      <c r="A167" s="19" t="s">
        <v>1174</v>
      </c>
      <c r="B167" s="21" t="s">
        <v>40</v>
      </c>
      <c r="C167" s="21">
        <v>1.5</v>
      </c>
      <c r="D167" s="23">
        <v>1050</v>
      </c>
      <c r="E167" s="23"/>
      <c r="F167" s="23"/>
      <c r="G167" s="20" t="s">
        <v>1127</v>
      </c>
      <c r="H167" s="6"/>
      <c r="I167" s="6" t="s">
        <v>1084</v>
      </c>
      <c r="J167" s="6">
        <v>69</v>
      </c>
      <c r="K167" s="21">
        <v>24</v>
      </c>
      <c r="L167" s="21" t="s">
        <v>703</v>
      </c>
      <c r="M167" s="6" t="s">
        <v>164</v>
      </c>
      <c r="N167" s="6" t="s">
        <v>1129</v>
      </c>
      <c r="O167" s="6"/>
      <c r="P167" s="6"/>
      <c r="Q167" s="27"/>
      <c r="R167" s="28" t="s">
        <v>108</v>
      </c>
      <c r="S167" s="6" t="s">
        <v>71</v>
      </c>
      <c r="T167" s="1">
        <v>2.3759999999999999</v>
      </c>
      <c r="U167" s="1">
        <v>4.7519999999999998</v>
      </c>
      <c r="V167" s="1">
        <v>4.7519999999999998</v>
      </c>
      <c r="W167" s="1">
        <v>3.5640000000000001</v>
      </c>
      <c r="X167" s="1">
        <v>3.5640000000000001</v>
      </c>
      <c r="Y167" s="1">
        <f>AVERAGE(U167:X167)</f>
        <v>4.1579999999999995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hidden="1" x14ac:dyDescent="0.3">
      <c r="A168" s="19" t="s">
        <v>1175</v>
      </c>
      <c r="B168" s="21" t="s">
        <v>68</v>
      </c>
      <c r="C168" s="21">
        <v>1.4</v>
      </c>
      <c r="D168" s="23">
        <v>1050</v>
      </c>
      <c r="E168" s="23"/>
      <c r="F168" s="23"/>
      <c r="G168" s="20" t="s">
        <v>1152</v>
      </c>
      <c r="H168" s="6"/>
      <c r="I168" s="6" t="s">
        <v>1084</v>
      </c>
      <c r="J168" s="6">
        <v>69</v>
      </c>
      <c r="K168" s="21">
        <v>24</v>
      </c>
      <c r="L168" s="21" t="s">
        <v>703</v>
      </c>
      <c r="M168" s="6" t="s">
        <v>164</v>
      </c>
      <c r="N168" s="6" t="s">
        <v>1129</v>
      </c>
      <c r="O168" s="6"/>
      <c r="P168" s="6"/>
      <c r="Q168" s="27"/>
      <c r="R168" s="28" t="s">
        <v>108</v>
      </c>
      <c r="S168" s="6" t="s">
        <v>71</v>
      </c>
      <c r="T168" s="1">
        <v>2.7763840000000002</v>
      </c>
      <c r="U168" s="1">
        <v>3.8319840000000003</v>
      </c>
      <c r="V168" s="1">
        <v>4.7958559999999997</v>
      </c>
      <c r="W168" s="1">
        <v>3.7036480000000003</v>
      </c>
      <c r="X168" s="1">
        <v>4.2431999999999999</v>
      </c>
      <c r="Y168" s="1">
        <f>AVERAGE(U168:X168)</f>
        <v>4.1436720000000005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hidden="1" x14ac:dyDescent="0.3">
      <c r="A169" s="3" t="s">
        <v>818</v>
      </c>
      <c r="B169" s="2" t="s">
        <v>49</v>
      </c>
      <c r="C169" s="21">
        <v>8</v>
      </c>
      <c r="D169" s="23">
        <v>1200</v>
      </c>
      <c r="E169" s="23"/>
      <c r="F169" s="28"/>
      <c r="G169" s="3" t="s">
        <v>748</v>
      </c>
      <c r="H169" s="4"/>
      <c r="I169" s="4" t="s">
        <v>687</v>
      </c>
      <c r="J169" s="4">
        <v>59</v>
      </c>
      <c r="K169" s="5"/>
      <c r="L169" s="5" t="s">
        <v>194</v>
      </c>
      <c r="M169" s="4" t="s">
        <v>94</v>
      </c>
      <c r="N169" s="4"/>
      <c r="O169" s="4" t="s">
        <v>793</v>
      </c>
      <c r="P169" s="4"/>
      <c r="Q169" s="24"/>
      <c r="R169" s="25" t="s">
        <v>692</v>
      </c>
      <c r="S169" s="4" t="s">
        <v>55</v>
      </c>
      <c r="T169" s="1">
        <v>2.07612</v>
      </c>
      <c r="U169" s="1">
        <v>3.9792299999999994</v>
      </c>
      <c r="V169" s="1">
        <v>4.7750759999999994</v>
      </c>
      <c r="W169" s="1">
        <v>4.1522399999999999</v>
      </c>
      <c r="X169" s="1">
        <v>3.5294039999999995</v>
      </c>
      <c r="Y169" s="1">
        <f>AVERAGE(U169:X169)</f>
        <v>4.1089874999999996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hidden="1" x14ac:dyDescent="0.3">
      <c r="A170" s="19" t="s">
        <v>1176</v>
      </c>
      <c r="B170" s="21" t="s">
        <v>40</v>
      </c>
      <c r="C170" s="21">
        <v>1.2</v>
      </c>
      <c r="D170" s="23">
        <v>1000</v>
      </c>
      <c r="E170" s="23"/>
      <c r="F170" s="23"/>
      <c r="G170" s="20" t="s">
        <v>391</v>
      </c>
      <c r="H170" s="6"/>
      <c r="I170" s="6" t="s">
        <v>1084</v>
      </c>
      <c r="J170" s="6">
        <v>69</v>
      </c>
      <c r="K170" s="21">
        <v>22</v>
      </c>
      <c r="L170" s="21" t="s">
        <v>703</v>
      </c>
      <c r="M170" s="6" t="s">
        <v>164</v>
      </c>
      <c r="N170" s="6" t="s">
        <v>1129</v>
      </c>
      <c r="O170" s="6"/>
      <c r="P170" s="6"/>
      <c r="Q170" s="27"/>
      <c r="R170" s="28" t="s">
        <v>108</v>
      </c>
      <c r="S170" s="6" t="s">
        <v>71</v>
      </c>
      <c r="T170" s="1">
        <v>2.5851600000000001</v>
      </c>
      <c r="U170" s="1">
        <v>3.8777400000000002</v>
      </c>
      <c r="V170" s="1">
        <v>4.7394600000000002</v>
      </c>
      <c r="W170" s="1">
        <v>3.8777400000000002</v>
      </c>
      <c r="X170" s="1">
        <v>3.8777400000000002</v>
      </c>
      <c r="Y170" s="1">
        <f>AVERAGE(U170:X170)</f>
        <v>4.0931699999999998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hidden="1" x14ac:dyDescent="0.3">
      <c r="A171" s="19" t="s">
        <v>1177</v>
      </c>
      <c r="B171" s="21" t="s">
        <v>68</v>
      </c>
      <c r="C171" s="21">
        <v>1</v>
      </c>
      <c r="D171" s="23" t="s">
        <v>893</v>
      </c>
      <c r="E171" s="23"/>
      <c r="F171" s="23"/>
      <c r="G171" s="20" t="s">
        <v>1178</v>
      </c>
      <c r="H171" s="6"/>
      <c r="I171" s="6" t="s">
        <v>1084</v>
      </c>
      <c r="J171" s="6">
        <v>69</v>
      </c>
      <c r="K171" s="21">
        <v>18</v>
      </c>
      <c r="L171" s="21" t="s">
        <v>703</v>
      </c>
      <c r="M171" s="6" t="s">
        <v>164</v>
      </c>
      <c r="N171" s="6" t="s">
        <v>1129</v>
      </c>
      <c r="O171" s="6"/>
      <c r="P171" s="6"/>
      <c r="Q171" s="27"/>
      <c r="R171" s="28" t="s">
        <v>108</v>
      </c>
      <c r="S171" s="6" t="s">
        <v>71</v>
      </c>
      <c r="T171" s="1">
        <v>2.8512000000000004</v>
      </c>
      <c r="U171" s="1">
        <v>3.7223999999999999</v>
      </c>
      <c r="V171" s="1">
        <v>4.6464000000000008</v>
      </c>
      <c r="W171" s="1">
        <v>3.6168</v>
      </c>
      <c r="X171" s="1">
        <v>4.1448</v>
      </c>
      <c r="Y171" s="1">
        <f>AVERAGE(U171:X171)</f>
        <v>4.0326000000000004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22" t="s">
        <v>256</v>
      </c>
      <c r="B172" s="2" t="s">
        <v>62</v>
      </c>
      <c r="C172" s="21">
        <v>1.2</v>
      </c>
      <c r="D172" s="23">
        <v>450</v>
      </c>
      <c r="E172" s="23" t="s">
        <v>41</v>
      </c>
      <c r="F172" s="23"/>
      <c r="G172" s="3" t="s">
        <v>257</v>
      </c>
      <c r="H172" s="10">
        <v>34025385</v>
      </c>
      <c r="I172" s="10"/>
      <c r="J172" s="6"/>
      <c r="K172" s="21"/>
      <c r="L172" s="21" t="s">
        <v>64</v>
      </c>
      <c r="M172" s="6" t="s">
        <v>115</v>
      </c>
      <c r="N172" s="6" t="s">
        <v>160</v>
      </c>
      <c r="O172" s="12" t="s">
        <v>793</v>
      </c>
      <c r="P172" s="10" t="s">
        <v>47</v>
      </c>
      <c r="Q172" s="29" t="s">
        <v>47</v>
      </c>
      <c r="R172" s="27" t="s">
        <v>47</v>
      </c>
      <c r="S172" s="10" t="s">
        <v>47</v>
      </c>
      <c r="T172" s="13">
        <v>4.1118000000000006</v>
      </c>
      <c r="U172" s="13">
        <v>4.1580000000000004</v>
      </c>
      <c r="V172" s="13">
        <v>4.1580000000000004</v>
      </c>
      <c r="W172" s="13">
        <v>3.5640000000000001</v>
      </c>
      <c r="X172" s="13">
        <v>4.1580000000000004</v>
      </c>
      <c r="Y172" s="1">
        <f>AVERAGE(U172:X172)</f>
        <v>4.0095000000000001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hidden="1" x14ac:dyDescent="0.3">
      <c r="A173" s="19" t="s">
        <v>1179</v>
      </c>
      <c r="B173" s="21" t="s">
        <v>68</v>
      </c>
      <c r="C173" s="21">
        <v>1.5</v>
      </c>
      <c r="D173" s="23">
        <v>1100</v>
      </c>
      <c r="E173" s="23"/>
      <c r="F173" s="23" t="s">
        <v>1135</v>
      </c>
      <c r="G173" s="20" t="s">
        <v>1172</v>
      </c>
      <c r="H173" s="6"/>
      <c r="I173" s="6" t="s">
        <v>1084</v>
      </c>
      <c r="J173" s="6">
        <v>69</v>
      </c>
      <c r="K173" s="21">
        <v>1.1000000000000001</v>
      </c>
      <c r="L173" s="21" t="s">
        <v>1073</v>
      </c>
      <c r="M173" s="6" t="s">
        <v>195</v>
      </c>
      <c r="N173" s="6" t="s">
        <v>160</v>
      </c>
      <c r="O173" s="6">
        <v>20</v>
      </c>
      <c r="P173" s="6"/>
      <c r="Q173" s="27"/>
      <c r="R173" s="28" t="s">
        <v>108</v>
      </c>
      <c r="S173" s="6"/>
      <c r="T173" s="1">
        <v>3.6516959999999998</v>
      </c>
      <c r="U173" s="1">
        <v>4.0349700000000004</v>
      </c>
      <c r="V173" s="1">
        <v>4.2532500000000004</v>
      </c>
      <c r="W173" s="1">
        <v>3.03024</v>
      </c>
      <c r="X173" s="1">
        <v>4.5870899999999999</v>
      </c>
      <c r="Y173" s="1">
        <f>AVERAGE(U173:X173)</f>
        <v>3.9763875000000004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hidden="1" x14ac:dyDescent="0.3">
      <c r="A174" s="19" t="s">
        <v>1180</v>
      </c>
      <c r="B174" s="21" t="s">
        <v>68</v>
      </c>
      <c r="C174" s="21">
        <v>1.6</v>
      </c>
      <c r="D174" s="23">
        <v>1250</v>
      </c>
      <c r="E174" s="23"/>
      <c r="F174" s="23" t="s">
        <v>1135</v>
      </c>
      <c r="G174" s="20" t="s">
        <v>1181</v>
      </c>
      <c r="H174" s="6"/>
      <c r="I174" s="6" t="s">
        <v>1084</v>
      </c>
      <c r="J174" s="6">
        <v>69</v>
      </c>
      <c r="K174" s="21">
        <v>1.5</v>
      </c>
      <c r="L174" s="21" t="s">
        <v>1073</v>
      </c>
      <c r="M174" s="6" t="s">
        <v>195</v>
      </c>
      <c r="N174" s="6" t="s">
        <v>160</v>
      </c>
      <c r="O174" s="6">
        <v>20</v>
      </c>
      <c r="P174" s="6"/>
      <c r="Q174" s="27"/>
      <c r="R174" s="28" t="s">
        <v>108</v>
      </c>
      <c r="S174" s="6"/>
      <c r="T174" s="1">
        <v>3.62304</v>
      </c>
      <c r="U174" s="1">
        <v>3.92496</v>
      </c>
      <c r="V174" s="1">
        <v>4.07592</v>
      </c>
      <c r="W174" s="1">
        <v>3.0191999999999997</v>
      </c>
      <c r="X174" s="1">
        <v>4.5288000000000004</v>
      </c>
      <c r="Y174" s="1">
        <f>AVERAGE(U174:X174)</f>
        <v>3.8872200000000001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22" t="s">
        <v>258</v>
      </c>
      <c r="B175" s="2" t="s">
        <v>229</v>
      </c>
      <c r="C175" s="21">
        <v>2.65</v>
      </c>
      <c r="D175" s="23">
        <v>1200</v>
      </c>
      <c r="E175" s="23">
        <v>2000</v>
      </c>
      <c r="F175" s="23"/>
      <c r="G175" s="3" t="s">
        <v>259</v>
      </c>
      <c r="H175" s="12" t="s">
        <v>41</v>
      </c>
      <c r="I175" s="12"/>
      <c r="J175" s="4"/>
      <c r="K175" s="5"/>
      <c r="L175" s="5" t="s">
        <v>260</v>
      </c>
      <c r="M175" s="4" t="s">
        <v>93</v>
      </c>
      <c r="N175" s="4"/>
      <c r="O175" s="12" t="s">
        <v>793</v>
      </c>
      <c r="P175" s="12" t="s">
        <v>47</v>
      </c>
      <c r="Q175" s="30" t="s">
        <v>47</v>
      </c>
      <c r="R175" s="27" t="s">
        <v>47</v>
      </c>
      <c r="S175" s="12" t="s">
        <v>47</v>
      </c>
      <c r="T175" s="13">
        <v>2.483892</v>
      </c>
      <c r="U175" s="13">
        <v>3.2915999999999999</v>
      </c>
      <c r="V175" s="13">
        <v>4.9373999999999993</v>
      </c>
      <c r="W175" s="13">
        <v>3.7220399999999998</v>
      </c>
      <c r="X175" s="13">
        <v>3.3802200000000004</v>
      </c>
      <c r="Y175" s="1">
        <f>AVERAGE(U175:X175)</f>
        <v>3.8328150000000001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22" t="s">
        <v>261</v>
      </c>
      <c r="B176" s="2" t="s">
        <v>250</v>
      </c>
      <c r="C176" s="21">
        <v>1</v>
      </c>
      <c r="D176" s="23">
        <v>1300</v>
      </c>
      <c r="E176" s="23" t="s">
        <v>41</v>
      </c>
      <c r="F176" s="23"/>
      <c r="G176" s="3" t="s">
        <v>262</v>
      </c>
      <c r="H176" s="10" t="s">
        <v>41</v>
      </c>
      <c r="I176" s="10"/>
      <c r="J176" s="6"/>
      <c r="K176" s="21"/>
      <c r="L176" s="21" t="s">
        <v>52</v>
      </c>
      <c r="M176" s="6" t="s">
        <v>263</v>
      </c>
      <c r="N176" s="6" t="s">
        <v>264</v>
      </c>
      <c r="O176" s="12" t="s">
        <v>793</v>
      </c>
      <c r="P176" s="10" t="s">
        <v>47</v>
      </c>
      <c r="Q176" s="29" t="s">
        <v>47</v>
      </c>
      <c r="R176" s="27" t="s">
        <v>47</v>
      </c>
      <c r="S176" s="10" t="s">
        <v>47</v>
      </c>
      <c r="T176" s="13">
        <v>2.5577999999999999</v>
      </c>
      <c r="U176" s="13">
        <v>2.1923999999999997</v>
      </c>
      <c r="V176" s="13">
        <v>4.5674999999999999</v>
      </c>
      <c r="W176" s="13">
        <v>4.2020999999999997</v>
      </c>
      <c r="X176" s="13">
        <v>4.2020999999999997</v>
      </c>
      <c r="Y176" s="1">
        <f>AVERAGE(U176:X176)</f>
        <v>3.7910249999999999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22" t="s">
        <v>265</v>
      </c>
      <c r="B177" s="2" t="s">
        <v>229</v>
      </c>
      <c r="C177" s="21">
        <v>2</v>
      </c>
      <c r="D177" s="23">
        <v>1000</v>
      </c>
      <c r="E177" s="23">
        <v>190</v>
      </c>
      <c r="F177" s="23"/>
      <c r="G177" s="3" t="s">
        <v>266</v>
      </c>
      <c r="H177" s="10">
        <v>34025695</v>
      </c>
      <c r="I177" s="10"/>
      <c r="J177" s="6"/>
      <c r="K177" s="21"/>
      <c r="L177" s="21" t="s">
        <v>64</v>
      </c>
      <c r="M177" s="6" t="s">
        <v>45</v>
      </c>
      <c r="N177" s="35" t="s">
        <v>267</v>
      </c>
      <c r="O177" s="12" t="s">
        <v>793</v>
      </c>
      <c r="P177" s="10" t="s">
        <v>47</v>
      </c>
      <c r="Q177" s="29" t="s">
        <v>47</v>
      </c>
      <c r="R177" s="27" t="s">
        <v>47</v>
      </c>
      <c r="S177" s="10" t="s">
        <v>47</v>
      </c>
      <c r="T177" s="13">
        <v>3.8655999999999997</v>
      </c>
      <c r="U177" s="13">
        <v>4.1071999999999997</v>
      </c>
      <c r="V177" s="13">
        <v>4.5903999999999998</v>
      </c>
      <c r="W177" s="13">
        <v>1.5703999999999998</v>
      </c>
      <c r="X177" s="13">
        <v>4.7111999999999998</v>
      </c>
      <c r="Y177" s="1">
        <f>AVERAGE(U177:X177)</f>
        <v>3.7447999999999997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hidden="1" x14ac:dyDescent="0.3">
      <c r="A178" s="3" t="s">
        <v>819</v>
      </c>
      <c r="B178" s="2" t="s">
        <v>49</v>
      </c>
      <c r="C178" s="21">
        <v>8</v>
      </c>
      <c r="D178" s="23">
        <v>1200</v>
      </c>
      <c r="E178" s="23"/>
      <c r="F178" s="28"/>
      <c r="G178" s="3" t="s">
        <v>748</v>
      </c>
      <c r="H178" s="4"/>
      <c r="I178" s="4" t="s">
        <v>687</v>
      </c>
      <c r="J178" s="4">
        <v>59</v>
      </c>
      <c r="K178" s="5"/>
      <c r="L178" s="5" t="s">
        <v>194</v>
      </c>
      <c r="M178" s="4" t="s">
        <v>94</v>
      </c>
      <c r="N178" s="4"/>
      <c r="O178" s="4" t="s">
        <v>793</v>
      </c>
      <c r="P178" s="4"/>
      <c r="Q178" s="24"/>
      <c r="R178" s="25" t="s">
        <v>692</v>
      </c>
      <c r="S178" s="4" t="s">
        <v>55</v>
      </c>
      <c r="T178" s="1">
        <v>1.3953960000000001</v>
      </c>
      <c r="U178" s="1">
        <v>4.2637099999999997</v>
      </c>
      <c r="V178" s="1">
        <v>4.7094615000000006</v>
      </c>
      <c r="W178" s="1">
        <v>3.4884900000000001</v>
      </c>
      <c r="X178" s="1">
        <v>2.4419430000000002</v>
      </c>
      <c r="Y178" s="1">
        <f>AVERAGE(U178:X178)</f>
        <v>3.725901125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22" t="s">
        <v>268</v>
      </c>
      <c r="B179" s="2" t="s">
        <v>229</v>
      </c>
      <c r="C179" s="21">
        <v>2.65</v>
      </c>
      <c r="D179" s="23">
        <v>1200</v>
      </c>
      <c r="E179" s="23">
        <v>2000</v>
      </c>
      <c r="F179" s="23"/>
      <c r="G179" s="3" t="s">
        <v>269</v>
      </c>
      <c r="H179" s="12" t="s">
        <v>41</v>
      </c>
      <c r="I179" s="12"/>
      <c r="J179" s="4"/>
      <c r="K179" s="5"/>
      <c r="L179" s="5" t="s">
        <v>260</v>
      </c>
      <c r="M179" s="4" t="s">
        <v>93</v>
      </c>
      <c r="N179" s="4"/>
      <c r="O179" s="12" t="s">
        <v>793</v>
      </c>
      <c r="P179" s="12" t="s">
        <v>47</v>
      </c>
      <c r="Q179" s="30" t="s">
        <v>47</v>
      </c>
      <c r="R179" s="27" t="s">
        <v>47</v>
      </c>
      <c r="S179" s="12" t="s">
        <v>47</v>
      </c>
      <c r="T179" s="13">
        <v>2.4385320000000004</v>
      </c>
      <c r="U179" s="13">
        <v>3.1717799999999996</v>
      </c>
      <c r="V179" s="13">
        <v>4.7757599999999991</v>
      </c>
      <c r="W179" s="13">
        <v>3.6179999999999999</v>
      </c>
      <c r="X179" s="13">
        <v>3.2742900000000001</v>
      </c>
      <c r="Y179" s="1">
        <f>AVERAGE(U179:X179)</f>
        <v>3.7099574999999998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22" t="s">
        <v>270</v>
      </c>
      <c r="B180" s="2" t="s">
        <v>78</v>
      </c>
      <c r="C180" s="21">
        <v>1.5</v>
      </c>
      <c r="D180" s="23">
        <v>220</v>
      </c>
      <c r="E180" s="23">
        <v>230</v>
      </c>
      <c r="F180" s="23"/>
      <c r="G180" s="3" t="s">
        <v>271</v>
      </c>
      <c r="H180" s="10">
        <v>34028132</v>
      </c>
      <c r="I180" s="10"/>
      <c r="J180" s="6"/>
      <c r="K180" s="21"/>
      <c r="L180" s="21" t="s">
        <v>64</v>
      </c>
      <c r="M180" s="6" t="s">
        <v>45</v>
      </c>
      <c r="N180" s="35" t="s">
        <v>46</v>
      </c>
      <c r="O180" s="12" t="s">
        <v>793</v>
      </c>
      <c r="P180" s="10" t="s">
        <v>47</v>
      </c>
      <c r="Q180" s="29" t="s">
        <v>47</v>
      </c>
      <c r="R180" s="27" t="s">
        <v>47</v>
      </c>
      <c r="S180" s="10" t="s">
        <v>47</v>
      </c>
      <c r="T180" s="13">
        <v>3.7339279999999997</v>
      </c>
      <c r="U180" s="13">
        <v>4.2255839999999996</v>
      </c>
      <c r="V180" s="13">
        <v>4.2521599999999999</v>
      </c>
      <c r="W180" s="13">
        <v>2.5380079999999996</v>
      </c>
      <c r="X180" s="13">
        <v>3.7804359999999999</v>
      </c>
      <c r="Y180" s="1">
        <f>AVERAGE(U180:X180)</f>
        <v>3.6990469999999998</v>
      </c>
      <c r="Z180" s="10"/>
      <c r="AA180" s="10"/>
      <c r="AB180" s="10"/>
      <c r="AC180" s="10"/>
      <c r="AD180" s="10"/>
      <c r="AE180" s="10"/>
      <c r="AF180" s="10"/>
      <c r="AG180" s="38">
        <f>COUNTIF(Z180:AF180,"X")/7</f>
        <v>0</v>
      </c>
      <c r="AH180" s="51" t="str">
        <f>IF(AG180=100%,Y180," ")</f>
        <v xml:space="preserve"> </v>
      </c>
      <c r="AI180" s="64"/>
      <c r="AJ180" s="1"/>
      <c r="AK180" s="65">
        <v>0</v>
      </c>
      <c r="AL180" s="1"/>
      <c r="AM180" s="1"/>
    </row>
    <row r="181" spans="1:39" s="26" customFormat="1" hidden="1" x14ac:dyDescent="0.3">
      <c r="A181" s="19" t="s">
        <v>1182</v>
      </c>
      <c r="B181" s="21" t="s">
        <v>40</v>
      </c>
      <c r="C181" s="21">
        <v>0.8</v>
      </c>
      <c r="D181" s="23">
        <v>1050</v>
      </c>
      <c r="E181" s="23"/>
      <c r="F181" s="23" t="s">
        <v>82</v>
      </c>
      <c r="G181" s="20" t="s">
        <v>1118</v>
      </c>
      <c r="H181" s="6"/>
      <c r="I181" s="6" t="s">
        <v>1084</v>
      </c>
      <c r="J181" s="6">
        <v>69</v>
      </c>
      <c r="K181" s="21">
        <v>1.3</v>
      </c>
      <c r="L181" s="21" t="s">
        <v>1073</v>
      </c>
      <c r="M181" s="6" t="s">
        <v>195</v>
      </c>
      <c r="N181" s="6" t="s">
        <v>1088</v>
      </c>
      <c r="O181" s="6">
        <v>10</v>
      </c>
      <c r="P181" s="6"/>
      <c r="Q181" s="27"/>
      <c r="R181" s="28" t="s">
        <v>108</v>
      </c>
      <c r="S181" s="6"/>
      <c r="T181" s="1">
        <v>4.9296000000000006</v>
      </c>
      <c r="U181" s="1">
        <v>3.4128000000000003</v>
      </c>
      <c r="V181" s="1">
        <v>4.1711999999999998</v>
      </c>
      <c r="W181" s="1">
        <v>3.0335999999999999</v>
      </c>
      <c r="X181" s="1">
        <v>4.1711999999999998</v>
      </c>
      <c r="Y181" s="1">
        <f>AVERAGE(U181:X181)</f>
        <v>3.6971999999999996</v>
      </c>
      <c r="Z181" s="10"/>
      <c r="AA181" s="10"/>
      <c r="AB181" s="10"/>
      <c r="AC181" s="10"/>
      <c r="AD181" s="10"/>
      <c r="AE181" s="10"/>
      <c r="AF181" s="10"/>
      <c r="AG181" s="38">
        <f>COUNTIF(Z181:AF181,"X")/7</f>
        <v>0</v>
      </c>
      <c r="AH181" s="51" t="str">
        <f>IF(AG181=100%,Y181," ")</f>
        <v xml:space="preserve"> </v>
      </c>
      <c r="AI181" s="64"/>
      <c r="AJ181" s="1"/>
      <c r="AK181" s="65">
        <v>0</v>
      </c>
      <c r="AL181" s="1"/>
      <c r="AM181" s="1"/>
    </row>
    <row r="182" spans="1:39" s="26" customFormat="1" x14ac:dyDescent="0.3">
      <c r="A182" s="22" t="s">
        <v>272</v>
      </c>
      <c r="B182" s="2" t="s">
        <v>229</v>
      </c>
      <c r="C182" s="21">
        <v>3</v>
      </c>
      <c r="D182" s="23">
        <v>1220</v>
      </c>
      <c r="E182" s="23">
        <v>1750</v>
      </c>
      <c r="F182" s="23"/>
      <c r="G182" s="3" t="s">
        <v>273</v>
      </c>
      <c r="H182" s="12" t="s">
        <v>41</v>
      </c>
      <c r="I182" s="12"/>
      <c r="J182" s="4"/>
      <c r="K182" s="5"/>
      <c r="L182" s="21" t="s">
        <v>52</v>
      </c>
      <c r="M182" s="4" t="s">
        <v>274</v>
      </c>
      <c r="N182" s="6" t="s">
        <v>239</v>
      </c>
      <c r="O182" s="12" t="s">
        <v>793</v>
      </c>
      <c r="P182" s="12" t="s">
        <v>47</v>
      </c>
      <c r="Q182" s="30" t="s">
        <v>47</v>
      </c>
      <c r="R182" s="27" t="s">
        <v>47</v>
      </c>
      <c r="S182" s="12" t="s">
        <v>55</v>
      </c>
      <c r="T182" s="13">
        <v>2.9018120000000005</v>
      </c>
      <c r="U182" s="13">
        <v>2.8667900000000004</v>
      </c>
      <c r="V182" s="13">
        <v>3.72512</v>
      </c>
      <c r="W182" s="13">
        <v>3.4172899999999999</v>
      </c>
      <c r="X182" s="13">
        <v>3.3347900000000004</v>
      </c>
      <c r="Y182" s="1">
        <f>AVERAGE(U182:X182)</f>
        <v>3.3359974999999999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hidden="1" x14ac:dyDescent="0.3">
      <c r="A183" s="19" t="s">
        <v>1183</v>
      </c>
      <c r="B183" s="21" t="s">
        <v>68</v>
      </c>
      <c r="C183" s="21">
        <v>1.8</v>
      </c>
      <c r="D183" s="23">
        <v>1000</v>
      </c>
      <c r="E183" s="23"/>
      <c r="F183" s="23" t="s">
        <v>1184</v>
      </c>
      <c r="G183" s="20" t="s">
        <v>1185</v>
      </c>
      <c r="H183" s="6"/>
      <c r="I183" s="6" t="s">
        <v>1084</v>
      </c>
      <c r="J183" s="6">
        <v>69</v>
      </c>
      <c r="K183" s="21">
        <v>1.6</v>
      </c>
      <c r="L183" s="21" t="s">
        <v>1073</v>
      </c>
      <c r="M183" s="6" t="s">
        <v>195</v>
      </c>
      <c r="N183" s="6" t="s">
        <v>1088</v>
      </c>
      <c r="O183" s="6">
        <v>20</v>
      </c>
      <c r="P183" s="6"/>
      <c r="Q183" s="27"/>
      <c r="R183" s="28" t="s">
        <v>108</v>
      </c>
      <c r="S183" s="6"/>
      <c r="T183" s="1">
        <v>3.2373263999999997</v>
      </c>
      <c r="U183" s="1">
        <v>2.8875000000000002</v>
      </c>
      <c r="V183" s="1">
        <v>3.3494999999999999</v>
      </c>
      <c r="W183" s="1">
        <v>2.9260000000000002</v>
      </c>
      <c r="X183" s="1">
        <v>4.0039999999999996</v>
      </c>
      <c r="Y183" s="1">
        <f>AVERAGE(U183:X183)</f>
        <v>3.29175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hidden="1" x14ac:dyDescent="0.3">
      <c r="A184" s="19" t="s">
        <v>674</v>
      </c>
      <c r="B184" s="21" t="s">
        <v>40</v>
      </c>
      <c r="C184" s="21">
        <v>1.2</v>
      </c>
      <c r="D184" s="23">
        <v>316</v>
      </c>
      <c r="E184" s="23"/>
      <c r="F184" s="23"/>
      <c r="G184" s="20" t="s">
        <v>1114</v>
      </c>
      <c r="H184" s="6"/>
      <c r="I184" s="6" t="s">
        <v>1084</v>
      </c>
      <c r="J184" s="6">
        <v>69</v>
      </c>
      <c r="K184" s="21">
        <v>1</v>
      </c>
      <c r="L184" s="21" t="s">
        <v>1073</v>
      </c>
      <c r="M184" s="6" t="s">
        <v>195</v>
      </c>
      <c r="N184" s="6" t="s">
        <v>160</v>
      </c>
      <c r="O184" s="6">
        <v>20</v>
      </c>
      <c r="P184" s="6"/>
      <c r="Q184" s="27"/>
      <c r="R184" s="28" t="s">
        <v>108</v>
      </c>
      <c r="S184" s="6"/>
      <c r="T184" s="1">
        <v>4.62</v>
      </c>
      <c r="U184" s="1">
        <v>2.97</v>
      </c>
      <c r="V184" s="1">
        <v>3.3</v>
      </c>
      <c r="W184" s="1">
        <v>3.3</v>
      </c>
      <c r="X184" s="1">
        <v>3.3</v>
      </c>
      <c r="Y184" s="1">
        <f>AVERAGE(U184:X184)</f>
        <v>3.2175000000000002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22" t="s">
        <v>275</v>
      </c>
      <c r="B185" s="2" t="s">
        <v>229</v>
      </c>
      <c r="C185" s="21">
        <v>4</v>
      </c>
      <c r="D185" s="23">
        <v>1350</v>
      </c>
      <c r="E185" s="23">
        <v>1850</v>
      </c>
      <c r="F185" s="23"/>
      <c r="G185" s="3" t="s">
        <v>276</v>
      </c>
      <c r="H185" s="10" t="s">
        <v>41</v>
      </c>
      <c r="I185" s="10"/>
      <c r="J185" s="6"/>
      <c r="K185" s="21"/>
      <c r="L185" s="21" t="s">
        <v>52</v>
      </c>
      <c r="M185" s="6" t="s">
        <v>277</v>
      </c>
      <c r="N185" s="6" t="s">
        <v>239</v>
      </c>
      <c r="O185" s="12" t="s">
        <v>793</v>
      </c>
      <c r="P185" s="12" t="s">
        <v>47</v>
      </c>
      <c r="Q185" s="12" t="s">
        <v>47</v>
      </c>
      <c r="R185" s="27" t="s">
        <v>47</v>
      </c>
      <c r="S185" s="10" t="s">
        <v>55</v>
      </c>
      <c r="T185" s="13">
        <v>1.9592639999999999</v>
      </c>
      <c r="U185" s="13">
        <v>2.6234999999999995</v>
      </c>
      <c r="V185" s="13">
        <v>3.1852900000000006</v>
      </c>
      <c r="W185" s="13">
        <v>2.9009399999999994</v>
      </c>
      <c r="X185" s="13">
        <v>3.6629499999999999</v>
      </c>
      <c r="Y185" s="1">
        <f>AVERAGE(U185:X185)</f>
        <v>3.0931700000000002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22" t="s">
        <v>278</v>
      </c>
      <c r="B186" s="2" t="s">
        <v>49</v>
      </c>
      <c r="C186" s="21">
        <v>1.9</v>
      </c>
      <c r="D186" s="23">
        <v>1000</v>
      </c>
      <c r="E186" s="23" t="s">
        <v>41</v>
      </c>
      <c r="F186" s="23"/>
      <c r="G186" s="3" t="s">
        <v>279</v>
      </c>
      <c r="H186" s="12" t="s">
        <v>41</v>
      </c>
      <c r="I186" s="12"/>
      <c r="J186" s="4"/>
      <c r="K186" s="5"/>
      <c r="L186" s="5" t="s">
        <v>248</v>
      </c>
      <c r="M186" s="4" t="s">
        <v>93</v>
      </c>
      <c r="N186" s="4" t="s">
        <v>280</v>
      </c>
      <c r="O186" s="12" t="s">
        <v>793</v>
      </c>
      <c r="P186" s="12" t="s">
        <v>47</v>
      </c>
      <c r="Q186" s="30" t="s">
        <v>47</v>
      </c>
      <c r="R186" s="27" t="s">
        <v>47</v>
      </c>
      <c r="S186" s="12" t="s">
        <v>47</v>
      </c>
      <c r="T186" s="13">
        <v>3.5920000000000001</v>
      </c>
      <c r="U186" s="13">
        <v>2.1552000000000002</v>
      </c>
      <c r="V186" s="13">
        <v>3.2328000000000001</v>
      </c>
      <c r="W186" s="13">
        <v>3.2328000000000001</v>
      </c>
      <c r="X186" s="13">
        <v>3.2328000000000001</v>
      </c>
      <c r="Y186" s="1">
        <f>AVERAGE(U186:X186)</f>
        <v>2.9634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hidden="1" x14ac:dyDescent="0.3">
      <c r="A187" s="3" t="s">
        <v>820</v>
      </c>
      <c r="B187" s="2" t="s">
        <v>68</v>
      </c>
      <c r="C187" s="21">
        <v>3</v>
      </c>
      <c r="D187" s="23">
        <v>1200</v>
      </c>
      <c r="E187" s="23"/>
      <c r="F187" s="28"/>
      <c r="G187" s="3" t="s">
        <v>821</v>
      </c>
      <c r="H187" s="6"/>
      <c r="I187" s="6"/>
      <c r="J187" s="6">
        <v>30</v>
      </c>
      <c r="K187" s="21"/>
      <c r="L187" s="21" t="s">
        <v>815</v>
      </c>
      <c r="M187" s="6" t="s">
        <v>822</v>
      </c>
      <c r="N187" s="6"/>
      <c r="O187" s="6" t="s">
        <v>793</v>
      </c>
      <c r="P187" s="6"/>
      <c r="Q187" s="27"/>
      <c r="R187" s="28" t="s">
        <v>692</v>
      </c>
      <c r="S187" s="6"/>
      <c r="T187" s="1">
        <v>1.5802130000000001</v>
      </c>
      <c r="U187" s="1">
        <v>2.5903640000000006</v>
      </c>
      <c r="V187" s="1">
        <v>3.1031240000000002</v>
      </c>
      <c r="W187" s="1">
        <v>3.0013880000000004</v>
      </c>
      <c r="X187" s="1">
        <v>3.0764360000000006</v>
      </c>
      <c r="Y187" s="1">
        <f>AVERAGE(U187:X187)</f>
        <v>2.9428280000000004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hidden="1" x14ac:dyDescent="0.3">
      <c r="A188" s="22" t="s">
        <v>1253</v>
      </c>
      <c r="B188" s="2"/>
      <c r="C188" s="21">
        <v>4</v>
      </c>
      <c r="D188" s="23"/>
      <c r="E188" s="23"/>
      <c r="F188" s="23"/>
      <c r="G188" s="3" t="s">
        <v>1254</v>
      </c>
      <c r="H188" s="6"/>
      <c r="I188" s="6"/>
      <c r="J188" s="6"/>
      <c r="K188" s="21"/>
      <c r="L188" s="21" t="s">
        <v>1255</v>
      </c>
      <c r="M188" s="6"/>
      <c r="N188" s="6"/>
      <c r="O188" s="6"/>
      <c r="P188" s="6"/>
      <c r="Q188" s="27"/>
      <c r="R188" s="27" t="s">
        <v>146</v>
      </c>
      <c r="S188" s="6"/>
      <c r="T188" s="1">
        <v>3.7617588214864086</v>
      </c>
      <c r="U188" s="1">
        <v>2.4105943971432708</v>
      </c>
      <c r="V188" s="1">
        <v>3.0141439133376018</v>
      </c>
      <c r="W188" s="1">
        <v>2.3257898132756334</v>
      </c>
      <c r="X188" s="1">
        <v>3.8802845321407919</v>
      </c>
      <c r="Y188" s="1">
        <f>AVERAGE(U188:X188)</f>
        <v>2.9077031639743245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hidden="1" x14ac:dyDescent="0.3">
      <c r="A189" s="19" t="s">
        <v>1186</v>
      </c>
      <c r="B189" s="21" t="s">
        <v>40</v>
      </c>
      <c r="C189" s="21">
        <v>1</v>
      </c>
      <c r="D189" s="23">
        <v>1200</v>
      </c>
      <c r="E189" s="23"/>
      <c r="F189" s="23"/>
      <c r="G189" s="20" t="s">
        <v>1127</v>
      </c>
      <c r="H189" s="6"/>
      <c r="I189" s="6" t="s">
        <v>1078</v>
      </c>
      <c r="J189" s="6">
        <v>59</v>
      </c>
      <c r="K189" s="21">
        <v>26</v>
      </c>
      <c r="L189" s="21" t="s">
        <v>703</v>
      </c>
      <c r="M189" s="6" t="s">
        <v>164</v>
      </c>
      <c r="N189" s="6" t="s">
        <v>1129</v>
      </c>
      <c r="O189" s="6"/>
      <c r="P189" s="6"/>
      <c r="Q189" s="27"/>
      <c r="R189" s="28" t="s">
        <v>108</v>
      </c>
      <c r="S189" s="6" t="s">
        <v>71</v>
      </c>
      <c r="T189" s="1">
        <v>3.6084000000000001</v>
      </c>
      <c r="U189" s="1">
        <v>1.0655999999999999</v>
      </c>
      <c r="V189" s="1">
        <v>4.9888000000000003</v>
      </c>
      <c r="W189" s="1">
        <v>1.9131999999999998</v>
      </c>
      <c r="X189" s="1">
        <v>3.6084000000000001</v>
      </c>
      <c r="Y189" s="1">
        <f>AVERAGE(U189:X189)</f>
        <v>2.8940000000000001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hidden="1" x14ac:dyDescent="0.3">
      <c r="A190" s="3" t="s">
        <v>823</v>
      </c>
      <c r="B190" s="2" t="s">
        <v>49</v>
      </c>
      <c r="C190" s="21">
        <v>9.5</v>
      </c>
      <c r="D190" s="23">
        <v>1200</v>
      </c>
      <c r="E190" s="23"/>
      <c r="F190" s="28"/>
      <c r="G190" s="3" t="s">
        <v>58</v>
      </c>
      <c r="H190" s="6"/>
      <c r="I190" s="6" t="s">
        <v>687</v>
      </c>
      <c r="J190" s="6">
        <v>69</v>
      </c>
      <c r="K190" s="21"/>
      <c r="L190" s="5" t="s">
        <v>824</v>
      </c>
      <c r="M190" s="6" t="s">
        <v>94</v>
      </c>
      <c r="N190" s="6"/>
      <c r="O190" s="6" t="s">
        <v>793</v>
      </c>
      <c r="P190" s="6"/>
      <c r="Q190" s="27"/>
      <c r="R190" s="28" t="s">
        <v>692</v>
      </c>
      <c r="S190" s="6" t="s">
        <v>55</v>
      </c>
      <c r="T190" s="1">
        <v>2.0330710000000001</v>
      </c>
      <c r="U190" s="1">
        <v>2.1059039999999998</v>
      </c>
      <c r="V190" s="1">
        <v>3.3130320000000002</v>
      </c>
      <c r="W190" s="1">
        <v>3.3668720000000003</v>
      </c>
      <c r="X190" s="1">
        <v>2.7273800000000001</v>
      </c>
      <c r="Y190" s="1">
        <f>AVERAGE(U190:X190)</f>
        <v>2.8782970000000003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hidden="1" x14ac:dyDescent="0.3">
      <c r="A191" s="19" t="s">
        <v>1187</v>
      </c>
      <c r="B191" s="21" t="s">
        <v>68</v>
      </c>
      <c r="C191" s="21">
        <v>1.5</v>
      </c>
      <c r="D191" s="23">
        <v>1250</v>
      </c>
      <c r="E191" s="23"/>
      <c r="F191" s="23"/>
      <c r="G191" s="20" t="s">
        <v>1181</v>
      </c>
      <c r="H191" s="6"/>
      <c r="I191" s="6" t="s">
        <v>1084</v>
      </c>
      <c r="J191" s="6">
        <v>69</v>
      </c>
      <c r="K191" s="21">
        <v>1.5</v>
      </c>
      <c r="L191" s="21" t="s">
        <v>1073</v>
      </c>
      <c r="M191" s="6" t="s">
        <v>195</v>
      </c>
      <c r="N191" s="6" t="s">
        <v>160</v>
      </c>
      <c r="O191" s="6">
        <v>20</v>
      </c>
      <c r="P191" s="6"/>
      <c r="Q191" s="27"/>
      <c r="R191" s="28" t="s">
        <v>108</v>
      </c>
      <c r="S191" s="6"/>
      <c r="T191" s="1">
        <v>2.8274400000000002</v>
      </c>
      <c r="U191" s="1">
        <v>2.8607040000000001</v>
      </c>
      <c r="V191" s="1">
        <v>3.0602879999999999</v>
      </c>
      <c r="W191" s="1">
        <v>2.1621600000000005</v>
      </c>
      <c r="X191" s="1">
        <v>3.2931360000000001</v>
      </c>
      <c r="Y191" s="1">
        <f>AVERAGE(U191:X191)</f>
        <v>2.8440720000000002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22" t="s">
        <v>281</v>
      </c>
      <c r="B192" s="2" t="s">
        <v>62</v>
      </c>
      <c r="C192" s="21">
        <v>0.8</v>
      </c>
      <c r="D192" s="23">
        <v>950</v>
      </c>
      <c r="E192" s="23" t="s">
        <v>41</v>
      </c>
      <c r="F192" s="23"/>
      <c r="G192" s="3" t="s">
        <v>282</v>
      </c>
      <c r="H192" s="12">
        <v>34025398</v>
      </c>
      <c r="I192" s="12"/>
      <c r="J192" s="4"/>
      <c r="K192" s="5"/>
      <c r="L192" s="5" t="s">
        <v>64</v>
      </c>
      <c r="M192" s="4" t="s">
        <v>45</v>
      </c>
      <c r="N192" s="4" t="s">
        <v>242</v>
      </c>
      <c r="O192" s="12" t="s">
        <v>793</v>
      </c>
      <c r="P192" s="12" t="s">
        <v>47</v>
      </c>
      <c r="Q192" s="30" t="s">
        <v>47</v>
      </c>
      <c r="R192" s="27" t="s">
        <v>47</v>
      </c>
      <c r="S192" s="12" t="s">
        <v>47</v>
      </c>
      <c r="T192" s="13">
        <v>2.7190799999999999</v>
      </c>
      <c r="U192" s="13">
        <v>2.3007599999999999</v>
      </c>
      <c r="V192" s="13">
        <v>2.47506</v>
      </c>
      <c r="W192" s="13">
        <v>2.5099200000000002</v>
      </c>
      <c r="X192" s="13">
        <v>3.69516</v>
      </c>
      <c r="Y192" s="1">
        <f>AVERAGE(U192:X192)</f>
        <v>2.745225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hidden="1" x14ac:dyDescent="0.3">
      <c r="A193" s="19" t="s">
        <v>1188</v>
      </c>
      <c r="B193" s="21" t="s">
        <v>68</v>
      </c>
      <c r="C193" s="21">
        <v>1</v>
      </c>
      <c r="D193" s="23" t="s">
        <v>868</v>
      </c>
      <c r="E193" s="23"/>
      <c r="F193" s="23"/>
      <c r="G193" s="20" t="s">
        <v>1178</v>
      </c>
      <c r="H193" s="6"/>
      <c r="I193" s="6" t="s">
        <v>1078</v>
      </c>
      <c r="J193" s="6">
        <v>59</v>
      </c>
      <c r="K193" s="21">
        <v>28</v>
      </c>
      <c r="L193" s="21" t="s">
        <v>703</v>
      </c>
      <c r="M193" s="6" t="s">
        <v>164</v>
      </c>
      <c r="N193" s="6" t="s">
        <v>1129</v>
      </c>
      <c r="O193" s="6"/>
      <c r="P193" s="6"/>
      <c r="Q193" s="27"/>
      <c r="R193" s="28" t="s">
        <v>108</v>
      </c>
      <c r="S193" s="6" t="s">
        <v>71</v>
      </c>
      <c r="T193" s="1">
        <v>1.9760100000000003</v>
      </c>
      <c r="U193" s="1">
        <v>2.5267200000000001</v>
      </c>
      <c r="V193" s="1">
        <v>3.1539200000000003</v>
      </c>
      <c r="W193" s="1">
        <v>2.4550399999999999</v>
      </c>
      <c r="X193" s="1">
        <v>2.8134399999999999</v>
      </c>
      <c r="Y193" s="1">
        <f>AVERAGE(U193:X193)</f>
        <v>2.7372800000000002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22" t="s">
        <v>283</v>
      </c>
      <c r="B194" s="2" t="s">
        <v>62</v>
      </c>
      <c r="C194" s="21">
        <v>1.2</v>
      </c>
      <c r="D194" s="23">
        <v>466</v>
      </c>
      <c r="E194" s="23" t="s">
        <v>41</v>
      </c>
      <c r="F194" s="23"/>
      <c r="G194" s="3" t="s">
        <v>284</v>
      </c>
      <c r="H194" s="12">
        <v>34025390</v>
      </c>
      <c r="I194" s="10"/>
      <c r="J194" s="4"/>
      <c r="K194" s="5"/>
      <c r="L194" s="5" t="s">
        <v>64</v>
      </c>
      <c r="M194" s="4" t="s">
        <v>45</v>
      </c>
      <c r="N194" s="4" t="s">
        <v>242</v>
      </c>
      <c r="O194" s="12" t="s">
        <v>793</v>
      </c>
      <c r="P194" s="12" t="s">
        <v>47</v>
      </c>
      <c r="Q194" s="30" t="s">
        <v>47</v>
      </c>
      <c r="R194" s="27" t="s">
        <v>47</v>
      </c>
      <c r="S194" s="10" t="s">
        <v>47</v>
      </c>
      <c r="T194" s="13">
        <v>2.8175089999999998</v>
      </c>
      <c r="U194" s="13">
        <v>2.5011000000000005</v>
      </c>
      <c r="V194" s="13">
        <v>2.1438000000000001</v>
      </c>
      <c r="W194" s="13">
        <v>2.5011000000000005</v>
      </c>
      <c r="X194" s="13">
        <v>3.573</v>
      </c>
      <c r="Y194" s="1">
        <f>AVERAGE(U194:X194)</f>
        <v>2.6797500000000003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hidden="1" x14ac:dyDescent="0.3">
      <c r="A195" s="3" t="s">
        <v>825</v>
      </c>
      <c r="B195" s="2" t="s">
        <v>49</v>
      </c>
      <c r="C195" s="21">
        <v>6</v>
      </c>
      <c r="D195" s="23">
        <v>250</v>
      </c>
      <c r="E195" s="23"/>
      <c r="F195" s="28"/>
      <c r="G195" s="3" t="s">
        <v>826</v>
      </c>
      <c r="H195" s="6"/>
      <c r="I195" s="6"/>
      <c r="J195" s="6">
        <v>30</v>
      </c>
      <c r="K195" s="21"/>
      <c r="L195" s="21" t="s">
        <v>824</v>
      </c>
      <c r="M195" s="6" t="s">
        <v>827</v>
      </c>
      <c r="N195" s="6"/>
      <c r="O195" s="6" t="s">
        <v>793</v>
      </c>
      <c r="P195" s="6"/>
      <c r="Q195" s="27"/>
      <c r="R195" s="28" t="s">
        <v>692</v>
      </c>
      <c r="S195" s="6"/>
      <c r="T195" s="1">
        <v>2.6527500000000002</v>
      </c>
      <c r="U195" s="1">
        <v>2.0514600000000001</v>
      </c>
      <c r="V195" s="1">
        <v>2.9828700000000001</v>
      </c>
      <c r="W195" s="1">
        <v>2.6999100000000005</v>
      </c>
      <c r="X195" s="1">
        <v>2.8413900000000005</v>
      </c>
      <c r="Y195" s="1">
        <f>AVERAGE(U195:X195)</f>
        <v>2.6439075000000005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hidden="1" x14ac:dyDescent="0.3">
      <c r="A196" s="19" t="s">
        <v>1189</v>
      </c>
      <c r="B196" s="21" t="s">
        <v>40</v>
      </c>
      <c r="C196" s="21">
        <v>0.6</v>
      </c>
      <c r="D196" s="23">
        <v>312</v>
      </c>
      <c r="E196" s="23"/>
      <c r="F196" s="23" t="s">
        <v>82</v>
      </c>
      <c r="G196" s="20" t="s">
        <v>1190</v>
      </c>
      <c r="H196" s="6"/>
      <c r="I196" s="6" t="s">
        <v>1084</v>
      </c>
      <c r="J196" s="6">
        <v>60</v>
      </c>
      <c r="K196" s="21">
        <v>2.5</v>
      </c>
      <c r="L196" s="21" t="s">
        <v>1073</v>
      </c>
      <c r="M196" s="6" t="s">
        <v>195</v>
      </c>
      <c r="N196" s="6">
        <v>246</v>
      </c>
      <c r="O196" s="6">
        <v>20</v>
      </c>
      <c r="P196" s="6"/>
      <c r="Q196" s="27"/>
      <c r="R196" s="28" t="s">
        <v>108</v>
      </c>
      <c r="S196" s="6"/>
      <c r="T196" s="1">
        <v>3.4638300000000002</v>
      </c>
      <c r="U196" s="1">
        <v>1.728</v>
      </c>
      <c r="V196" s="1">
        <v>3.4587000000000003</v>
      </c>
      <c r="W196" s="1">
        <v>1.728</v>
      </c>
      <c r="X196" s="1">
        <v>3.4587000000000003</v>
      </c>
      <c r="Y196" s="1">
        <f>AVERAGE(U196:X196)</f>
        <v>2.59335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hidden="1" x14ac:dyDescent="0.3">
      <c r="A197" s="19" t="s">
        <v>1191</v>
      </c>
      <c r="B197" s="21" t="s">
        <v>40</v>
      </c>
      <c r="C197" s="21">
        <v>2</v>
      </c>
      <c r="D197" s="23">
        <v>950</v>
      </c>
      <c r="E197" s="23"/>
      <c r="F197" s="23" t="s">
        <v>1135</v>
      </c>
      <c r="G197" s="20" t="s">
        <v>1192</v>
      </c>
      <c r="H197" s="6"/>
      <c r="I197" s="6" t="s">
        <v>1084</v>
      </c>
      <c r="J197" s="6">
        <v>69</v>
      </c>
      <c r="K197" s="21">
        <v>1.1000000000000001</v>
      </c>
      <c r="L197" s="21" t="s">
        <v>1073</v>
      </c>
      <c r="M197" s="6" t="s">
        <v>195</v>
      </c>
      <c r="N197" s="6" t="s">
        <v>123</v>
      </c>
      <c r="O197" s="6">
        <v>20</v>
      </c>
      <c r="P197" s="6"/>
      <c r="Q197" s="27"/>
      <c r="R197" s="28" t="s">
        <v>108</v>
      </c>
      <c r="S197" s="6"/>
      <c r="T197" s="1">
        <v>1.792</v>
      </c>
      <c r="U197" s="1">
        <v>2.8159999999999998</v>
      </c>
      <c r="V197" s="1">
        <v>2.048</v>
      </c>
      <c r="W197" s="1">
        <v>2.56</v>
      </c>
      <c r="X197" s="1">
        <v>2.8159999999999998</v>
      </c>
      <c r="Y197" s="1">
        <f>AVERAGE(U197:X197)</f>
        <v>2.5599999999999996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hidden="1" x14ac:dyDescent="0.3">
      <c r="A198" s="19" t="s">
        <v>1193</v>
      </c>
      <c r="B198" s="21" t="s">
        <v>68</v>
      </c>
      <c r="C198" s="21">
        <v>1.2</v>
      </c>
      <c r="D198" s="23">
        <v>1120</v>
      </c>
      <c r="E198" s="23"/>
      <c r="F198" s="23"/>
      <c r="G198" s="20" t="s">
        <v>1194</v>
      </c>
      <c r="H198" s="6"/>
      <c r="I198" s="6" t="s">
        <v>1084</v>
      </c>
      <c r="J198" s="6">
        <v>69</v>
      </c>
      <c r="K198" s="21">
        <v>1.3</v>
      </c>
      <c r="L198" s="21" t="s">
        <v>1073</v>
      </c>
      <c r="M198" s="6" t="s">
        <v>195</v>
      </c>
      <c r="N198" s="6" t="s">
        <v>1088</v>
      </c>
      <c r="O198" s="6">
        <v>20</v>
      </c>
      <c r="P198" s="6"/>
      <c r="Q198" s="27"/>
      <c r="R198" s="28" t="s">
        <v>108</v>
      </c>
      <c r="S198" s="6"/>
      <c r="T198" s="1">
        <v>2.5015703999999994</v>
      </c>
      <c r="U198" s="1">
        <v>2.2312500000000002</v>
      </c>
      <c r="V198" s="1">
        <v>2.5882499999999999</v>
      </c>
      <c r="W198" s="1">
        <v>2.2610000000000001</v>
      </c>
      <c r="X198" s="1">
        <v>3.0939999999999999</v>
      </c>
      <c r="Y198" s="1">
        <f>AVERAGE(U198:X198)</f>
        <v>2.543625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22" t="s">
        <v>285</v>
      </c>
      <c r="B199" s="2" t="s">
        <v>62</v>
      </c>
      <c r="C199" s="21">
        <v>0.7</v>
      </c>
      <c r="D199" s="23">
        <v>416.7</v>
      </c>
      <c r="E199" s="23" t="s">
        <v>41</v>
      </c>
      <c r="F199" s="23"/>
      <c r="G199" s="3" t="s">
        <v>286</v>
      </c>
      <c r="H199" s="12">
        <v>34025693</v>
      </c>
      <c r="I199" s="10"/>
      <c r="J199" s="4"/>
      <c r="K199" s="5"/>
      <c r="L199" s="5" t="s">
        <v>64</v>
      </c>
      <c r="M199" s="4" t="s">
        <v>80</v>
      </c>
      <c r="N199" s="4" t="s">
        <v>160</v>
      </c>
      <c r="O199" s="12" t="s">
        <v>793</v>
      </c>
      <c r="P199" s="12" t="s">
        <v>47</v>
      </c>
      <c r="Q199" s="30" t="s">
        <v>47</v>
      </c>
      <c r="R199" s="27" t="s">
        <v>47</v>
      </c>
      <c r="S199" s="10" t="s">
        <v>47</v>
      </c>
      <c r="T199" s="13">
        <v>1.8615100000000002</v>
      </c>
      <c r="U199" s="13">
        <v>2.4969000000000006</v>
      </c>
      <c r="V199" s="13">
        <v>2.6674199999999999</v>
      </c>
      <c r="W199" s="13">
        <v>2.2898400000000003</v>
      </c>
      <c r="X199" s="13">
        <v>2.2898400000000003</v>
      </c>
      <c r="Y199" s="1">
        <f>AVERAGE(U199:X199)</f>
        <v>2.4359999999999999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hidden="1" x14ac:dyDescent="0.3">
      <c r="A200" s="19" t="s">
        <v>522</v>
      </c>
      <c r="B200" s="21" t="s">
        <v>40</v>
      </c>
      <c r="C200" s="21">
        <v>0.8</v>
      </c>
      <c r="D200" s="23">
        <v>1300</v>
      </c>
      <c r="E200" s="23"/>
      <c r="F200" s="23"/>
      <c r="G200" s="20" t="s">
        <v>523</v>
      </c>
      <c r="H200" s="6"/>
      <c r="I200" s="6" t="s">
        <v>1078</v>
      </c>
      <c r="J200" s="6">
        <v>59</v>
      </c>
      <c r="K200" s="21">
        <v>28</v>
      </c>
      <c r="L200" s="21" t="s">
        <v>703</v>
      </c>
      <c r="M200" s="6" t="s">
        <v>1128</v>
      </c>
      <c r="N200" s="6" t="s">
        <v>1160</v>
      </c>
      <c r="O200" s="6"/>
      <c r="P200" s="6"/>
      <c r="Q200" s="27"/>
      <c r="R200" s="28" t="s">
        <v>108</v>
      </c>
      <c r="S200" s="6" t="s">
        <v>71</v>
      </c>
      <c r="T200" s="1">
        <v>1.3824000000000001</v>
      </c>
      <c r="U200" s="1">
        <v>1.3824000000000001</v>
      </c>
      <c r="V200" s="1">
        <v>4.1471999999999998</v>
      </c>
      <c r="W200" s="1">
        <v>1.3824000000000001</v>
      </c>
      <c r="X200" s="1">
        <v>2.7648000000000001</v>
      </c>
      <c r="Y200" s="1">
        <f>AVERAGE(U200:X200)</f>
        <v>2.4192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22" t="s">
        <v>287</v>
      </c>
      <c r="B201" s="2" t="s">
        <v>62</v>
      </c>
      <c r="C201" s="21">
        <v>0.7</v>
      </c>
      <c r="D201" s="23">
        <v>191</v>
      </c>
      <c r="E201" s="23" t="s">
        <v>41</v>
      </c>
      <c r="F201" s="23"/>
      <c r="G201" s="3" t="s">
        <v>288</v>
      </c>
      <c r="H201" s="10">
        <v>34025692</v>
      </c>
      <c r="I201" s="10"/>
      <c r="J201" s="6"/>
      <c r="K201" s="21"/>
      <c r="L201" s="21" t="s">
        <v>64</v>
      </c>
      <c r="M201" s="6" t="s">
        <v>115</v>
      </c>
      <c r="N201" s="6" t="s">
        <v>160</v>
      </c>
      <c r="O201" s="12" t="s">
        <v>793</v>
      </c>
      <c r="P201" s="10" t="s">
        <v>47</v>
      </c>
      <c r="Q201" s="29" t="s">
        <v>47</v>
      </c>
      <c r="R201" s="27" t="s">
        <v>47</v>
      </c>
      <c r="S201" s="10" t="s">
        <v>47</v>
      </c>
      <c r="T201" s="13">
        <v>1.232</v>
      </c>
      <c r="U201" s="13">
        <v>2.4319999999999999</v>
      </c>
      <c r="V201" s="13">
        <v>2.4384000000000001</v>
      </c>
      <c r="W201" s="13">
        <v>2.4384000000000001</v>
      </c>
      <c r="X201" s="13">
        <v>2.2464</v>
      </c>
      <c r="Y201" s="1">
        <f>AVERAGE(U201:X201)</f>
        <v>2.3887999999999998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hidden="1" x14ac:dyDescent="0.3">
      <c r="A202" s="22" t="s">
        <v>1256</v>
      </c>
      <c r="B202" s="2"/>
      <c r="C202" s="21">
        <v>35</v>
      </c>
      <c r="D202" s="23"/>
      <c r="E202" s="23"/>
      <c r="F202" s="23"/>
      <c r="G202" s="3" t="s">
        <v>1251</v>
      </c>
      <c r="H202" s="4"/>
      <c r="I202" s="6"/>
      <c r="J202" s="4"/>
      <c r="K202" s="5"/>
      <c r="L202" s="5" t="s">
        <v>52</v>
      </c>
      <c r="M202" s="4"/>
      <c r="N202" s="4"/>
      <c r="O202" s="4"/>
      <c r="P202" s="4"/>
      <c r="Q202" s="24"/>
      <c r="R202" s="27" t="s">
        <v>146</v>
      </c>
      <c r="S202" s="4"/>
      <c r="T202" s="1">
        <v>1.3054787878787879</v>
      </c>
      <c r="U202" s="1">
        <v>2.4990593939393939</v>
      </c>
      <c r="V202" s="1">
        <v>1.5852242424242422</v>
      </c>
      <c r="W202" s="1">
        <v>2.5923078787878784</v>
      </c>
      <c r="X202" s="1">
        <v>2.6669066666666663</v>
      </c>
      <c r="Y202" s="1">
        <f>AVERAGE(U202:X202)</f>
        <v>2.3358745454545451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hidden="1" x14ac:dyDescent="0.3">
      <c r="A203" s="3" t="s">
        <v>828</v>
      </c>
      <c r="B203" s="2" t="s">
        <v>49</v>
      </c>
      <c r="C203" s="21">
        <v>8</v>
      </c>
      <c r="D203" s="23">
        <v>1200</v>
      </c>
      <c r="E203" s="23"/>
      <c r="F203" s="28"/>
      <c r="G203" s="3" t="s">
        <v>748</v>
      </c>
      <c r="H203" s="4"/>
      <c r="I203" s="4" t="s">
        <v>687</v>
      </c>
      <c r="J203" s="4">
        <v>59</v>
      </c>
      <c r="K203" s="5"/>
      <c r="L203" s="5" t="s">
        <v>194</v>
      </c>
      <c r="M203" s="4" t="s">
        <v>94</v>
      </c>
      <c r="N203" s="4"/>
      <c r="O203" s="4" t="s">
        <v>793</v>
      </c>
      <c r="P203" s="4"/>
      <c r="Q203" s="24"/>
      <c r="R203" s="25" t="s">
        <v>692</v>
      </c>
      <c r="S203" s="4" t="s">
        <v>55</v>
      </c>
      <c r="T203" s="1">
        <v>0.67893800000000004</v>
      </c>
      <c r="U203" s="1">
        <v>2.0434479999999997</v>
      </c>
      <c r="V203" s="1">
        <v>2.3026880000000003</v>
      </c>
      <c r="W203" s="1">
        <v>2.3037390000000006</v>
      </c>
      <c r="X203" s="1">
        <v>2.4850200000000005</v>
      </c>
      <c r="Y203" s="1">
        <f>AVERAGE(U203:X203)</f>
        <v>2.2837237500000001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22" t="s">
        <v>289</v>
      </c>
      <c r="B204" s="2" t="s">
        <v>229</v>
      </c>
      <c r="C204" s="21">
        <v>4</v>
      </c>
      <c r="D204" s="23">
        <v>1200</v>
      </c>
      <c r="E204" s="23">
        <v>1550</v>
      </c>
      <c r="F204" s="23"/>
      <c r="G204" s="3" t="s">
        <v>290</v>
      </c>
      <c r="H204" s="10" t="s">
        <v>41</v>
      </c>
      <c r="I204" s="10"/>
      <c r="J204" s="6"/>
      <c r="K204" s="21"/>
      <c r="L204" s="21" t="s">
        <v>260</v>
      </c>
      <c r="M204" s="6" t="s">
        <v>93</v>
      </c>
      <c r="N204" s="6" t="s">
        <v>291</v>
      </c>
      <c r="O204" s="12" t="s">
        <v>793</v>
      </c>
      <c r="P204" s="10" t="s">
        <v>47</v>
      </c>
      <c r="Q204" s="29" t="s">
        <v>47</v>
      </c>
      <c r="R204" s="27" t="s">
        <v>47</v>
      </c>
      <c r="S204" s="10" t="s">
        <v>47</v>
      </c>
      <c r="T204" s="13">
        <v>1.8629599999999999</v>
      </c>
      <c r="U204" s="13">
        <v>2.044</v>
      </c>
      <c r="V204" s="13">
        <v>2.6280000000000001</v>
      </c>
      <c r="W204" s="13">
        <v>2.044</v>
      </c>
      <c r="X204" s="13">
        <v>2.3359999999999999</v>
      </c>
      <c r="Y204" s="1">
        <f>AVERAGE(U204:X204)</f>
        <v>2.2630000000000003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hidden="1" x14ac:dyDescent="0.3">
      <c r="A205" s="19" t="s">
        <v>1195</v>
      </c>
      <c r="B205" s="21" t="s">
        <v>40</v>
      </c>
      <c r="C205" s="21">
        <v>1.5</v>
      </c>
      <c r="D205" s="23">
        <v>350</v>
      </c>
      <c r="E205" s="23"/>
      <c r="F205" s="23" t="s">
        <v>1184</v>
      </c>
      <c r="G205" s="20" t="s">
        <v>1196</v>
      </c>
      <c r="H205" s="6"/>
      <c r="I205" s="6" t="s">
        <v>1084</v>
      </c>
      <c r="J205" s="6">
        <v>60</v>
      </c>
      <c r="K205" s="21"/>
      <c r="L205" s="21" t="s">
        <v>785</v>
      </c>
      <c r="M205" s="6" t="s">
        <v>195</v>
      </c>
      <c r="N205" s="6">
        <v>246</v>
      </c>
      <c r="O205" s="6"/>
      <c r="P205" s="6"/>
      <c r="Q205" s="27"/>
      <c r="R205" s="28" t="s">
        <v>108</v>
      </c>
      <c r="S205" s="6"/>
      <c r="T205" s="1">
        <v>2.54928</v>
      </c>
      <c r="U205" s="1">
        <v>2.0520800000000001</v>
      </c>
      <c r="V205" s="1">
        <v>2.6894</v>
      </c>
      <c r="W205" s="1">
        <v>2.0520800000000001</v>
      </c>
      <c r="X205" s="1">
        <v>2.1198800000000002</v>
      </c>
      <c r="Y205" s="1">
        <f>AVERAGE(U205:X205)</f>
        <v>2.2283600000000003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hidden="1" x14ac:dyDescent="0.3">
      <c r="A206" s="19" t="s">
        <v>1197</v>
      </c>
      <c r="B206" s="21" t="s">
        <v>40</v>
      </c>
      <c r="C206" s="21">
        <v>1.2</v>
      </c>
      <c r="D206" s="23">
        <v>350</v>
      </c>
      <c r="E206" s="23"/>
      <c r="F206" s="23" t="s">
        <v>82</v>
      </c>
      <c r="G206" s="20" t="s">
        <v>1198</v>
      </c>
      <c r="H206" s="6"/>
      <c r="I206" s="6" t="s">
        <v>1084</v>
      </c>
      <c r="J206" s="6">
        <v>60</v>
      </c>
      <c r="K206" s="21">
        <v>2</v>
      </c>
      <c r="L206" s="21" t="s">
        <v>1073</v>
      </c>
      <c r="M206" s="6" t="s">
        <v>195</v>
      </c>
      <c r="N206" s="6" t="s">
        <v>1199</v>
      </c>
      <c r="O206" s="6">
        <v>20</v>
      </c>
      <c r="P206" s="6"/>
      <c r="Q206" s="27"/>
      <c r="R206" s="28" t="s">
        <v>108</v>
      </c>
      <c r="S206" s="6"/>
      <c r="T206" s="1">
        <v>2.1059999999999999</v>
      </c>
      <c r="U206" s="1">
        <v>2.4569999999999999</v>
      </c>
      <c r="V206" s="1">
        <v>1.7549999999999999</v>
      </c>
      <c r="W206" s="1">
        <v>2.1059999999999999</v>
      </c>
      <c r="X206" s="1">
        <v>2.4569999999999999</v>
      </c>
      <c r="Y206" s="1">
        <f>AVERAGE(U206:X206)</f>
        <v>2.1937499999999996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hidden="1" x14ac:dyDescent="0.3">
      <c r="A207" s="22" t="s">
        <v>1257</v>
      </c>
      <c r="B207" s="2"/>
      <c r="C207" s="21">
        <v>3</v>
      </c>
      <c r="D207" s="23"/>
      <c r="E207" s="23"/>
      <c r="F207" s="23"/>
      <c r="G207" s="3" t="s">
        <v>1254</v>
      </c>
      <c r="H207" s="4"/>
      <c r="I207" s="6"/>
      <c r="J207" s="4"/>
      <c r="K207" s="5"/>
      <c r="L207" s="5" t="s">
        <v>1255</v>
      </c>
      <c r="M207" s="4"/>
      <c r="N207" s="4"/>
      <c r="O207" s="4"/>
      <c r="P207" s="4"/>
      <c r="Q207" s="24"/>
      <c r="R207" s="27" t="s">
        <v>146</v>
      </c>
      <c r="S207" s="6"/>
      <c r="T207" s="1">
        <v>1.7912399999999999</v>
      </c>
      <c r="U207" s="1">
        <v>2.4426000000000001</v>
      </c>
      <c r="V207" s="1">
        <v>2.0354999999999999</v>
      </c>
      <c r="W207" s="1">
        <v>2.19834</v>
      </c>
      <c r="X207" s="1">
        <v>2.0354999999999999</v>
      </c>
      <c r="Y207" s="1">
        <f>AVERAGE(U207:X207)</f>
        <v>2.1779849999999996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hidden="1" x14ac:dyDescent="0.3">
      <c r="A208" s="19" t="s">
        <v>1200</v>
      </c>
      <c r="B208" s="21" t="s">
        <v>40</v>
      </c>
      <c r="C208" s="21">
        <v>1.2</v>
      </c>
      <c r="D208" s="23">
        <v>1200</v>
      </c>
      <c r="E208" s="23"/>
      <c r="F208" s="23" t="s">
        <v>82</v>
      </c>
      <c r="G208" s="20" t="s">
        <v>1148</v>
      </c>
      <c r="H208" s="6"/>
      <c r="I208" s="6" t="s">
        <v>1078</v>
      </c>
      <c r="J208" s="6">
        <v>59</v>
      </c>
      <c r="K208" s="21">
        <v>1.5</v>
      </c>
      <c r="L208" s="21" t="s">
        <v>1073</v>
      </c>
      <c r="M208" s="6" t="s">
        <v>195</v>
      </c>
      <c r="N208" s="6" t="s">
        <v>1088</v>
      </c>
      <c r="O208" s="6">
        <v>20</v>
      </c>
      <c r="P208" s="6"/>
      <c r="Q208" s="27"/>
      <c r="R208" s="28" t="s">
        <v>108</v>
      </c>
      <c r="S208" s="6"/>
      <c r="T208" s="1">
        <v>2.447886</v>
      </c>
      <c r="U208" s="1">
        <v>2.169384</v>
      </c>
      <c r="V208" s="1">
        <v>2.3013059999999999</v>
      </c>
      <c r="W208" s="1">
        <v>1.6416959999999998</v>
      </c>
      <c r="X208" s="1">
        <v>2.4772019999999997</v>
      </c>
      <c r="Y208" s="1">
        <f>AVERAGE(U208:X208)</f>
        <v>2.1473969999999998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22" t="s">
        <v>292</v>
      </c>
      <c r="B209" s="2" t="s">
        <v>62</v>
      </c>
      <c r="C209" s="21">
        <v>0.7</v>
      </c>
      <c r="D209" s="23">
        <v>333</v>
      </c>
      <c r="E209" s="23" t="s">
        <v>41</v>
      </c>
      <c r="F209" s="23"/>
      <c r="G209" s="3" t="s">
        <v>293</v>
      </c>
      <c r="H209" s="12">
        <v>34025648</v>
      </c>
      <c r="I209" s="10"/>
      <c r="J209" s="4"/>
      <c r="K209" s="5"/>
      <c r="L209" s="5" t="s">
        <v>64</v>
      </c>
      <c r="M209" s="4" t="s">
        <v>45</v>
      </c>
      <c r="N209" s="36" t="s">
        <v>46</v>
      </c>
      <c r="O209" s="12" t="s">
        <v>793</v>
      </c>
      <c r="P209" s="12" t="s">
        <v>47</v>
      </c>
      <c r="Q209" s="30" t="s">
        <v>47</v>
      </c>
      <c r="R209" s="27" t="s">
        <v>47</v>
      </c>
      <c r="S209" s="10" t="s">
        <v>47</v>
      </c>
      <c r="T209" s="13">
        <v>1.96682</v>
      </c>
      <c r="U209" s="13">
        <v>2.58</v>
      </c>
      <c r="V209" s="13">
        <v>2.0640000000000001</v>
      </c>
      <c r="W209" s="13">
        <v>1.5479999999999998</v>
      </c>
      <c r="X209" s="13">
        <v>2.0640000000000001</v>
      </c>
      <c r="Y209" s="1">
        <f>AVERAGE(U209:X209)</f>
        <v>2.0640000000000001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22" t="s">
        <v>294</v>
      </c>
      <c r="B210" s="2" t="s">
        <v>40</v>
      </c>
      <c r="C210" s="21">
        <v>1.2</v>
      </c>
      <c r="D210" s="23">
        <v>1500</v>
      </c>
      <c r="E210" s="23" t="s">
        <v>41</v>
      </c>
      <c r="F210" s="23"/>
      <c r="G210" s="3" t="s">
        <v>295</v>
      </c>
      <c r="H210" s="10" t="s">
        <v>41</v>
      </c>
      <c r="I210" s="10"/>
      <c r="J210" s="6"/>
      <c r="K210" s="21"/>
      <c r="L210" s="21" t="s">
        <v>296</v>
      </c>
      <c r="M210" s="6" t="s">
        <v>297</v>
      </c>
      <c r="N210" s="6" t="s">
        <v>298</v>
      </c>
      <c r="O210" s="12" t="s">
        <v>793</v>
      </c>
      <c r="P210" s="10" t="s">
        <v>47</v>
      </c>
      <c r="Q210" s="29" t="s">
        <v>47</v>
      </c>
      <c r="R210" s="27" t="s">
        <v>47</v>
      </c>
      <c r="S210" s="10" t="s">
        <v>47</v>
      </c>
      <c r="T210" s="13">
        <v>1.5443120000000001</v>
      </c>
      <c r="U210" s="13">
        <v>1.3702320000000001</v>
      </c>
      <c r="V210" s="13">
        <v>2.4267760000000003</v>
      </c>
      <c r="W210" s="13">
        <v>2.2061600000000001</v>
      </c>
      <c r="X210" s="13">
        <v>2.2061600000000001</v>
      </c>
      <c r="Y210" s="1">
        <f>AVERAGE(U210:X210)</f>
        <v>2.0523320000000003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22" t="s">
        <v>299</v>
      </c>
      <c r="B211" s="2" t="s">
        <v>148</v>
      </c>
      <c r="C211" s="21">
        <v>4</v>
      </c>
      <c r="D211" s="23">
        <v>235</v>
      </c>
      <c r="E211" s="23" t="s">
        <v>41</v>
      </c>
      <c r="F211" s="23"/>
      <c r="G211" s="3" t="s">
        <v>300</v>
      </c>
      <c r="H211" s="10" t="s">
        <v>41</v>
      </c>
      <c r="I211" s="10"/>
      <c r="J211" s="6"/>
      <c r="K211" s="21"/>
      <c r="L211" s="5" t="s">
        <v>301</v>
      </c>
      <c r="M211" s="6" t="s">
        <v>93</v>
      </c>
      <c r="N211" s="6" t="s">
        <v>302</v>
      </c>
      <c r="O211" s="12" t="s">
        <v>793</v>
      </c>
      <c r="P211" s="10" t="s">
        <v>47</v>
      </c>
      <c r="Q211" s="29" t="s">
        <v>47</v>
      </c>
      <c r="R211" s="27" t="s">
        <v>47</v>
      </c>
      <c r="S211" s="10" t="s">
        <v>47</v>
      </c>
      <c r="T211" s="13">
        <v>1.334784</v>
      </c>
      <c r="U211" s="13">
        <v>1.4712959999999997</v>
      </c>
      <c r="V211" s="13">
        <v>2.3737919999999999</v>
      </c>
      <c r="W211" s="13">
        <v>1.7974079999999999</v>
      </c>
      <c r="X211" s="13">
        <v>2.1690239999999998</v>
      </c>
      <c r="Y211" s="1">
        <f>AVERAGE(U211:X211)</f>
        <v>1.9528799999999999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hidden="1" x14ac:dyDescent="0.3">
      <c r="A212" s="19" t="s">
        <v>1201</v>
      </c>
      <c r="B212" s="21" t="s">
        <v>40</v>
      </c>
      <c r="C212" s="21">
        <v>0.7</v>
      </c>
      <c r="D212" s="23">
        <v>270</v>
      </c>
      <c r="E212" s="23"/>
      <c r="F212" s="23" t="s">
        <v>82</v>
      </c>
      <c r="G212" s="20" t="s">
        <v>1202</v>
      </c>
      <c r="H212" s="6"/>
      <c r="I212" s="6" t="s">
        <v>1084</v>
      </c>
      <c r="J212" s="6">
        <v>60</v>
      </c>
      <c r="K212" s="21"/>
      <c r="L212" s="21" t="s">
        <v>1073</v>
      </c>
      <c r="M212" s="6" t="s">
        <v>195</v>
      </c>
      <c r="N212" s="6">
        <v>246</v>
      </c>
      <c r="O212" s="6">
        <v>20</v>
      </c>
      <c r="P212" s="6"/>
      <c r="Q212" s="27"/>
      <c r="R212" s="28" t="s">
        <v>108</v>
      </c>
      <c r="S212" s="6"/>
      <c r="T212" s="1">
        <v>2.4</v>
      </c>
      <c r="U212" s="1">
        <v>1.8</v>
      </c>
      <c r="V212" s="1">
        <v>2.4</v>
      </c>
      <c r="W212" s="1">
        <v>1.8</v>
      </c>
      <c r="X212" s="1">
        <v>1.8</v>
      </c>
      <c r="Y212" s="1">
        <f>AVERAGE(U212:X212)</f>
        <v>1.95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hidden="1" x14ac:dyDescent="0.3">
      <c r="A213" s="3" t="s">
        <v>600</v>
      </c>
      <c r="B213" s="2" t="s">
        <v>49</v>
      </c>
      <c r="C213" s="21">
        <v>4</v>
      </c>
      <c r="D213" s="23" t="s">
        <v>829</v>
      </c>
      <c r="E213" s="23"/>
      <c r="F213" s="28"/>
      <c r="G213" s="3" t="s">
        <v>830</v>
      </c>
      <c r="H213" s="6"/>
      <c r="I213" s="6"/>
      <c r="J213" s="6">
        <v>30</v>
      </c>
      <c r="K213" s="21"/>
      <c r="L213" s="21" t="s">
        <v>824</v>
      </c>
      <c r="M213" s="6" t="s">
        <v>119</v>
      </c>
      <c r="N213" s="6"/>
      <c r="O213" s="6" t="s">
        <v>793</v>
      </c>
      <c r="P213" s="6"/>
      <c r="Q213" s="27"/>
      <c r="R213" s="28" t="s">
        <v>692</v>
      </c>
      <c r="S213" s="6"/>
      <c r="T213" s="1">
        <v>0.133322</v>
      </c>
      <c r="U213" s="1">
        <v>0.12425</v>
      </c>
      <c r="V213" s="1">
        <v>1.9765000000000001</v>
      </c>
      <c r="W213" s="1">
        <v>5.3096810000000003</v>
      </c>
      <c r="X213" s="1">
        <v>0.112124</v>
      </c>
      <c r="Y213" s="1">
        <f>AVERAGE(U213:X213)</f>
        <v>1.8806387500000001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hidden="1" x14ac:dyDescent="0.3">
      <c r="A214" s="22" t="s">
        <v>583</v>
      </c>
      <c r="B214" s="2"/>
      <c r="C214" s="21">
        <v>2</v>
      </c>
      <c r="D214" s="23"/>
      <c r="E214" s="23"/>
      <c r="F214" s="23"/>
      <c r="G214" s="3" t="s">
        <v>1258</v>
      </c>
      <c r="H214" s="6"/>
      <c r="I214" s="6"/>
      <c r="J214" s="6"/>
      <c r="K214" s="21"/>
      <c r="L214" s="5" t="s">
        <v>1259</v>
      </c>
      <c r="M214" s="6"/>
      <c r="N214" s="6"/>
      <c r="O214" s="6"/>
      <c r="P214" s="6"/>
      <c r="Q214" s="27"/>
      <c r="R214" s="27" t="s">
        <v>146</v>
      </c>
      <c r="S214" s="6"/>
      <c r="T214" s="1">
        <v>1.8749625380767339</v>
      </c>
      <c r="U214" s="1">
        <v>1.4360676091551654</v>
      </c>
      <c r="V214" s="1">
        <v>1.2865396325918979</v>
      </c>
      <c r="W214" s="1">
        <v>2.3788958803262763</v>
      </c>
      <c r="X214" s="1">
        <v>2.1661178976952971</v>
      </c>
      <c r="Y214" s="1">
        <f>AVERAGE(U214:X214)</f>
        <v>1.8169052549421592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22" t="s">
        <v>303</v>
      </c>
      <c r="B215" s="2" t="s">
        <v>40</v>
      </c>
      <c r="C215" s="21">
        <v>1</v>
      </c>
      <c r="D215" s="23">
        <v>1450</v>
      </c>
      <c r="E215" s="23" t="s">
        <v>41</v>
      </c>
      <c r="F215" s="23"/>
      <c r="G215" s="3" t="s">
        <v>304</v>
      </c>
      <c r="H215" s="10" t="s">
        <v>41</v>
      </c>
      <c r="I215" s="10"/>
      <c r="J215" s="6"/>
      <c r="K215" s="21"/>
      <c r="L215" s="21" t="s">
        <v>301</v>
      </c>
      <c r="M215" s="6" t="s">
        <v>305</v>
      </c>
      <c r="N215" s="35" t="s">
        <v>306</v>
      </c>
      <c r="O215" s="12" t="s">
        <v>793</v>
      </c>
      <c r="P215" s="10"/>
      <c r="Q215" s="29"/>
      <c r="R215" s="27" t="s">
        <v>47</v>
      </c>
      <c r="S215" s="10" t="s">
        <v>47</v>
      </c>
      <c r="T215" s="13">
        <v>3.5387999999999997</v>
      </c>
      <c r="U215" s="13">
        <v>0</v>
      </c>
      <c r="V215" s="13">
        <v>0</v>
      </c>
      <c r="W215" s="13">
        <v>7.0775999999999994</v>
      </c>
      <c r="X215" s="13">
        <v>0</v>
      </c>
      <c r="Y215" s="1">
        <f>AVERAGE(U215:X215)</f>
        <v>1.7693999999999999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22" t="s">
        <v>307</v>
      </c>
      <c r="B216" s="2" t="s">
        <v>152</v>
      </c>
      <c r="C216" s="21">
        <v>1</v>
      </c>
      <c r="D216" s="23">
        <v>210</v>
      </c>
      <c r="E216" s="23">
        <v>160</v>
      </c>
      <c r="F216" s="23"/>
      <c r="G216" s="3" t="s">
        <v>308</v>
      </c>
      <c r="H216" s="10">
        <v>34027465</v>
      </c>
      <c r="I216" s="10"/>
      <c r="J216" s="6"/>
      <c r="K216" s="21"/>
      <c r="L216" s="21" t="s">
        <v>64</v>
      </c>
      <c r="M216" s="6" t="s">
        <v>195</v>
      </c>
      <c r="N216" s="35" t="s">
        <v>309</v>
      </c>
      <c r="O216" s="12" t="s">
        <v>793</v>
      </c>
      <c r="P216" s="10" t="s">
        <v>47</v>
      </c>
      <c r="Q216" s="29" t="s">
        <v>47</v>
      </c>
      <c r="R216" s="27" t="s">
        <v>47</v>
      </c>
      <c r="S216" s="10" t="s">
        <v>47</v>
      </c>
      <c r="T216" s="13">
        <v>1.3345499999999999</v>
      </c>
      <c r="U216" s="13">
        <v>2.0018249999999997</v>
      </c>
      <c r="V216" s="13">
        <v>2.0233499999999998</v>
      </c>
      <c r="W216" s="13">
        <v>1.2053999999999998</v>
      </c>
      <c r="X216" s="13">
        <v>1.8080999999999998</v>
      </c>
      <c r="Y216" s="1">
        <f>AVERAGE(U216:X216)</f>
        <v>1.7596687499999997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hidden="1" x14ac:dyDescent="0.3">
      <c r="A217" s="22" t="s">
        <v>1260</v>
      </c>
      <c r="B217" s="2"/>
      <c r="C217" s="21">
        <v>10</v>
      </c>
      <c r="D217" s="23"/>
      <c r="E217" s="23"/>
      <c r="F217" s="23"/>
      <c r="G217" s="3" t="s">
        <v>701</v>
      </c>
      <c r="H217" s="6"/>
      <c r="I217" s="6"/>
      <c r="J217" s="6"/>
      <c r="K217" s="21"/>
      <c r="L217" s="21" t="s">
        <v>1259</v>
      </c>
      <c r="M217" s="6"/>
      <c r="N217" s="6"/>
      <c r="O217" s="6"/>
      <c r="P217" s="6"/>
      <c r="Q217" s="27"/>
      <c r="R217" s="27" t="s">
        <v>146</v>
      </c>
      <c r="S217" s="6"/>
      <c r="T217" s="1">
        <v>2.0665414268627238</v>
      </c>
      <c r="U217" s="1">
        <v>1.4662378201470427</v>
      </c>
      <c r="V217" s="1">
        <v>1.9364590335784049</v>
      </c>
      <c r="W217" s="1">
        <v>1.2790213347744979</v>
      </c>
      <c r="X217" s="1">
        <v>2.235797941490179</v>
      </c>
      <c r="Y217" s="1">
        <f>AVERAGE(U217:X217)</f>
        <v>1.7293790324975311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22" t="s">
        <v>310</v>
      </c>
      <c r="B218" s="2" t="s">
        <v>229</v>
      </c>
      <c r="C218" s="21">
        <v>4.75</v>
      </c>
      <c r="D218" s="23">
        <v>1200</v>
      </c>
      <c r="E218" s="23">
        <v>2000</v>
      </c>
      <c r="F218" s="23"/>
      <c r="G218" s="3" t="s">
        <v>311</v>
      </c>
      <c r="H218" s="10" t="s">
        <v>41</v>
      </c>
      <c r="I218" s="10"/>
      <c r="J218" s="6"/>
      <c r="K218" s="5"/>
      <c r="L218" s="5" t="s">
        <v>260</v>
      </c>
      <c r="M218" s="6" t="s">
        <v>93</v>
      </c>
      <c r="N218" s="6" t="s">
        <v>94</v>
      </c>
      <c r="O218" s="12" t="s">
        <v>793</v>
      </c>
      <c r="P218" s="10"/>
      <c r="Q218" s="29"/>
      <c r="R218" s="27" t="s">
        <v>47</v>
      </c>
      <c r="S218" s="10" t="s">
        <v>47</v>
      </c>
      <c r="T218" s="13">
        <v>1.278</v>
      </c>
      <c r="U218" s="13">
        <v>1.5335999999999999</v>
      </c>
      <c r="V218" s="13">
        <v>1.917</v>
      </c>
      <c r="W218" s="13">
        <v>1.6614</v>
      </c>
      <c r="X218" s="13">
        <v>1.7892000000000001</v>
      </c>
      <c r="Y218" s="1">
        <f>AVERAGE(U218:X218)</f>
        <v>1.7253000000000001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hidden="1" x14ac:dyDescent="0.3">
      <c r="A219" s="22" t="s">
        <v>831</v>
      </c>
      <c r="B219" s="2" t="s">
        <v>770</v>
      </c>
      <c r="C219" s="21">
        <v>1.5</v>
      </c>
      <c r="D219" s="23">
        <v>1200</v>
      </c>
      <c r="E219" s="23"/>
      <c r="F219" s="28"/>
      <c r="G219" s="3" t="s">
        <v>832</v>
      </c>
      <c r="H219" s="6"/>
      <c r="I219" s="6" t="s">
        <v>687</v>
      </c>
      <c r="J219" s="6">
        <v>69</v>
      </c>
      <c r="K219" s="21">
        <v>18</v>
      </c>
      <c r="L219" s="21" t="s">
        <v>194</v>
      </c>
      <c r="M219" s="6" t="s">
        <v>787</v>
      </c>
      <c r="N219" s="6" t="s">
        <v>833</v>
      </c>
      <c r="O219" s="6" t="s">
        <v>793</v>
      </c>
      <c r="P219" s="6"/>
      <c r="Q219" s="27"/>
      <c r="R219" s="28" t="s">
        <v>692</v>
      </c>
      <c r="S219" s="6" t="s">
        <v>55</v>
      </c>
      <c r="T219" s="1">
        <v>1.7976189999999999</v>
      </c>
      <c r="U219" s="1">
        <v>1.6111439999999997</v>
      </c>
      <c r="V219" s="1">
        <v>2.4167160000000001</v>
      </c>
      <c r="W219" s="1">
        <v>1.71557</v>
      </c>
      <c r="X219" s="1">
        <v>1.04426</v>
      </c>
      <c r="Y219" s="1">
        <f>AVERAGE(U219:X219)</f>
        <v>1.6969224999999999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22" t="s">
        <v>312</v>
      </c>
      <c r="B220" s="2" t="s">
        <v>62</v>
      </c>
      <c r="C220" s="21">
        <v>1.5</v>
      </c>
      <c r="D220" s="23">
        <v>256</v>
      </c>
      <c r="E220" s="23" t="s">
        <v>41</v>
      </c>
      <c r="F220" s="23"/>
      <c r="G220" s="3" t="s">
        <v>313</v>
      </c>
      <c r="H220" s="10">
        <v>34028133</v>
      </c>
      <c r="I220" s="10"/>
      <c r="J220" s="6"/>
      <c r="K220" s="21"/>
      <c r="L220" s="21" t="s">
        <v>64</v>
      </c>
      <c r="M220" s="6" t="s">
        <v>195</v>
      </c>
      <c r="N220" s="6" t="s">
        <v>314</v>
      </c>
      <c r="O220" s="12" t="s">
        <v>793</v>
      </c>
      <c r="P220" s="10" t="s">
        <v>47</v>
      </c>
      <c r="Q220" s="29" t="s">
        <v>47</v>
      </c>
      <c r="R220" s="27" t="s">
        <v>47</v>
      </c>
      <c r="S220" s="10" t="s">
        <v>47</v>
      </c>
      <c r="T220" s="13">
        <v>1.5994200000000001</v>
      </c>
      <c r="U220" s="13">
        <v>1.9320000000000002</v>
      </c>
      <c r="V220" s="13">
        <v>1.9320000000000002</v>
      </c>
      <c r="W220" s="13">
        <v>1.1592</v>
      </c>
      <c r="X220" s="13">
        <v>1.7388000000000001</v>
      </c>
      <c r="Y220" s="1">
        <f>AVERAGE(U220:X220)</f>
        <v>1.6905000000000001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hidden="1" x14ac:dyDescent="0.3">
      <c r="A221" s="3" t="s">
        <v>228</v>
      </c>
      <c r="B221" s="2"/>
      <c r="C221" s="21"/>
      <c r="D221" s="23"/>
      <c r="E221" s="23"/>
      <c r="F221" s="28" t="s">
        <v>230</v>
      </c>
      <c r="G221" s="3"/>
      <c r="H221" s="4"/>
      <c r="I221" s="6"/>
      <c r="J221" s="4"/>
      <c r="K221" s="5"/>
      <c r="L221" s="5" t="s">
        <v>194</v>
      </c>
      <c r="M221" s="4" t="s">
        <v>94</v>
      </c>
      <c r="N221" s="4"/>
      <c r="O221" s="4" t="s">
        <v>793</v>
      </c>
      <c r="P221" s="4"/>
      <c r="Q221" s="24"/>
      <c r="R221" s="25" t="s">
        <v>692</v>
      </c>
      <c r="S221" s="6" t="s">
        <v>55</v>
      </c>
      <c r="T221" s="1">
        <v>1.2027600000000003</v>
      </c>
      <c r="U221" s="1">
        <v>0.54325500000000004</v>
      </c>
      <c r="V221" s="1">
        <v>1.4909850000000002</v>
      </c>
      <c r="W221" s="1">
        <v>3.5324040000000001</v>
      </c>
      <c r="X221" s="1">
        <v>1.1568750000000001</v>
      </c>
      <c r="Y221" s="1">
        <f>AVERAGE(U221:X221)</f>
        <v>1.6808797500000001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hidden="1" x14ac:dyDescent="0.3">
      <c r="A222" s="22" t="s">
        <v>834</v>
      </c>
      <c r="B222" s="2" t="s">
        <v>770</v>
      </c>
      <c r="C222" s="21">
        <v>1.5</v>
      </c>
      <c r="D222" s="23">
        <v>1030</v>
      </c>
      <c r="E222" s="23"/>
      <c r="F222" s="28"/>
      <c r="G222" s="3" t="s">
        <v>832</v>
      </c>
      <c r="H222" s="6"/>
      <c r="I222" s="6" t="s">
        <v>702</v>
      </c>
      <c r="J222" s="6">
        <v>69</v>
      </c>
      <c r="K222" s="21">
        <v>19</v>
      </c>
      <c r="L222" s="21" t="s">
        <v>194</v>
      </c>
      <c r="M222" s="6" t="s">
        <v>787</v>
      </c>
      <c r="N222" s="6" t="s">
        <v>833</v>
      </c>
      <c r="O222" s="6" t="s">
        <v>793</v>
      </c>
      <c r="P222" s="6"/>
      <c r="Q222" s="27"/>
      <c r="R222" s="28" t="s">
        <v>692</v>
      </c>
      <c r="S222" s="6" t="s">
        <v>55</v>
      </c>
      <c r="T222" s="1">
        <v>1.0814820000000001</v>
      </c>
      <c r="U222" s="1">
        <v>1.4628200000000002</v>
      </c>
      <c r="V222" s="1">
        <v>0.98892800000000014</v>
      </c>
      <c r="W222" s="1">
        <v>2.1691930000000004</v>
      </c>
      <c r="X222" s="1">
        <v>2.0604769999999997</v>
      </c>
      <c r="Y222" s="1">
        <f>AVERAGE(U222:X222)</f>
        <v>1.6703545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hidden="1" x14ac:dyDescent="0.3">
      <c r="A223" s="22" t="s">
        <v>835</v>
      </c>
      <c r="B223" s="2" t="s">
        <v>49</v>
      </c>
      <c r="C223" s="21">
        <v>3</v>
      </c>
      <c r="D223" s="23">
        <v>1200</v>
      </c>
      <c r="E223" s="23"/>
      <c r="F223" s="28"/>
      <c r="G223" s="3" t="s">
        <v>836</v>
      </c>
      <c r="H223" s="6"/>
      <c r="I223" s="6"/>
      <c r="J223" s="6">
        <v>30</v>
      </c>
      <c r="K223" s="21"/>
      <c r="L223" s="21" t="s">
        <v>791</v>
      </c>
      <c r="M223" s="6" t="s">
        <v>119</v>
      </c>
      <c r="N223" s="6"/>
      <c r="O223" s="6" t="s">
        <v>793</v>
      </c>
      <c r="P223" s="6"/>
      <c r="Q223" s="27"/>
      <c r="R223" s="28" t="s">
        <v>692</v>
      </c>
      <c r="S223" s="6"/>
      <c r="T223" s="1">
        <v>0</v>
      </c>
      <c r="U223" s="1">
        <v>0.59279999999999999</v>
      </c>
      <c r="V223" s="1">
        <v>2.2229999999999999</v>
      </c>
      <c r="W223" s="1">
        <v>1.7784</v>
      </c>
      <c r="X223" s="1">
        <v>2.0748000000000002</v>
      </c>
      <c r="Y223" s="1">
        <f>AVERAGE(U223:X223)</f>
        <v>1.6672500000000001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hidden="1" x14ac:dyDescent="0.3">
      <c r="A224" s="22" t="s">
        <v>837</v>
      </c>
      <c r="B224" s="2" t="s">
        <v>49</v>
      </c>
      <c r="C224" s="21">
        <v>8</v>
      </c>
      <c r="D224" s="23">
        <v>1200</v>
      </c>
      <c r="E224" s="23"/>
      <c r="F224" s="28"/>
      <c r="G224" s="3" t="s">
        <v>838</v>
      </c>
      <c r="H224" s="4"/>
      <c r="I224" s="6"/>
      <c r="J224" s="4">
        <v>63</v>
      </c>
      <c r="K224" s="5"/>
      <c r="L224" s="5" t="s">
        <v>764</v>
      </c>
      <c r="M224" s="4" t="s">
        <v>787</v>
      </c>
      <c r="N224" s="4"/>
      <c r="O224" s="4" t="s">
        <v>793</v>
      </c>
      <c r="P224" s="4"/>
      <c r="Q224" s="24"/>
      <c r="R224" s="25" t="s">
        <v>692</v>
      </c>
      <c r="S224" s="6"/>
      <c r="T224" s="1">
        <v>1.6583999999999999</v>
      </c>
      <c r="U224" s="1">
        <v>0.82919999999999994</v>
      </c>
      <c r="V224" s="1">
        <v>2.4876</v>
      </c>
      <c r="W224" s="1">
        <v>1.6583999999999999</v>
      </c>
      <c r="X224" s="1">
        <v>1.6583999999999999</v>
      </c>
      <c r="Y224" s="1">
        <f>AVERAGE(U224:X224)</f>
        <v>1.6583999999999999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hidden="1" x14ac:dyDescent="0.3">
      <c r="A225" s="22" t="s">
        <v>1261</v>
      </c>
      <c r="B225" s="2"/>
      <c r="C225" s="21">
        <v>12.5</v>
      </c>
      <c r="D225" s="23"/>
      <c r="E225" s="23"/>
      <c r="F225" s="23"/>
      <c r="G225" s="3" t="s">
        <v>1262</v>
      </c>
      <c r="H225" s="6"/>
      <c r="I225" s="6"/>
      <c r="J225" s="6"/>
      <c r="K225" s="21"/>
      <c r="L225" s="21" t="s">
        <v>1263</v>
      </c>
      <c r="M225" s="6"/>
      <c r="N225" s="6"/>
      <c r="O225" s="6"/>
      <c r="P225" s="6"/>
      <c r="Q225" s="27"/>
      <c r="R225" s="27" t="s">
        <v>146</v>
      </c>
      <c r="S225" s="6"/>
      <c r="T225" s="1">
        <v>1.5951733745421246</v>
      </c>
      <c r="U225" s="1">
        <v>2.1854098809523808</v>
      </c>
      <c r="V225" s="1">
        <v>1.5421318269230766</v>
      </c>
      <c r="W225" s="1">
        <v>2.8972333745421244</v>
      </c>
      <c r="X225" s="1">
        <v>0</v>
      </c>
      <c r="Y225" s="1">
        <f>AVERAGE(U225:X225)</f>
        <v>1.6561937706043954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hidden="1" x14ac:dyDescent="0.3">
      <c r="A226" s="22" t="s">
        <v>1264</v>
      </c>
      <c r="B226" s="2"/>
      <c r="C226" s="21">
        <v>40</v>
      </c>
      <c r="D226" s="23"/>
      <c r="E226" s="23"/>
      <c r="F226" s="23"/>
      <c r="G226" s="3" t="s">
        <v>1251</v>
      </c>
      <c r="H226" s="6"/>
      <c r="I226" s="6"/>
      <c r="J226" s="6"/>
      <c r="K226" s="21"/>
      <c r="L226" s="21" t="s">
        <v>52</v>
      </c>
      <c r="M226" s="6"/>
      <c r="N226" s="6"/>
      <c r="O226" s="6"/>
      <c r="P226" s="6"/>
      <c r="Q226" s="27"/>
      <c r="R226" s="27" t="s">
        <v>146</v>
      </c>
      <c r="S226" s="6"/>
      <c r="T226" s="1">
        <v>0.92315999999999998</v>
      </c>
      <c r="U226" s="1">
        <v>1.7671919999999999</v>
      </c>
      <c r="V226" s="1">
        <v>1.1209799999999999</v>
      </c>
      <c r="W226" s="1">
        <v>1.8331319999999998</v>
      </c>
      <c r="X226" s="1">
        <v>1.8858839999999999</v>
      </c>
      <c r="Y226" s="1">
        <f>AVERAGE(U226:X226)</f>
        <v>1.651797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hidden="1" x14ac:dyDescent="0.3">
      <c r="A227" s="22" t="s">
        <v>1265</v>
      </c>
      <c r="B227" s="2"/>
      <c r="C227" s="21">
        <v>4.75</v>
      </c>
      <c r="D227" s="23"/>
      <c r="E227" s="23"/>
      <c r="F227" s="23"/>
      <c r="G227" s="3" t="s">
        <v>1262</v>
      </c>
      <c r="H227" s="6"/>
      <c r="I227" s="6"/>
      <c r="J227" s="6"/>
      <c r="K227" s="21"/>
      <c r="L227" s="21" t="s">
        <v>1266</v>
      </c>
      <c r="M227" s="6"/>
      <c r="N227" s="6"/>
      <c r="O227" s="6"/>
      <c r="P227" s="6"/>
      <c r="Q227" s="27"/>
      <c r="R227" s="27" t="s">
        <v>146</v>
      </c>
      <c r="S227" s="6"/>
      <c r="T227" s="1">
        <v>1.0123199999999999</v>
      </c>
      <c r="U227" s="1">
        <v>1.4341199999999998</v>
      </c>
      <c r="V227" s="1">
        <v>1.94028</v>
      </c>
      <c r="W227" s="1">
        <v>1.6450199999999997</v>
      </c>
      <c r="X227" s="1">
        <v>1.4762999999999999</v>
      </c>
      <c r="Y227" s="1">
        <f>AVERAGE(U227:X227)</f>
        <v>1.6239299999999999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hidden="1" x14ac:dyDescent="0.3">
      <c r="A228" s="22" t="s">
        <v>1267</v>
      </c>
      <c r="B228" s="2"/>
      <c r="C228" s="21">
        <v>3</v>
      </c>
      <c r="D228" s="23"/>
      <c r="E228" s="23"/>
      <c r="F228" s="23"/>
      <c r="G228" s="3" t="s">
        <v>1254</v>
      </c>
      <c r="H228" s="4"/>
      <c r="I228" s="6"/>
      <c r="J228" s="4"/>
      <c r="K228" s="5"/>
      <c r="L228" s="5" t="s">
        <v>1255</v>
      </c>
      <c r="M228" s="4"/>
      <c r="N228" s="4"/>
      <c r="O228" s="4"/>
      <c r="P228" s="4"/>
      <c r="Q228" s="24"/>
      <c r="R228" s="27" t="s">
        <v>146</v>
      </c>
      <c r="S228" s="6"/>
      <c r="T228" s="1">
        <v>2.1548987380538991</v>
      </c>
      <c r="U228" s="1">
        <v>1.4122095476228311</v>
      </c>
      <c r="V228" s="1">
        <v>1.8194405197336021</v>
      </c>
      <c r="W228" s="1">
        <v>1.5468829690623442</v>
      </c>
      <c r="X228" s="1">
        <v>1.6450845141325847</v>
      </c>
      <c r="Y228" s="1">
        <f>AVERAGE(U228:X228)</f>
        <v>1.6059043876378407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hidden="1" x14ac:dyDescent="0.3">
      <c r="A229" s="22" t="s">
        <v>1268</v>
      </c>
      <c r="B229" s="2"/>
      <c r="C229" s="21">
        <v>6</v>
      </c>
      <c r="D229" s="23"/>
      <c r="E229" s="23"/>
      <c r="F229" s="23"/>
      <c r="G229" s="3" t="s">
        <v>1262</v>
      </c>
      <c r="H229" s="6"/>
      <c r="I229" s="6"/>
      <c r="J229" s="6"/>
      <c r="K229" s="21"/>
      <c r="L229" s="21" t="s">
        <v>1259</v>
      </c>
      <c r="M229" s="4"/>
      <c r="N229" s="6"/>
      <c r="O229" s="6"/>
      <c r="P229" s="6"/>
      <c r="Q229" s="27"/>
      <c r="R229" s="27" t="s">
        <v>146</v>
      </c>
      <c r="S229" s="6"/>
      <c r="T229" s="1">
        <v>0.91996800000000001</v>
      </c>
      <c r="U229" s="1">
        <v>0.459984</v>
      </c>
      <c r="V229" s="1">
        <v>2.069928</v>
      </c>
      <c r="W229" s="1">
        <v>1.8399359999999998</v>
      </c>
      <c r="X229" s="1">
        <v>1.839936</v>
      </c>
      <c r="Y229" s="1">
        <f>AVERAGE(U229:X229)</f>
        <v>1.5524459999999998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hidden="1" x14ac:dyDescent="0.3">
      <c r="A230" s="3" t="s">
        <v>839</v>
      </c>
      <c r="B230" s="2" t="s">
        <v>49</v>
      </c>
      <c r="C230" s="21">
        <v>6</v>
      </c>
      <c r="D230" s="23">
        <v>1100</v>
      </c>
      <c r="E230" s="23"/>
      <c r="F230" s="28"/>
      <c r="G230" s="3" t="s">
        <v>840</v>
      </c>
      <c r="H230" s="6"/>
      <c r="I230" s="6"/>
      <c r="J230" s="6">
        <v>30</v>
      </c>
      <c r="K230" s="21"/>
      <c r="L230" s="21" t="s">
        <v>815</v>
      </c>
      <c r="M230" s="6" t="s">
        <v>119</v>
      </c>
      <c r="N230" s="6"/>
      <c r="O230" s="6" t="s">
        <v>793</v>
      </c>
      <c r="P230" s="6"/>
      <c r="Q230" s="27"/>
      <c r="R230" s="28" t="s">
        <v>692</v>
      </c>
      <c r="S230" s="6"/>
      <c r="T230" s="1">
        <v>0.55078399999999994</v>
      </c>
      <c r="U230" s="1">
        <v>0.819882</v>
      </c>
      <c r="V230" s="1">
        <v>1.8877350000000002</v>
      </c>
      <c r="W230" s="1">
        <v>1.8323929999999999</v>
      </c>
      <c r="X230" s="1">
        <v>1.4162059999999999</v>
      </c>
      <c r="Y230" s="1">
        <f>AVERAGE(U230:X230)</f>
        <v>1.4890539999999999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hidden="1" x14ac:dyDescent="0.3">
      <c r="A231" s="22" t="s">
        <v>1269</v>
      </c>
      <c r="B231" s="2"/>
      <c r="C231" s="21">
        <v>2</v>
      </c>
      <c r="D231" s="23"/>
      <c r="E231" s="23"/>
      <c r="F231" s="23"/>
      <c r="G231" s="3" t="s">
        <v>1270</v>
      </c>
      <c r="H231" s="4"/>
      <c r="I231" s="6"/>
      <c r="J231" s="4"/>
      <c r="K231" s="5"/>
      <c r="L231" s="5" t="s">
        <v>1266</v>
      </c>
      <c r="M231" s="4"/>
      <c r="N231" s="4"/>
      <c r="O231" s="4"/>
      <c r="P231" s="4"/>
      <c r="Q231" s="24"/>
      <c r="R231" s="27" t="s">
        <v>146</v>
      </c>
      <c r="S231" s="6"/>
      <c r="T231" s="1">
        <v>0.59289599999999998</v>
      </c>
      <c r="U231" s="1">
        <v>1.48224</v>
      </c>
      <c r="V231" s="1">
        <v>1.4081279999999998</v>
      </c>
      <c r="W231" s="1">
        <v>1.48224</v>
      </c>
      <c r="X231" s="1">
        <v>1.48224</v>
      </c>
      <c r="Y231" s="1">
        <f>AVERAGE(U231:X231)</f>
        <v>1.4637119999999999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hidden="1" x14ac:dyDescent="0.3">
      <c r="A232" s="22" t="s">
        <v>812</v>
      </c>
      <c r="B232" s="2"/>
      <c r="C232" s="21">
        <v>3.5</v>
      </c>
      <c r="D232" s="23"/>
      <c r="E232" s="23"/>
      <c r="F232" s="23"/>
      <c r="G232" s="3" t="s">
        <v>1271</v>
      </c>
      <c r="H232" s="4"/>
      <c r="I232" s="6"/>
      <c r="J232" s="4"/>
      <c r="K232" s="5"/>
      <c r="L232" s="5" t="s">
        <v>1266</v>
      </c>
      <c r="M232" s="4"/>
      <c r="N232" s="4"/>
      <c r="O232" s="4"/>
      <c r="P232" s="4"/>
      <c r="Q232" s="24"/>
      <c r="R232" s="27" t="s">
        <v>146</v>
      </c>
      <c r="S232" s="4"/>
      <c r="T232" s="1">
        <v>0.90434210000000015</v>
      </c>
      <c r="U232" s="1">
        <v>1.3407232</v>
      </c>
      <c r="V232" s="1">
        <v>1.7243406999999997</v>
      </c>
      <c r="W232" s="1">
        <v>1.5042120999999997</v>
      </c>
      <c r="X232" s="1">
        <v>1.2473953999999996</v>
      </c>
      <c r="Y232" s="1">
        <f>AVERAGE(U232:X232)</f>
        <v>1.4541678499999997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hidden="1" x14ac:dyDescent="0.3">
      <c r="A233" s="3" t="s">
        <v>841</v>
      </c>
      <c r="B233" s="2" t="s">
        <v>49</v>
      </c>
      <c r="C233" s="21">
        <v>9.5</v>
      </c>
      <c r="D233" s="23">
        <v>1200</v>
      </c>
      <c r="E233" s="23"/>
      <c r="F233" s="28"/>
      <c r="G233" s="3" t="s">
        <v>774</v>
      </c>
      <c r="H233" s="4"/>
      <c r="I233" s="4" t="s">
        <v>687</v>
      </c>
      <c r="J233" s="4">
        <v>59</v>
      </c>
      <c r="K233" s="5"/>
      <c r="L233" s="5" t="s">
        <v>815</v>
      </c>
      <c r="M233" s="4" t="s">
        <v>842</v>
      </c>
      <c r="N233" s="4"/>
      <c r="O233" s="4" t="s">
        <v>793</v>
      </c>
      <c r="P233" s="4"/>
      <c r="Q233" s="24"/>
      <c r="R233" s="25" t="s">
        <v>692</v>
      </c>
      <c r="S233" s="4" t="s">
        <v>55</v>
      </c>
      <c r="T233" s="1">
        <v>0.19603999999999996</v>
      </c>
      <c r="U233" s="1">
        <v>0.60305099999999989</v>
      </c>
      <c r="V233" s="1">
        <v>2.1315740000000005</v>
      </c>
      <c r="W233" s="1">
        <v>1.2734700000000001</v>
      </c>
      <c r="X233" s="1">
        <v>1.499622</v>
      </c>
      <c r="Y233" s="1">
        <f>AVERAGE(U233:X233)</f>
        <v>1.3769292500000003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hidden="1" x14ac:dyDescent="0.3">
      <c r="A234" s="19" t="s">
        <v>1203</v>
      </c>
      <c r="B234" s="21" t="s">
        <v>40</v>
      </c>
      <c r="C234" s="21">
        <v>1</v>
      </c>
      <c r="D234" s="23">
        <v>1150</v>
      </c>
      <c r="E234" s="23"/>
      <c r="F234" s="23"/>
      <c r="G234" s="20" t="s">
        <v>1204</v>
      </c>
      <c r="H234" s="6"/>
      <c r="I234" s="6" t="s">
        <v>1084</v>
      </c>
      <c r="J234" s="6">
        <v>69</v>
      </c>
      <c r="K234" s="21">
        <v>26</v>
      </c>
      <c r="L234" s="21" t="s">
        <v>703</v>
      </c>
      <c r="M234" s="6" t="s">
        <v>164</v>
      </c>
      <c r="N234" s="6" t="s">
        <v>1150</v>
      </c>
      <c r="O234" s="6"/>
      <c r="P234" s="6"/>
      <c r="Q234" s="27"/>
      <c r="R234" s="28" t="s">
        <v>108</v>
      </c>
      <c r="S234" s="6" t="s">
        <v>71</v>
      </c>
      <c r="T234" s="1">
        <v>1.0968</v>
      </c>
      <c r="U234" s="1">
        <v>1.0968</v>
      </c>
      <c r="V234" s="1">
        <v>1.0972570000000001</v>
      </c>
      <c r="W234" s="1">
        <v>1.6456570000000001</v>
      </c>
      <c r="X234" s="1">
        <v>1.6456570000000001</v>
      </c>
      <c r="Y234" s="1">
        <f>AVERAGE(U234:X234)</f>
        <v>1.3713427499999999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hidden="1" x14ac:dyDescent="0.3">
      <c r="A235" s="22" t="s">
        <v>843</v>
      </c>
      <c r="B235" s="2" t="s">
        <v>49</v>
      </c>
      <c r="C235" s="21">
        <v>12.5</v>
      </c>
      <c r="D235" s="23" t="s">
        <v>829</v>
      </c>
      <c r="E235" s="23"/>
      <c r="F235" s="28"/>
      <c r="G235" s="3" t="s">
        <v>844</v>
      </c>
      <c r="H235" s="6"/>
      <c r="I235" s="6"/>
      <c r="J235" s="6">
        <v>30</v>
      </c>
      <c r="K235" s="21"/>
      <c r="L235" s="21" t="s">
        <v>815</v>
      </c>
      <c r="M235" s="6" t="s">
        <v>119</v>
      </c>
      <c r="N235" s="6"/>
      <c r="O235" s="6" t="s">
        <v>793</v>
      </c>
      <c r="P235" s="6"/>
      <c r="Q235" s="27"/>
      <c r="R235" s="28" t="s">
        <v>692</v>
      </c>
      <c r="S235" s="6"/>
      <c r="T235" s="1">
        <v>0.26402399999999998</v>
      </c>
      <c r="U235" s="1">
        <v>1.7601599999999999</v>
      </c>
      <c r="V235" s="1">
        <v>1.584144</v>
      </c>
      <c r="W235" s="1">
        <v>1.144104</v>
      </c>
      <c r="X235" s="1">
        <v>0.96808799999999995</v>
      </c>
      <c r="Y235" s="1">
        <f>AVERAGE(U235:X235)</f>
        <v>1.3641239999999999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hidden="1" x14ac:dyDescent="0.3">
      <c r="A236" s="22" t="s">
        <v>845</v>
      </c>
      <c r="B236" s="2" t="s">
        <v>49</v>
      </c>
      <c r="C236" s="21">
        <v>3</v>
      </c>
      <c r="D236" s="23">
        <v>1200</v>
      </c>
      <c r="E236" s="23"/>
      <c r="F236" s="28"/>
      <c r="G236" s="3" t="s">
        <v>846</v>
      </c>
      <c r="H236" s="6"/>
      <c r="I236" s="6"/>
      <c r="J236" s="6">
        <v>30</v>
      </c>
      <c r="K236" s="21"/>
      <c r="L236" s="21" t="s">
        <v>815</v>
      </c>
      <c r="M236" s="6" t="s">
        <v>297</v>
      </c>
      <c r="N236" s="6"/>
      <c r="O236" s="6" t="s">
        <v>793</v>
      </c>
      <c r="P236" s="6"/>
      <c r="Q236" s="27"/>
      <c r="R236" s="28" t="s">
        <v>692</v>
      </c>
      <c r="S236" s="6"/>
      <c r="T236" s="1">
        <v>0.62863999999999998</v>
      </c>
      <c r="U236" s="1">
        <v>1.034656</v>
      </c>
      <c r="V236" s="1">
        <v>1.496864</v>
      </c>
      <c r="W236" s="1">
        <v>1.3650039999999999</v>
      </c>
      <c r="X236" s="1">
        <v>1.4459579999999999</v>
      </c>
      <c r="Y236" s="1">
        <f>AVERAGE(U236:X236)</f>
        <v>1.3356204999999999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hidden="1" x14ac:dyDescent="0.3">
      <c r="A237" s="3" t="s">
        <v>847</v>
      </c>
      <c r="B237" s="2" t="s">
        <v>49</v>
      </c>
      <c r="C237" s="21">
        <v>4</v>
      </c>
      <c r="D237" s="23">
        <v>1350</v>
      </c>
      <c r="E237" s="23"/>
      <c r="F237" s="28"/>
      <c r="G237" s="3" t="s">
        <v>804</v>
      </c>
      <c r="H237" s="4"/>
      <c r="I237" s="6" t="s">
        <v>687</v>
      </c>
      <c r="J237" s="4">
        <v>59</v>
      </c>
      <c r="K237" s="5">
        <v>26</v>
      </c>
      <c r="L237" s="5" t="s">
        <v>815</v>
      </c>
      <c r="M237" s="4" t="s">
        <v>817</v>
      </c>
      <c r="N237" s="4"/>
      <c r="O237" s="4" t="s">
        <v>793</v>
      </c>
      <c r="P237" s="4"/>
      <c r="Q237" s="24"/>
      <c r="R237" s="25" t="s">
        <v>692</v>
      </c>
      <c r="S237" s="6" t="s">
        <v>55</v>
      </c>
      <c r="T237" s="1">
        <v>0.513625</v>
      </c>
      <c r="U237" s="1">
        <v>0.69265999999999994</v>
      </c>
      <c r="V237" s="1">
        <v>1.27806</v>
      </c>
      <c r="W237" s="1">
        <v>2.3162089999999997</v>
      </c>
      <c r="X237" s="1">
        <v>0.94598000000000004</v>
      </c>
      <c r="Y237" s="1">
        <f>AVERAGE(U237:X237)</f>
        <v>1.3082272499999998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hidden="1" x14ac:dyDescent="0.3">
      <c r="A238" s="22" t="s">
        <v>848</v>
      </c>
      <c r="B238" s="2" t="s">
        <v>49</v>
      </c>
      <c r="C238" s="21">
        <v>3</v>
      </c>
      <c r="D238" s="23">
        <v>1150</v>
      </c>
      <c r="E238" s="23"/>
      <c r="F238" s="28"/>
      <c r="G238" s="3" t="s">
        <v>849</v>
      </c>
      <c r="H238" s="4"/>
      <c r="I238" s="4"/>
      <c r="J238" s="4">
        <v>30</v>
      </c>
      <c r="K238" s="5"/>
      <c r="L238" s="5" t="s">
        <v>815</v>
      </c>
      <c r="M238" s="4" t="s">
        <v>297</v>
      </c>
      <c r="N238" s="4"/>
      <c r="O238" s="4" t="s">
        <v>793</v>
      </c>
      <c r="P238" s="4"/>
      <c r="Q238" s="24"/>
      <c r="R238" s="25" t="s">
        <v>692</v>
      </c>
      <c r="S238" s="4"/>
      <c r="T238" s="1">
        <v>1.1233599999999999</v>
      </c>
      <c r="U238" s="1">
        <v>0.99497599999999986</v>
      </c>
      <c r="V238" s="1">
        <v>1.476416</v>
      </c>
      <c r="W238" s="1">
        <v>1.3480319999999999</v>
      </c>
      <c r="X238" s="1">
        <v>1.4122239999999999</v>
      </c>
      <c r="Y238" s="1">
        <f>AVERAGE(U238:X238)</f>
        <v>1.307912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hidden="1" x14ac:dyDescent="0.3">
      <c r="A239" s="3" t="s">
        <v>591</v>
      </c>
      <c r="B239" s="2" t="s">
        <v>49</v>
      </c>
      <c r="C239" s="21">
        <v>3</v>
      </c>
      <c r="D239" s="23">
        <v>1200</v>
      </c>
      <c r="E239" s="23"/>
      <c r="F239" s="28"/>
      <c r="G239" s="3" t="s">
        <v>774</v>
      </c>
      <c r="H239" s="4"/>
      <c r="I239" s="6" t="s">
        <v>687</v>
      </c>
      <c r="J239" s="4">
        <v>59</v>
      </c>
      <c r="K239" s="5"/>
      <c r="L239" s="5" t="s">
        <v>194</v>
      </c>
      <c r="M239" s="4" t="s">
        <v>94</v>
      </c>
      <c r="N239" s="4"/>
      <c r="O239" s="4" t="s">
        <v>793</v>
      </c>
      <c r="P239" s="4"/>
      <c r="Q239" s="24"/>
      <c r="R239" s="25" t="s">
        <v>692</v>
      </c>
      <c r="S239" s="4" t="s">
        <v>55</v>
      </c>
      <c r="T239" s="1">
        <v>0.44255</v>
      </c>
      <c r="U239" s="1">
        <v>1.3843840000000001</v>
      </c>
      <c r="V239" s="1">
        <v>1.132538</v>
      </c>
      <c r="W239" s="1">
        <v>1.5112719999999999</v>
      </c>
      <c r="X239" s="1">
        <v>1.1362319999999999</v>
      </c>
      <c r="Y239" s="1">
        <f>AVERAGE(U239:X239)</f>
        <v>1.2911064999999999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hidden="1" x14ac:dyDescent="0.3">
      <c r="A240" s="22" t="s">
        <v>1272</v>
      </c>
      <c r="B240" s="2"/>
      <c r="C240" s="21">
        <v>6</v>
      </c>
      <c r="D240" s="23"/>
      <c r="E240" s="23"/>
      <c r="F240" s="23"/>
      <c r="G240" s="3" t="s">
        <v>1262</v>
      </c>
      <c r="H240" s="6"/>
      <c r="I240" s="6"/>
      <c r="J240" s="6"/>
      <c r="K240" s="21"/>
      <c r="L240" s="21" t="s">
        <v>1259</v>
      </c>
      <c r="M240" s="6"/>
      <c r="N240" s="6"/>
      <c r="O240" s="6"/>
      <c r="P240" s="6"/>
      <c r="Q240" s="27"/>
      <c r="R240" s="27" t="s">
        <v>146</v>
      </c>
      <c r="S240" s="6"/>
      <c r="T240" s="1">
        <v>1.6345641999999998</v>
      </c>
      <c r="U240" s="1">
        <v>1.2439024000000001</v>
      </c>
      <c r="V240" s="1">
        <v>1.2999311999999998</v>
      </c>
      <c r="W240" s="1">
        <v>1.2139760000000002</v>
      </c>
      <c r="X240" s="1">
        <v>1.3065542000000001</v>
      </c>
      <c r="Y240" s="1">
        <f>AVERAGE(U240:X240)</f>
        <v>1.2660909500000002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hidden="1" x14ac:dyDescent="0.3">
      <c r="A241" s="19" t="s">
        <v>1205</v>
      </c>
      <c r="B241" s="21" t="s">
        <v>40</v>
      </c>
      <c r="C241" s="21">
        <v>0.8</v>
      </c>
      <c r="D241" s="23">
        <v>337</v>
      </c>
      <c r="E241" s="23"/>
      <c r="F241" s="23" t="s">
        <v>82</v>
      </c>
      <c r="G241" s="20" t="s">
        <v>1206</v>
      </c>
      <c r="H241" s="6"/>
      <c r="I241" s="6" t="s">
        <v>1084</v>
      </c>
      <c r="J241" s="6">
        <v>60</v>
      </c>
      <c r="K241" s="21"/>
      <c r="L241" s="21" t="s">
        <v>785</v>
      </c>
      <c r="M241" s="6" t="s">
        <v>195</v>
      </c>
      <c r="N241" s="6">
        <v>246</v>
      </c>
      <c r="O241" s="6"/>
      <c r="P241" s="6"/>
      <c r="Q241" s="27"/>
      <c r="R241" s="28" t="s">
        <v>108</v>
      </c>
      <c r="S241" s="6"/>
      <c r="T241" s="1">
        <v>1.575</v>
      </c>
      <c r="U241" s="1">
        <v>1.26</v>
      </c>
      <c r="V241" s="1">
        <v>1.26</v>
      </c>
      <c r="W241" s="1">
        <v>1.26</v>
      </c>
      <c r="X241" s="1">
        <v>1.26</v>
      </c>
      <c r="Y241" s="1">
        <f>AVERAGE(U241:X241)</f>
        <v>1.26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hidden="1" x14ac:dyDescent="0.3">
      <c r="A242" s="22" t="s">
        <v>228</v>
      </c>
      <c r="B242" s="2"/>
      <c r="C242" s="21">
        <v>3</v>
      </c>
      <c r="D242" s="23"/>
      <c r="E242" s="23"/>
      <c r="F242" s="23" t="s">
        <v>230</v>
      </c>
      <c r="G242" s="3" t="s">
        <v>1273</v>
      </c>
      <c r="H242" s="6"/>
      <c r="I242" s="6"/>
      <c r="J242" s="6"/>
      <c r="K242" s="21"/>
      <c r="L242" s="21" t="s">
        <v>1266</v>
      </c>
      <c r="M242" s="6"/>
      <c r="N242" s="6"/>
      <c r="O242" s="6"/>
      <c r="P242" s="6"/>
      <c r="Q242" s="27"/>
      <c r="R242" s="27" t="s">
        <v>146</v>
      </c>
      <c r="S242" s="6"/>
      <c r="T242" s="1">
        <v>0.50531334917030568</v>
      </c>
      <c r="U242" s="1">
        <v>1.254295294323144</v>
      </c>
      <c r="V242" s="1">
        <v>1.1903221986026198</v>
      </c>
      <c r="W242" s="1">
        <v>1.2532167248908295</v>
      </c>
      <c r="X242" s="1">
        <v>1.2524976786026201</v>
      </c>
      <c r="Y242" s="1">
        <f>AVERAGE(U242:X242)</f>
        <v>1.2375829741048034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hidden="1" x14ac:dyDescent="0.3">
      <c r="A243" s="32" t="s">
        <v>1207</v>
      </c>
      <c r="B243" s="21" t="s">
        <v>68</v>
      </c>
      <c r="C243" s="21">
        <v>1</v>
      </c>
      <c r="D243" s="23">
        <v>1150</v>
      </c>
      <c r="E243" s="23"/>
      <c r="F243" s="23"/>
      <c r="G243" s="20" t="s">
        <v>1208</v>
      </c>
      <c r="H243" s="6"/>
      <c r="I243" s="6"/>
      <c r="J243" s="6">
        <v>60</v>
      </c>
      <c r="K243" s="21">
        <v>18</v>
      </c>
      <c r="L243" s="21" t="s">
        <v>703</v>
      </c>
      <c r="M243" s="6" t="s">
        <v>164</v>
      </c>
      <c r="N243" s="6" t="s">
        <v>1129</v>
      </c>
      <c r="O243" s="6"/>
      <c r="P243" s="6"/>
      <c r="Q243" s="27"/>
      <c r="R243" s="28" t="s">
        <v>108</v>
      </c>
      <c r="S243" s="6" t="s">
        <v>71</v>
      </c>
      <c r="T243" s="1">
        <v>0.82367999999999997</v>
      </c>
      <c r="U243" s="1">
        <v>1.1119680000000001</v>
      </c>
      <c r="V243" s="1">
        <v>1.4002559999999999</v>
      </c>
      <c r="W243" s="1">
        <v>1.070784</v>
      </c>
      <c r="X243" s="1">
        <v>1.23552</v>
      </c>
      <c r="Y243" s="1">
        <f>AVERAGE(U243:X243)</f>
        <v>1.2046319999999999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hidden="1" x14ac:dyDescent="0.3">
      <c r="A244" s="3" t="s">
        <v>850</v>
      </c>
      <c r="B244" s="2" t="s">
        <v>49</v>
      </c>
      <c r="C244" s="21">
        <v>8</v>
      </c>
      <c r="D244" s="23">
        <v>1200</v>
      </c>
      <c r="E244" s="23"/>
      <c r="F244" s="28"/>
      <c r="G244" s="3" t="s">
        <v>748</v>
      </c>
      <c r="H244" s="4"/>
      <c r="I244" s="4" t="s">
        <v>687</v>
      </c>
      <c r="J244" s="4">
        <v>59</v>
      </c>
      <c r="K244" s="5"/>
      <c r="L244" s="5" t="s">
        <v>194</v>
      </c>
      <c r="M244" s="4" t="s">
        <v>94</v>
      </c>
      <c r="N244" s="4"/>
      <c r="O244" s="4" t="s">
        <v>793</v>
      </c>
      <c r="P244" s="4"/>
      <c r="Q244" s="24"/>
      <c r="R244" s="25" t="s">
        <v>692</v>
      </c>
      <c r="S244" s="4" t="s">
        <v>55</v>
      </c>
      <c r="T244" s="1">
        <v>0.58589000000000002</v>
      </c>
      <c r="U244" s="1">
        <v>0.67281999999999997</v>
      </c>
      <c r="V244" s="1">
        <v>1.47096</v>
      </c>
      <c r="W244" s="1">
        <v>1.251674</v>
      </c>
      <c r="X244" s="1">
        <v>1.3259580000000002</v>
      </c>
      <c r="Y244" s="1">
        <f>AVERAGE(U244:X244)</f>
        <v>1.180353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22" t="s">
        <v>315</v>
      </c>
      <c r="B245" s="2" t="s">
        <v>158</v>
      </c>
      <c r="C245" s="21">
        <v>1.5</v>
      </c>
      <c r="D245" s="23">
        <v>698</v>
      </c>
      <c r="E245" s="23" t="s">
        <v>41</v>
      </c>
      <c r="F245" s="23"/>
      <c r="G245" s="3" t="s">
        <v>316</v>
      </c>
      <c r="H245" s="10" t="s">
        <v>41</v>
      </c>
      <c r="I245" s="10"/>
      <c r="J245" s="6"/>
      <c r="K245" s="21"/>
      <c r="L245" s="21" t="s">
        <v>301</v>
      </c>
      <c r="M245" s="6" t="s">
        <v>80</v>
      </c>
      <c r="N245" s="6" t="s">
        <v>317</v>
      </c>
      <c r="O245" s="12" t="s">
        <v>793</v>
      </c>
      <c r="P245" s="10" t="s">
        <v>47</v>
      </c>
      <c r="Q245" s="29" t="s">
        <v>47</v>
      </c>
      <c r="R245" s="27" t="s">
        <v>47</v>
      </c>
      <c r="S245" s="10" t="s">
        <v>47</v>
      </c>
      <c r="T245" s="13">
        <v>1.05728</v>
      </c>
      <c r="U245" s="13">
        <v>1.3593599999999999</v>
      </c>
      <c r="V245" s="13">
        <v>1.4348799999999999</v>
      </c>
      <c r="W245" s="13">
        <v>0.83072000000000001</v>
      </c>
      <c r="X245" s="13">
        <v>1.05728</v>
      </c>
      <c r="Y245" s="1">
        <f>AVERAGE(U245:X245)</f>
        <v>1.17056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hidden="1" x14ac:dyDescent="0.3">
      <c r="A246" s="22" t="s">
        <v>851</v>
      </c>
      <c r="B246" s="2" t="s">
        <v>49</v>
      </c>
      <c r="C246" s="21">
        <v>3</v>
      </c>
      <c r="D246" s="23" t="s">
        <v>829</v>
      </c>
      <c r="E246" s="23"/>
      <c r="F246" s="28"/>
      <c r="G246" s="3" t="s">
        <v>852</v>
      </c>
      <c r="H246" s="4"/>
      <c r="I246" s="6"/>
      <c r="J246" s="4">
        <v>30</v>
      </c>
      <c r="K246" s="5"/>
      <c r="L246" s="5" t="s">
        <v>815</v>
      </c>
      <c r="M246" s="4" t="s">
        <v>119</v>
      </c>
      <c r="N246" s="4"/>
      <c r="O246" s="4" t="s">
        <v>793</v>
      </c>
      <c r="P246" s="4"/>
      <c r="Q246" s="24"/>
      <c r="R246" s="25" t="s">
        <v>692</v>
      </c>
      <c r="S246" s="6"/>
      <c r="T246" s="1">
        <v>4.6122999999999997E-2</v>
      </c>
      <c r="U246" s="1">
        <v>0.25590000000000002</v>
      </c>
      <c r="V246" s="1">
        <v>1.9593179999999999</v>
      </c>
      <c r="W246" s="1">
        <v>1.540708</v>
      </c>
      <c r="X246" s="1">
        <v>0.81938999999999995</v>
      </c>
      <c r="Y246" s="1">
        <f>AVERAGE(U246:X246)</f>
        <v>1.143829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hidden="1" x14ac:dyDescent="0.3">
      <c r="A247" s="22" t="s">
        <v>591</v>
      </c>
      <c r="B247" s="2"/>
      <c r="C247" s="21">
        <v>3</v>
      </c>
      <c r="D247" s="23"/>
      <c r="E247" s="23"/>
      <c r="F247" s="23"/>
      <c r="G247" s="3" t="s">
        <v>1262</v>
      </c>
      <c r="H247" s="4"/>
      <c r="I247" s="6"/>
      <c r="J247" s="4"/>
      <c r="K247" s="5"/>
      <c r="L247" s="5" t="s">
        <v>1266</v>
      </c>
      <c r="M247" s="4"/>
      <c r="N247" s="4"/>
      <c r="O247" s="4"/>
      <c r="P247" s="4"/>
      <c r="Q247" s="24"/>
      <c r="R247" s="27" t="s">
        <v>146</v>
      </c>
      <c r="S247" s="6"/>
      <c r="T247" s="1">
        <v>1.707203796226415</v>
      </c>
      <c r="U247" s="1">
        <v>0.75378366415094356</v>
      </c>
      <c r="V247" s="1">
        <v>1.3311301320754716</v>
      </c>
      <c r="W247" s="1">
        <v>0.88613329622641523</v>
      </c>
      <c r="X247" s="1">
        <v>1.590448296226415</v>
      </c>
      <c r="Y247" s="1">
        <f>AVERAGE(U247:X247)</f>
        <v>1.1403738471698115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hidden="1" x14ac:dyDescent="0.3">
      <c r="A248" s="3" t="s">
        <v>853</v>
      </c>
      <c r="B248" s="2" t="s">
        <v>49</v>
      </c>
      <c r="C248" s="21">
        <v>6</v>
      </c>
      <c r="D248" s="23" t="s">
        <v>829</v>
      </c>
      <c r="E248" s="23"/>
      <c r="F248" s="28"/>
      <c r="G248" s="3" t="s">
        <v>854</v>
      </c>
      <c r="H248" s="4"/>
      <c r="I248" s="6"/>
      <c r="J248" s="4">
        <v>30</v>
      </c>
      <c r="K248" s="5"/>
      <c r="L248" s="5" t="s">
        <v>815</v>
      </c>
      <c r="M248" s="4" t="s">
        <v>119</v>
      </c>
      <c r="N248" s="4"/>
      <c r="O248" s="4" t="s">
        <v>793</v>
      </c>
      <c r="P248" s="4"/>
      <c r="Q248" s="24"/>
      <c r="R248" s="25" t="s">
        <v>692</v>
      </c>
      <c r="S248" s="6"/>
      <c r="T248" s="1">
        <v>0.51615199999999994</v>
      </c>
      <c r="U248" s="1">
        <v>0.97841999999999996</v>
      </c>
      <c r="V248" s="1">
        <v>1.2194800000000001</v>
      </c>
      <c r="W248" s="1">
        <v>1.1485799999999999</v>
      </c>
      <c r="X248" s="1">
        <v>1.1343999999999999</v>
      </c>
      <c r="Y248" s="1">
        <f>AVERAGE(U248:X248)</f>
        <v>1.12022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hidden="1" x14ac:dyDescent="0.3">
      <c r="A249" s="22" t="s">
        <v>855</v>
      </c>
      <c r="B249" s="2" t="s">
        <v>770</v>
      </c>
      <c r="C249" s="21">
        <v>1.5</v>
      </c>
      <c r="D249" s="23">
        <v>1030</v>
      </c>
      <c r="E249" s="23"/>
      <c r="F249" s="28"/>
      <c r="G249" s="3" t="s">
        <v>832</v>
      </c>
      <c r="H249" s="6"/>
      <c r="I249" s="6" t="s">
        <v>702</v>
      </c>
      <c r="J249" s="6">
        <v>69</v>
      </c>
      <c r="K249" s="21">
        <v>19</v>
      </c>
      <c r="L249" s="21" t="s">
        <v>194</v>
      </c>
      <c r="M249" s="6" t="s">
        <v>787</v>
      </c>
      <c r="N249" s="6" t="s">
        <v>833</v>
      </c>
      <c r="O249" s="6" t="s">
        <v>793</v>
      </c>
      <c r="P249" s="6"/>
      <c r="Q249" s="27"/>
      <c r="R249" s="28" t="s">
        <v>692</v>
      </c>
      <c r="S249" s="6" t="s">
        <v>55</v>
      </c>
      <c r="T249" s="1">
        <v>0.53820800000000002</v>
      </c>
      <c r="U249" s="1">
        <v>1.0430999999999999</v>
      </c>
      <c r="V249" s="1">
        <v>1.0430999999999999</v>
      </c>
      <c r="W249" s="1">
        <v>1.1348399999999998</v>
      </c>
      <c r="X249" s="1">
        <v>1.22658</v>
      </c>
      <c r="Y249" s="1">
        <f>AVERAGE(U249:X249)</f>
        <v>1.1119049999999999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hidden="1" x14ac:dyDescent="0.3">
      <c r="A250" s="19" t="s">
        <v>1209</v>
      </c>
      <c r="B250" s="21" t="s">
        <v>68</v>
      </c>
      <c r="C250" s="21">
        <v>0.65</v>
      </c>
      <c r="D250" s="23">
        <v>1150</v>
      </c>
      <c r="E250" s="23"/>
      <c r="F250" s="23" t="s">
        <v>82</v>
      </c>
      <c r="G250" s="20" t="s">
        <v>1210</v>
      </c>
      <c r="H250" s="6"/>
      <c r="I250" s="6" t="s">
        <v>1084</v>
      </c>
      <c r="J250" s="6">
        <v>69</v>
      </c>
      <c r="K250" s="21">
        <v>1</v>
      </c>
      <c r="L250" s="21" t="s">
        <v>1073</v>
      </c>
      <c r="M250" s="6" t="s">
        <v>195</v>
      </c>
      <c r="N250" s="6" t="s">
        <v>160</v>
      </c>
      <c r="O250" s="6">
        <v>20</v>
      </c>
      <c r="P250" s="6"/>
      <c r="Q250" s="27"/>
      <c r="R250" s="28" t="s">
        <v>108</v>
      </c>
      <c r="S250" s="6"/>
      <c r="T250" s="1">
        <v>1.0540799999999999</v>
      </c>
      <c r="U250" s="1">
        <v>1.1232</v>
      </c>
      <c r="V250" s="1">
        <v>1.1865599999999998</v>
      </c>
      <c r="W250" s="1">
        <v>0.84671999999999992</v>
      </c>
      <c r="X250" s="1">
        <v>1.2787200000000001</v>
      </c>
      <c r="Y250" s="1">
        <f>AVERAGE(U250:X250)</f>
        <v>1.1088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hidden="1" x14ac:dyDescent="0.3">
      <c r="A251" s="22" t="s">
        <v>1274</v>
      </c>
      <c r="B251" s="2"/>
      <c r="C251" s="21">
        <v>25</v>
      </c>
      <c r="D251" s="23"/>
      <c r="E251" s="23"/>
      <c r="F251" s="23"/>
      <c r="G251" s="3" t="s">
        <v>1251</v>
      </c>
      <c r="H251" s="6"/>
      <c r="I251" s="6"/>
      <c r="J251" s="6"/>
      <c r="K251" s="21"/>
      <c r="L251" s="21" t="s">
        <v>1266</v>
      </c>
      <c r="M251" s="6"/>
      <c r="N251" s="6"/>
      <c r="O251" s="6"/>
      <c r="P251" s="6"/>
      <c r="Q251" s="27"/>
      <c r="R251" s="27" t="s">
        <v>146</v>
      </c>
      <c r="S251" s="6"/>
      <c r="T251" s="1">
        <v>1.0921881777777778</v>
      </c>
      <c r="U251" s="1">
        <v>0.67061426666666668</v>
      </c>
      <c r="V251" s="1">
        <v>0.72876306666666668</v>
      </c>
      <c r="W251" s="1">
        <v>1.3901978444444445</v>
      </c>
      <c r="X251" s="1">
        <v>1.5738198222222222</v>
      </c>
      <c r="Y251" s="1">
        <f>AVERAGE(U251:X251)</f>
        <v>1.0908487499999999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hidden="1" x14ac:dyDescent="0.3">
      <c r="A252" s="22" t="s">
        <v>1275</v>
      </c>
      <c r="B252" s="2"/>
      <c r="C252" s="21">
        <v>6.3</v>
      </c>
      <c r="D252" s="23"/>
      <c r="E252" s="23"/>
      <c r="F252" s="23"/>
      <c r="G252" s="3" t="s">
        <v>1262</v>
      </c>
      <c r="H252" s="6"/>
      <c r="I252" s="6"/>
      <c r="J252" s="6"/>
      <c r="K252" s="21"/>
      <c r="L252" s="21" t="s">
        <v>1259</v>
      </c>
      <c r="M252" s="6"/>
      <c r="N252" s="6"/>
      <c r="O252" s="6"/>
      <c r="P252" s="6"/>
      <c r="Q252" s="27"/>
      <c r="R252" s="27" t="s">
        <v>146</v>
      </c>
      <c r="S252" s="6"/>
      <c r="T252" s="1">
        <v>1.1807105508826636</v>
      </c>
      <c r="U252" s="1">
        <v>0.84061211410412262</v>
      </c>
      <c r="V252" s="1">
        <v>1.0952748630576112</v>
      </c>
      <c r="W252" s="1">
        <v>1.2223024791966173</v>
      </c>
      <c r="X252" s="1">
        <v>1.1028732411390063</v>
      </c>
      <c r="Y252" s="1">
        <f>AVERAGE(U252:X252)</f>
        <v>1.0652656743743394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hidden="1" x14ac:dyDescent="0.3">
      <c r="A253" s="3" t="s">
        <v>856</v>
      </c>
      <c r="B253" s="2" t="s">
        <v>49</v>
      </c>
      <c r="C253" s="21">
        <v>3</v>
      </c>
      <c r="D253" s="23">
        <v>1200</v>
      </c>
      <c r="E253" s="23"/>
      <c r="F253" s="28"/>
      <c r="G253" s="3" t="s">
        <v>774</v>
      </c>
      <c r="H253" s="4"/>
      <c r="I253" s="6" t="s">
        <v>687</v>
      </c>
      <c r="J253" s="4">
        <v>59</v>
      </c>
      <c r="K253" s="5"/>
      <c r="L253" s="5" t="s">
        <v>194</v>
      </c>
      <c r="M253" s="4" t="s">
        <v>94</v>
      </c>
      <c r="N253" s="4"/>
      <c r="O253" s="4" t="s">
        <v>793</v>
      </c>
      <c r="P253" s="4"/>
      <c r="Q253" s="24"/>
      <c r="R253" s="25" t="s">
        <v>692</v>
      </c>
      <c r="S253" s="4" t="s">
        <v>55</v>
      </c>
      <c r="T253" s="1">
        <v>0.19428499999999999</v>
      </c>
      <c r="U253" s="1">
        <v>0.78507000000000005</v>
      </c>
      <c r="V253" s="1">
        <v>1.177605</v>
      </c>
      <c r="W253" s="1">
        <v>1.0467599999999999</v>
      </c>
      <c r="X253" s="1">
        <v>1.2169550000000002</v>
      </c>
      <c r="Y253" s="1">
        <f>AVERAGE(U253:X253)</f>
        <v>1.0565975000000001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hidden="1" x14ac:dyDescent="0.3">
      <c r="A254" s="3" t="s">
        <v>857</v>
      </c>
      <c r="B254" s="2" t="s">
        <v>49</v>
      </c>
      <c r="C254" s="21">
        <v>4</v>
      </c>
      <c r="D254" s="23" t="s">
        <v>829</v>
      </c>
      <c r="E254" s="23"/>
      <c r="F254" s="28"/>
      <c r="G254" s="3" t="s">
        <v>852</v>
      </c>
      <c r="H254" s="4"/>
      <c r="I254" s="4"/>
      <c r="J254" s="4">
        <v>30</v>
      </c>
      <c r="K254" s="5"/>
      <c r="L254" s="5" t="s">
        <v>815</v>
      </c>
      <c r="M254" s="4" t="s">
        <v>119</v>
      </c>
      <c r="N254" s="4"/>
      <c r="O254" s="4" t="s">
        <v>793</v>
      </c>
      <c r="P254" s="4"/>
      <c r="Q254" s="24"/>
      <c r="R254" s="25" t="s">
        <v>692</v>
      </c>
      <c r="S254" s="4"/>
      <c r="T254" s="1">
        <v>0.24301600000000001</v>
      </c>
      <c r="U254" s="1">
        <v>0.679512</v>
      </c>
      <c r="V254" s="1">
        <v>1.3679539999999999</v>
      </c>
      <c r="W254" s="1">
        <v>1.1476919999999999</v>
      </c>
      <c r="X254" s="1">
        <v>0.92478199999999988</v>
      </c>
      <c r="Y254" s="1">
        <f>AVERAGE(U254:X254)</f>
        <v>1.0299849999999999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hidden="1" x14ac:dyDescent="0.3">
      <c r="A255" s="22" t="s">
        <v>318</v>
      </c>
      <c r="B255" s="2"/>
      <c r="C255" s="21">
        <v>4</v>
      </c>
      <c r="D255" s="23"/>
      <c r="E255" s="23"/>
      <c r="F255" s="23"/>
      <c r="G255" s="3" t="s">
        <v>1262</v>
      </c>
      <c r="H255" s="4"/>
      <c r="I255" s="6"/>
      <c r="J255" s="4"/>
      <c r="K255" s="5"/>
      <c r="L255" s="5" t="s">
        <v>1259</v>
      </c>
      <c r="M255" s="4"/>
      <c r="N255" s="4"/>
      <c r="O255" s="4"/>
      <c r="P255" s="4"/>
      <c r="Q255" s="24"/>
      <c r="R255" s="27" t="s">
        <v>146</v>
      </c>
      <c r="S255" s="6"/>
      <c r="T255" s="1">
        <v>1.3088395999999998</v>
      </c>
      <c r="U255" s="1">
        <v>1.1144339999999999</v>
      </c>
      <c r="V255" s="1">
        <v>1.49854</v>
      </c>
      <c r="W255" s="1">
        <v>1.4528139999999998</v>
      </c>
      <c r="X255" s="1">
        <v>0</v>
      </c>
      <c r="Y255" s="1">
        <f>AVERAGE(U255:X255)</f>
        <v>1.0164469999999999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hidden="1" x14ac:dyDescent="0.3">
      <c r="A256" s="19" t="s">
        <v>1211</v>
      </c>
      <c r="B256" s="21" t="s">
        <v>40</v>
      </c>
      <c r="C256" s="21">
        <v>1.5</v>
      </c>
      <c r="D256" s="23">
        <v>1050</v>
      </c>
      <c r="E256" s="23"/>
      <c r="F256" s="23" t="s">
        <v>1135</v>
      </c>
      <c r="G256" s="20" t="s">
        <v>1212</v>
      </c>
      <c r="H256" s="6"/>
      <c r="I256" s="6" t="s">
        <v>1084</v>
      </c>
      <c r="J256" s="6">
        <v>69</v>
      </c>
      <c r="K256" s="21">
        <v>0.5</v>
      </c>
      <c r="L256" s="21" t="s">
        <v>1073</v>
      </c>
      <c r="M256" s="6" t="s">
        <v>195</v>
      </c>
      <c r="N256" s="6" t="s">
        <v>160</v>
      </c>
      <c r="O256" s="6">
        <v>20</v>
      </c>
      <c r="P256" s="6"/>
      <c r="Q256" s="27"/>
      <c r="R256" s="28" t="s">
        <v>108</v>
      </c>
      <c r="S256" s="6"/>
      <c r="T256" s="1">
        <v>0.95568000000000008</v>
      </c>
      <c r="U256" s="1">
        <v>1.0296000000000001</v>
      </c>
      <c r="V256" s="1">
        <v>1.08768</v>
      </c>
      <c r="W256" s="1">
        <v>0.77616000000000007</v>
      </c>
      <c r="X256" s="1">
        <v>1.1721600000000001</v>
      </c>
      <c r="Y256" s="1">
        <f>AVERAGE(U256:X256)</f>
        <v>1.0164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hidden="1" x14ac:dyDescent="0.3">
      <c r="A257" s="3" t="s">
        <v>330</v>
      </c>
      <c r="B257" s="2" t="s">
        <v>49</v>
      </c>
      <c r="C257" s="21">
        <v>4</v>
      </c>
      <c r="D257" s="23" t="s">
        <v>829</v>
      </c>
      <c r="E257" s="23"/>
      <c r="F257" s="28"/>
      <c r="G257" s="3" t="s">
        <v>854</v>
      </c>
      <c r="H257" s="6"/>
      <c r="I257" s="6"/>
      <c r="J257" s="6">
        <v>30</v>
      </c>
      <c r="K257" s="21"/>
      <c r="L257" s="21" t="s">
        <v>815</v>
      </c>
      <c r="M257" s="6" t="s">
        <v>119</v>
      </c>
      <c r="N257" s="6"/>
      <c r="O257" s="6" t="s">
        <v>793</v>
      </c>
      <c r="P257" s="6"/>
      <c r="Q257" s="27"/>
      <c r="R257" s="28" t="s">
        <v>692</v>
      </c>
      <c r="S257" s="6"/>
      <c r="T257" s="1">
        <v>0.33734000000000003</v>
      </c>
      <c r="U257" s="1">
        <v>0.52724000000000004</v>
      </c>
      <c r="V257" s="1">
        <v>0.89552000000000009</v>
      </c>
      <c r="W257" s="1">
        <v>1.6804140000000003</v>
      </c>
      <c r="X257" s="1">
        <v>0.8265800000000002</v>
      </c>
      <c r="Y257" s="1">
        <f>AVERAGE(U257:X257)</f>
        <v>0.98243850000000021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hidden="1" x14ac:dyDescent="0.3">
      <c r="A258" s="22" t="s">
        <v>858</v>
      </c>
      <c r="B258" s="2" t="s">
        <v>49</v>
      </c>
      <c r="C258" s="21">
        <v>3</v>
      </c>
      <c r="D258" s="23" t="s">
        <v>859</v>
      </c>
      <c r="E258" s="23"/>
      <c r="F258" s="28"/>
      <c r="G258" s="3" t="s">
        <v>860</v>
      </c>
      <c r="H258" s="4"/>
      <c r="I258" s="6"/>
      <c r="J258" s="4">
        <v>30</v>
      </c>
      <c r="K258" s="5"/>
      <c r="L258" s="5" t="s">
        <v>815</v>
      </c>
      <c r="M258" s="4" t="s">
        <v>119</v>
      </c>
      <c r="N258" s="4"/>
      <c r="O258" s="4" t="s">
        <v>793</v>
      </c>
      <c r="P258" s="4"/>
      <c r="Q258" s="24"/>
      <c r="R258" s="25" t="s">
        <v>692</v>
      </c>
      <c r="S258" s="6"/>
      <c r="T258" s="1">
        <v>1.0863720000000001</v>
      </c>
      <c r="U258" s="1">
        <v>0.57479999999999998</v>
      </c>
      <c r="V258" s="1">
        <v>0.95799999999999996</v>
      </c>
      <c r="W258" s="1">
        <v>1.5749519999999999</v>
      </c>
      <c r="X258" s="1">
        <v>0.81621600000000005</v>
      </c>
      <c r="Y258" s="1">
        <f>AVERAGE(U258:X258)</f>
        <v>0.98099199999999986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hidden="1" x14ac:dyDescent="0.3">
      <c r="A259" s="22" t="s">
        <v>310</v>
      </c>
      <c r="B259" s="2"/>
      <c r="C259" s="21">
        <v>4.75</v>
      </c>
      <c r="D259" s="23"/>
      <c r="E259" s="23"/>
      <c r="F259" s="23"/>
      <c r="G259" s="3" t="s">
        <v>1271</v>
      </c>
      <c r="H259" s="6"/>
      <c r="I259" s="6"/>
      <c r="J259" s="6"/>
      <c r="K259" s="21"/>
      <c r="L259" s="21" t="s">
        <v>1266</v>
      </c>
      <c r="M259" s="6"/>
      <c r="N259" s="6"/>
      <c r="O259" s="6"/>
      <c r="P259" s="6"/>
      <c r="Q259" s="27"/>
      <c r="R259" s="27" t="s">
        <v>146</v>
      </c>
      <c r="S259" s="6"/>
      <c r="T259" s="1">
        <v>1.23282</v>
      </c>
      <c r="U259" s="1">
        <v>1.3697999999999999</v>
      </c>
      <c r="V259" s="1">
        <v>1.23282</v>
      </c>
      <c r="W259" s="1">
        <v>1.23282</v>
      </c>
      <c r="X259" s="1">
        <v>0</v>
      </c>
      <c r="Y259" s="1">
        <f>AVERAGE(U259:X259)</f>
        <v>0.95886000000000005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22" t="s">
        <v>318</v>
      </c>
      <c r="B260" s="2" t="s">
        <v>229</v>
      </c>
      <c r="C260" s="21">
        <v>4</v>
      </c>
      <c r="D260" s="23">
        <v>1200</v>
      </c>
      <c r="E260" s="23">
        <v>2220</v>
      </c>
      <c r="F260" s="23"/>
      <c r="G260" s="3" t="s">
        <v>319</v>
      </c>
      <c r="H260" s="10" t="s">
        <v>41</v>
      </c>
      <c r="I260" s="10"/>
      <c r="J260" s="6"/>
      <c r="K260" s="21"/>
      <c r="L260" s="21" t="s">
        <v>301</v>
      </c>
      <c r="M260" s="6" t="s">
        <v>93</v>
      </c>
      <c r="N260" s="6"/>
      <c r="O260" s="12" t="s">
        <v>793</v>
      </c>
      <c r="P260" s="10" t="s">
        <v>47</v>
      </c>
      <c r="Q260" s="29" t="s">
        <v>47</v>
      </c>
      <c r="R260" s="27" t="s">
        <v>47</v>
      </c>
      <c r="S260" s="10" t="s">
        <v>47</v>
      </c>
      <c r="T260" s="13">
        <v>0.88086000000000009</v>
      </c>
      <c r="U260" s="13">
        <v>0.79776000000000014</v>
      </c>
      <c r="V260" s="13">
        <v>1.0138199999999999</v>
      </c>
      <c r="W260" s="13">
        <v>0.96396000000000004</v>
      </c>
      <c r="X260" s="13">
        <v>0.94734000000000007</v>
      </c>
      <c r="Y260" s="1">
        <f>AVERAGE(U260:X260)</f>
        <v>0.9307200000000001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hidden="1" x14ac:dyDescent="0.3">
      <c r="A261" s="22" t="s">
        <v>861</v>
      </c>
      <c r="B261" s="2" t="s">
        <v>770</v>
      </c>
      <c r="C261" s="21">
        <v>1.5</v>
      </c>
      <c r="D261" s="23">
        <v>1200</v>
      </c>
      <c r="E261" s="23"/>
      <c r="F261" s="28"/>
      <c r="G261" s="3" t="s">
        <v>832</v>
      </c>
      <c r="H261" s="6"/>
      <c r="I261" s="6" t="s">
        <v>687</v>
      </c>
      <c r="J261" s="6">
        <v>69</v>
      </c>
      <c r="K261" s="21">
        <v>18</v>
      </c>
      <c r="L261" s="21" t="s">
        <v>194</v>
      </c>
      <c r="M261" s="6" t="s">
        <v>787</v>
      </c>
      <c r="N261" s="6" t="s">
        <v>833</v>
      </c>
      <c r="O261" s="6" t="s">
        <v>793</v>
      </c>
      <c r="P261" s="6"/>
      <c r="Q261" s="27"/>
      <c r="R261" s="28" t="s">
        <v>692</v>
      </c>
      <c r="S261" s="6" t="s">
        <v>55</v>
      </c>
      <c r="T261" s="1">
        <v>0.64631700000000003</v>
      </c>
      <c r="U261" s="1">
        <v>0.78210599999999997</v>
      </c>
      <c r="V261" s="1">
        <v>0.91246400000000005</v>
      </c>
      <c r="W261" s="1">
        <v>0.99392199999999997</v>
      </c>
      <c r="X261" s="1">
        <v>0.99392199999999997</v>
      </c>
      <c r="Y261" s="1">
        <f>AVERAGE(U261:X261)</f>
        <v>0.92060350000000002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3" t="s">
        <v>320</v>
      </c>
      <c r="B262" s="2" t="s">
        <v>40</v>
      </c>
      <c r="C262" s="21">
        <v>1</v>
      </c>
      <c r="D262" s="23">
        <v>1200</v>
      </c>
      <c r="E262" s="23" t="s">
        <v>41</v>
      </c>
      <c r="F262" s="23"/>
      <c r="G262" s="3" t="s">
        <v>321</v>
      </c>
      <c r="H262" s="10" t="s">
        <v>41</v>
      </c>
      <c r="I262" s="10"/>
      <c r="J262" s="6"/>
      <c r="K262" s="21"/>
      <c r="L262" s="21" t="s">
        <v>74</v>
      </c>
      <c r="M262" s="4" t="s">
        <v>322</v>
      </c>
      <c r="N262" s="4" t="s">
        <v>323</v>
      </c>
      <c r="O262" s="12" t="s">
        <v>793</v>
      </c>
      <c r="P262" s="10" t="s">
        <v>47</v>
      </c>
      <c r="Q262" s="29" t="s">
        <v>47</v>
      </c>
      <c r="R262" s="27" t="s">
        <v>47</v>
      </c>
      <c r="S262" s="10" t="s">
        <v>55</v>
      </c>
      <c r="T262" s="13">
        <v>0.95568000000000008</v>
      </c>
      <c r="U262" s="13">
        <v>0.7964</v>
      </c>
      <c r="V262" s="13">
        <v>0.7964</v>
      </c>
      <c r="W262" s="13">
        <v>0.95568000000000008</v>
      </c>
      <c r="X262" s="13">
        <v>0.95568000000000008</v>
      </c>
      <c r="Y262" s="1">
        <f>AVERAGE(U262:X262)</f>
        <v>0.87604000000000004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22" t="s">
        <v>324</v>
      </c>
      <c r="B263" s="2" t="s">
        <v>49</v>
      </c>
      <c r="C263" s="21">
        <v>2</v>
      </c>
      <c r="D263" s="23">
        <v>1200</v>
      </c>
      <c r="E263" s="23" t="s">
        <v>41</v>
      </c>
      <c r="F263" s="23"/>
      <c r="G263" s="3"/>
      <c r="H263" s="12" t="s">
        <v>41</v>
      </c>
      <c r="I263" s="12"/>
      <c r="J263" s="4"/>
      <c r="K263" s="5"/>
      <c r="L263" s="21" t="s">
        <v>296</v>
      </c>
      <c r="M263" s="4"/>
      <c r="N263" s="4"/>
      <c r="O263" s="12" t="s">
        <v>793</v>
      </c>
      <c r="P263" s="16" t="s">
        <v>47</v>
      </c>
      <c r="Q263" s="30" t="s">
        <v>47</v>
      </c>
      <c r="R263" s="27" t="s">
        <v>47</v>
      </c>
      <c r="S263" s="10" t="s">
        <v>47</v>
      </c>
      <c r="T263" s="13">
        <v>1.0835549999999998</v>
      </c>
      <c r="U263" s="13">
        <v>0.71639999999999993</v>
      </c>
      <c r="V263" s="13">
        <v>0.95519999999999994</v>
      </c>
      <c r="W263" s="13">
        <v>0.71639999999999993</v>
      </c>
      <c r="X263" s="13">
        <v>1.0746</v>
      </c>
      <c r="Y263" s="1">
        <f>AVERAGE(U263:X263)</f>
        <v>0.86565000000000003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22" t="s">
        <v>325</v>
      </c>
      <c r="B264" s="2" t="s">
        <v>148</v>
      </c>
      <c r="C264" s="21">
        <v>4.25</v>
      </c>
      <c r="D264" s="23">
        <v>71</v>
      </c>
      <c r="E264" s="23" t="s">
        <v>41</v>
      </c>
      <c r="F264" s="23"/>
      <c r="G264" s="3" t="s">
        <v>326</v>
      </c>
      <c r="H264" s="10">
        <v>34025387</v>
      </c>
      <c r="I264" s="10"/>
      <c r="J264" s="6"/>
      <c r="K264" s="21"/>
      <c r="L264" s="21" t="s">
        <v>64</v>
      </c>
      <c r="M264" s="6" t="s">
        <v>45</v>
      </c>
      <c r="N264" s="35" t="s">
        <v>46</v>
      </c>
      <c r="O264" s="12" t="s">
        <v>793</v>
      </c>
      <c r="P264" s="10" t="s">
        <v>47</v>
      </c>
      <c r="Q264" s="29" t="s">
        <v>47</v>
      </c>
      <c r="R264" s="27" t="s">
        <v>47</v>
      </c>
      <c r="S264" s="10" t="s">
        <v>47</v>
      </c>
      <c r="T264" s="13">
        <v>0.86548000000000003</v>
      </c>
      <c r="U264" s="13">
        <v>0.97944000000000009</v>
      </c>
      <c r="V264" s="13">
        <v>0.98560000000000014</v>
      </c>
      <c r="W264" s="13">
        <v>0.58828000000000014</v>
      </c>
      <c r="X264" s="13">
        <v>0.87626000000000004</v>
      </c>
      <c r="Y264" s="1">
        <f>AVERAGE(U264:X264)</f>
        <v>0.85739500000000013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hidden="1" x14ac:dyDescent="0.3">
      <c r="A265" s="19" t="s">
        <v>1213</v>
      </c>
      <c r="B265" s="21" t="s">
        <v>40</v>
      </c>
      <c r="C265" s="21">
        <v>0.65</v>
      </c>
      <c r="D265" s="23">
        <v>172</v>
      </c>
      <c r="E265" s="23"/>
      <c r="F265" s="23"/>
      <c r="G265" s="20" t="s">
        <v>1100</v>
      </c>
      <c r="H265" s="6"/>
      <c r="I265" s="6" t="s">
        <v>1078</v>
      </c>
      <c r="J265" s="6">
        <v>59</v>
      </c>
      <c r="K265" s="21">
        <v>1</v>
      </c>
      <c r="L265" s="21" t="s">
        <v>1073</v>
      </c>
      <c r="M265" s="6" t="s">
        <v>195</v>
      </c>
      <c r="N265" s="6" t="s">
        <v>160</v>
      </c>
      <c r="O265" s="6">
        <v>20</v>
      </c>
      <c r="P265" s="6"/>
      <c r="Q265" s="27"/>
      <c r="R265" s="28" t="s">
        <v>108</v>
      </c>
      <c r="S265" s="6"/>
      <c r="T265" s="1">
        <v>0.68</v>
      </c>
      <c r="U265" s="1">
        <v>0.95200000000000007</v>
      </c>
      <c r="V265" s="1">
        <v>0.81600000000000006</v>
      </c>
      <c r="W265" s="1">
        <v>0.68</v>
      </c>
      <c r="X265" s="1">
        <v>0.95200000000000007</v>
      </c>
      <c r="Y265" s="1">
        <f>AVERAGE(U265:X265)</f>
        <v>0.85000000000000009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hidden="1" x14ac:dyDescent="0.3">
      <c r="A266" s="22" t="s">
        <v>1059</v>
      </c>
      <c r="B266" s="2" t="s">
        <v>49</v>
      </c>
      <c r="C266" s="21">
        <v>12</v>
      </c>
      <c r="D266" s="23">
        <v>1100</v>
      </c>
      <c r="E266" s="23"/>
      <c r="F266" s="28"/>
      <c r="G266" s="3" t="s">
        <v>1003</v>
      </c>
      <c r="H266" s="4"/>
      <c r="I266" s="4"/>
      <c r="J266" s="4"/>
      <c r="K266" s="5"/>
      <c r="L266" s="5" t="s">
        <v>815</v>
      </c>
      <c r="M266" s="4" t="s">
        <v>1000</v>
      </c>
      <c r="N266" s="4"/>
      <c r="O266" s="4"/>
      <c r="P266" s="4"/>
      <c r="Q266" s="24"/>
      <c r="R266" s="25" t="s">
        <v>692</v>
      </c>
      <c r="S266" s="4"/>
      <c r="T266" s="1">
        <v>2.1799079999999997</v>
      </c>
      <c r="U266" s="1">
        <v>0</v>
      </c>
      <c r="V266" s="1">
        <v>0.611904</v>
      </c>
      <c r="W266" s="1">
        <v>1.223808</v>
      </c>
      <c r="X266" s="1">
        <v>1.52976</v>
      </c>
      <c r="Y266" s="1">
        <f>AVERAGE(U266:X266)</f>
        <v>0.841368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hidden="1" x14ac:dyDescent="0.3">
      <c r="A267" s="19" t="s">
        <v>1214</v>
      </c>
      <c r="B267" s="21" t="s">
        <v>40</v>
      </c>
      <c r="C267" s="21">
        <v>1.5</v>
      </c>
      <c r="D267" s="23">
        <v>157</v>
      </c>
      <c r="E267" s="23"/>
      <c r="F267" s="23" t="s">
        <v>1184</v>
      </c>
      <c r="G267" s="20" t="s">
        <v>1215</v>
      </c>
      <c r="H267" s="6"/>
      <c r="I267" s="6" t="s">
        <v>1084</v>
      </c>
      <c r="J267" s="6">
        <v>60</v>
      </c>
      <c r="K267" s="21"/>
      <c r="L267" s="21" t="s">
        <v>785</v>
      </c>
      <c r="M267" s="6" t="s">
        <v>195</v>
      </c>
      <c r="N267" s="6">
        <v>246</v>
      </c>
      <c r="O267" s="6"/>
      <c r="P267" s="6"/>
      <c r="Q267" s="27"/>
      <c r="R267" s="28" t="s">
        <v>108</v>
      </c>
      <c r="S267" s="6"/>
      <c r="T267" s="1">
        <v>1.008</v>
      </c>
      <c r="U267" s="1">
        <v>1.008</v>
      </c>
      <c r="V267" s="1">
        <v>1.008</v>
      </c>
      <c r="W267" s="1">
        <v>0.67200000000000004</v>
      </c>
      <c r="X267" s="1">
        <v>0.67200000000000004</v>
      </c>
      <c r="Y267" s="1">
        <f>AVERAGE(U267:X267)</f>
        <v>0.84000000000000008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hidden="1" x14ac:dyDescent="0.3">
      <c r="A268" s="22" t="s">
        <v>1276</v>
      </c>
      <c r="B268" s="2"/>
      <c r="C268" s="21">
        <v>8</v>
      </c>
      <c r="D268" s="23"/>
      <c r="E268" s="23"/>
      <c r="F268" s="23"/>
      <c r="G268" s="3" t="s">
        <v>1262</v>
      </c>
      <c r="H268" s="4"/>
      <c r="I268" s="4"/>
      <c r="J268" s="4"/>
      <c r="K268" s="5"/>
      <c r="L268" s="5" t="s">
        <v>1263</v>
      </c>
      <c r="M268" s="4"/>
      <c r="N268" s="4"/>
      <c r="O268" s="4"/>
      <c r="P268" s="4"/>
      <c r="Q268" s="24"/>
      <c r="R268" s="27" t="s">
        <v>146</v>
      </c>
      <c r="S268" s="4"/>
      <c r="T268" s="1">
        <v>0.47650707692307698</v>
      </c>
      <c r="U268" s="1">
        <v>0.97736123076923076</v>
      </c>
      <c r="V268" s="1">
        <v>0.50085415384615384</v>
      </c>
      <c r="W268" s="1">
        <v>0.97736123076923076</v>
      </c>
      <c r="X268" s="1">
        <v>0.90432000000000001</v>
      </c>
      <c r="Y268" s="1">
        <f>AVERAGE(U268:X268)</f>
        <v>0.83997415384615381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22" t="s">
        <v>327</v>
      </c>
      <c r="B269" s="2" t="s">
        <v>68</v>
      </c>
      <c r="C269" s="21">
        <v>1.5</v>
      </c>
      <c r="D269" s="23">
        <v>1100</v>
      </c>
      <c r="E269" s="23" t="s">
        <v>41</v>
      </c>
      <c r="F269" s="23"/>
      <c r="G269" s="3" t="s">
        <v>328</v>
      </c>
      <c r="H269" s="10" t="s">
        <v>41</v>
      </c>
      <c r="I269" s="10"/>
      <c r="J269" s="6"/>
      <c r="K269" s="21"/>
      <c r="L269" s="21" t="s">
        <v>301</v>
      </c>
      <c r="M269" s="6" t="s">
        <v>119</v>
      </c>
      <c r="N269" s="6" t="s">
        <v>329</v>
      </c>
      <c r="O269" s="12" t="s">
        <v>793</v>
      </c>
      <c r="P269" s="10" t="s">
        <v>47</v>
      </c>
      <c r="Q269" s="29" t="s">
        <v>47</v>
      </c>
      <c r="R269" s="27" t="s">
        <v>47</v>
      </c>
      <c r="S269" s="10" t="s">
        <v>47</v>
      </c>
      <c r="T269" s="13">
        <v>0.66374999999999995</v>
      </c>
      <c r="U269" s="13">
        <v>0.66374999999999995</v>
      </c>
      <c r="V269" s="13">
        <v>1.3274999999999999</v>
      </c>
      <c r="W269" s="13">
        <v>0.66374999999999995</v>
      </c>
      <c r="X269" s="13">
        <v>0.66374999999999995</v>
      </c>
      <c r="Y269" s="1">
        <f>AVERAGE(U269:X269)</f>
        <v>0.82968749999999991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hidden="1" x14ac:dyDescent="0.3">
      <c r="A270" s="22" t="s">
        <v>862</v>
      </c>
      <c r="B270" s="2" t="s">
        <v>770</v>
      </c>
      <c r="C270" s="21">
        <v>1.5</v>
      </c>
      <c r="D270" s="23">
        <v>490</v>
      </c>
      <c r="E270" s="23"/>
      <c r="F270" s="28"/>
      <c r="G270" s="3" t="s">
        <v>863</v>
      </c>
      <c r="H270" s="1"/>
      <c r="I270" s="6"/>
      <c r="J270" s="4">
        <v>63</v>
      </c>
      <c r="K270" s="5"/>
      <c r="L270" s="5" t="s">
        <v>864</v>
      </c>
      <c r="M270" s="1" t="s">
        <v>865</v>
      </c>
      <c r="N270" s="4"/>
      <c r="O270" s="1" t="s">
        <v>793</v>
      </c>
      <c r="P270" s="1"/>
      <c r="Q270" s="1"/>
      <c r="R270" s="25" t="s">
        <v>692</v>
      </c>
      <c r="S270" s="7"/>
      <c r="T270" s="1">
        <v>0.50129999999999997</v>
      </c>
      <c r="U270" s="1">
        <v>0</v>
      </c>
      <c r="V270" s="1">
        <v>0.80208000000000002</v>
      </c>
      <c r="W270" s="1">
        <v>1.2031200000000002</v>
      </c>
      <c r="X270" s="1">
        <v>1.2031200000000002</v>
      </c>
      <c r="Y270" s="1">
        <f>AVERAGE(U270:X270)</f>
        <v>0.80208000000000013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hidden="1" x14ac:dyDescent="0.3">
      <c r="A271" s="3" t="s">
        <v>866</v>
      </c>
      <c r="B271" s="2" t="s">
        <v>49</v>
      </c>
      <c r="C271" s="21">
        <v>8</v>
      </c>
      <c r="D271" s="23">
        <v>1200</v>
      </c>
      <c r="E271" s="23"/>
      <c r="F271" s="28"/>
      <c r="G271" s="3" t="s">
        <v>748</v>
      </c>
      <c r="H271" s="4"/>
      <c r="I271" s="4" t="s">
        <v>687</v>
      </c>
      <c r="J271" s="4">
        <v>59</v>
      </c>
      <c r="K271" s="5"/>
      <c r="L271" s="5" t="s">
        <v>194</v>
      </c>
      <c r="M271" s="4" t="s">
        <v>94</v>
      </c>
      <c r="N271" s="4"/>
      <c r="O271" s="4" t="s">
        <v>793</v>
      </c>
      <c r="P271" s="4"/>
      <c r="Q271" s="24"/>
      <c r="R271" s="25" t="s">
        <v>692</v>
      </c>
      <c r="S271" s="4" t="s">
        <v>55</v>
      </c>
      <c r="T271" s="1">
        <v>0.1953</v>
      </c>
      <c r="U271" s="1">
        <v>0.55800000000000005</v>
      </c>
      <c r="V271" s="1">
        <v>0.75329999999999997</v>
      </c>
      <c r="W271" s="1">
        <v>0.80910000000000004</v>
      </c>
      <c r="X271" s="1">
        <v>1.0470599999999999</v>
      </c>
      <c r="Y271" s="1">
        <f>AVERAGE(U271:X271)</f>
        <v>0.79186500000000004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hidden="1" x14ac:dyDescent="0.3">
      <c r="A272" s="22" t="s">
        <v>1277</v>
      </c>
      <c r="B272" s="2"/>
      <c r="C272" s="21">
        <v>6</v>
      </c>
      <c r="D272" s="23"/>
      <c r="E272" s="23"/>
      <c r="F272" s="23"/>
      <c r="G272" s="3" t="s">
        <v>1262</v>
      </c>
      <c r="H272" s="6"/>
      <c r="I272" s="6"/>
      <c r="J272" s="6"/>
      <c r="K272" s="21"/>
      <c r="L272" s="21" t="s">
        <v>1263</v>
      </c>
      <c r="M272" s="6"/>
      <c r="N272" s="6"/>
      <c r="O272" s="6"/>
      <c r="P272" s="6"/>
      <c r="Q272" s="27"/>
      <c r="R272" s="27" t="s">
        <v>146</v>
      </c>
      <c r="S272" s="6"/>
      <c r="T272" s="1">
        <v>0.22763975042502552</v>
      </c>
      <c r="U272" s="1">
        <v>0.96250888767992748</v>
      </c>
      <c r="V272" s="1">
        <v>0.51610998305565003</v>
      </c>
      <c r="W272" s="1">
        <v>1.3854988930069134</v>
      </c>
      <c r="X272" s="1">
        <v>0.30158932171596964</v>
      </c>
      <c r="Y272" s="1">
        <f>AVERAGE(U272:X272)</f>
        <v>0.79142677136461514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39" s="26" customFormat="1" hidden="1" x14ac:dyDescent="0.3">
      <c r="A273" s="19" t="s">
        <v>1216</v>
      </c>
      <c r="B273" s="21" t="s">
        <v>40</v>
      </c>
      <c r="C273" s="21">
        <v>1.2</v>
      </c>
      <c r="D273" s="23">
        <v>325</v>
      </c>
      <c r="E273" s="23"/>
      <c r="F273" s="23" t="s">
        <v>1184</v>
      </c>
      <c r="G273" s="20" t="s">
        <v>1217</v>
      </c>
      <c r="H273" s="6"/>
      <c r="I273" s="6" t="s">
        <v>1084</v>
      </c>
      <c r="J273" s="6">
        <v>60</v>
      </c>
      <c r="K273" s="21"/>
      <c r="L273" s="21" t="s">
        <v>1085</v>
      </c>
      <c r="M273" s="6" t="s">
        <v>195</v>
      </c>
      <c r="N273" s="6">
        <v>246</v>
      </c>
      <c r="O273" s="6"/>
      <c r="P273" s="6"/>
      <c r="Q273" s="27"/>
      <c r="R273" s="28" t="s">
        <v>108</v>
      </c>
      <c r="S273" s="6"/>
      <c r="T273" s="1">
        <v>0.91276599999999997</v>
      </c>
      <c r="U273" s="1">
        <v>0.71668799999999999</v>
      </c>
      <c r="V273" s="1">
        <v>0.93931000000000009</v>
      </c>
      <c r="W273" s="1">
        <v>0.72000599999999992</v>
      </c>
      <c r="X273" s="1">
        <v>0.74023000000000005</v>
      </c>
      <c r="Y273" s="1">
        <f>AVERAGE(U273:X273)</f>
        <v>0.77905849999999999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39" s="26" customFormat="1" hidden="1" x14ac:dyDescent="0.3">
      <c r="A274" s="22" t="s">
        <v>1278</v>
      </c>
      <c r="B274" s="2"/>
      <c r="C274" s="21">
        <v>9.5</v>
      </c>
      <c r="D274" s="23"/>
      <c r="E274" s="23"/>
      <c r="F274" s="23"/>
      <c r="G274" s="3" t="s">
        <v>1262</v>
      </c>
      <c r="H274" s="6"/>
      <c r="I274" s="6"/>
      <c r="J274" s="6"/>
      <c r="K274" s="21"/>
      <c r="L274" s="21" t="s">
        <v>1263</v>
      </c>
      <c r="M274" s="6"/>
      <c r="N274" s="6"/>
      <c r="O274" s="6"/>
      <c r="P274" s="6"/>
      <c r="Q274" s="27"/>
      <c r="R274" s="27" t="s">
        <v>146</v>
      </c>
      <c r="S274" s="6"/>
      <c r="T274" s="1">
        <v>0.19134374999999998</v>
      </c>
      <c r="U274" s="1">
        <v>0.54683898305084744</v>
      </c>
      <c r="V274" s="1">
        <v>0.79714041464891039</v>
      </c>
      <c r="W274" s="1">
        <v>1.4183857082324454</v>
      </c>
      <c r="X274" s="1">
        <v>0.24601339285714283</v>
      </c>
      <c r="Y274" s="1">
        <f>AVERAGE(U274:X274)</f>
        <v>0.75209462469733657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39" s="26" customFormat="1" hidden="1" x14ac:dyDescent="0.3">
      <c r="A275" s="3" t="s">
        <v>867</v>
      </c>
      <c r="B275" s="2" t="s">
        <v>49</v>
      </c>
      <c r="C275" s="21">
        <v>6</v>
      </c>
      <c r="D275" s="23" t="s">
        <v>868</v>
      </c>
      <c r="E275" s="23"/>
      <c r="F275" s="28"/>
      <c r="G275" s="3" t="s">
        <v>778</v>
      </c>
      <c r="H275" s="6"/>
      <c r="I275" s="6"/>
      <c r="J275" s="6">
        <v>30</v>
      </c>
      <c r="K275" s="21"/>
      <c r="L275" s="21" t="s">
        <v>815</v>
      </c>
      <c r="M275" s="6" t="s">
        <v>869</v>
      </c>
      <c r="N275" s="6"/>
      <c r="O275" s="6" t="s">
        <v>793</v>
      </c>
      <c r="P275" s="6"/>
      <c r="Q275" s="27"/>
      <c r="R275" s="28" t="s">
        <v>692</v>
      </c>
      <c r="S275" s="6"/>
      <c r="T275" s="1">
        <v>7.1764000000000008E-2</v>
      </c>
      <c r="U275" s="1">
        <v>0.32983200000000001</v>
      </c>
      <c r="V275" s="1">
        <v>0.75625599999999993</v>
      </c>
      <c r="W275" s="1">
        <v>1.037776</v>
      </c>
      <c r="X275" s="1">
        <v>0.87660000000000016</v>
      </c>
      <c r="Y275" s="1">
        <f>AVERAGE(U275:X275)</f>
        <v>0.75011600000000012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39" s="26" customFormat="1" hidden="1" x14ac:dyDescent="0.3">
      <c r="A276" s="22" t="s">
        <v>1279</v>
      </c>
      <c r="B276" s="2"/>
      <c r="C276" s="21">
        <v>4.75</v>
      </c>
      <c r="D276" s="23"/>
      <c r="E276" s="23"/>
      <c r="F276" s="23"/>
      <c r="G276" s="3" t="s">
        <v>1280</v>
      </c>
      <c r="H276" s="6"/>
      <c r="I276" s="6"/>
      <c r="J276" s="6"/>
      <c r="K276" s="21"/>
      <c r="L276" s="21" t="s">
        <v>1259</v>
      </c>
      <c r="M276" s="6"/>
      <c r="N276" s="6"/>
      <c r="O276" s="6"/>
      <c r="P276" s="6"/>
      <c r="Q276" s="27"/>
      <c r="R276" s="27" t="s">
        <v>146</v>
      </c>
      <c r="S276" s="6"/>
      <c r="T276" s="1">
        <v>0</v>
      </c>
      <c r="U276" s="1">
        <v>0.24903899999999998</v>
      </c>
      <c r="V276" s="1">
        <v>0.99615599999999993</v>
      </c>
      <c r="W276" s="1">
        <v>0.74711699999999992</v>
      </c>
      <c r="X276" s="1">
        <v>0.99615599999999993</v>
      </c>
      <c r="Y276" s="1">
        <f>AVERAGE(U276:X276)</f>
        <v>0.74711699999999992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39" s="26" customFormat="1" hidden="1" x14ac:dyDescent="0.3">
      <c r="A277" s="22" t="s">
        <v>870</v>
      </c>
      <c r="B277" s="2" t="s">
        <v>49</v>
      </c>
      <c r="C277" s="21">
        <v>2</v>
      </c>
      <c r="D277" s="23">
        <v>1150</v>
      </c>
      <c r="E277" s="23"/>
      <c r="F277" s="28"/>
      <c r="G277" s="3" t="s">
        <v>760</v>
      </c>
      <c r="H277" s="6"/>
      <c r="I277" s="6"/>
      <c r="J277" s="6">
        <v>30</v>
      </c>
      <c r="K277" s="21"/>
      <c r="L277" s="21" t="s">
        <v>815</v>
      </c>
      <c r="M277" s="6" t="s">
        <v>297</v>
      </c>
      <c r="N277" s="6"/>
      <c r="O277" s="6" t="s">
        <v>793</v>
      </c>
      <c r="P277" s="6"/>
      <c r="Q277" s="27"/>
      <c r="R277" s="28" t="s">
        <v>692</v>
      </c>
      <c r="S277" s="6"/>
      <c r="T277" s="1">
        <v>0.55519399999999997</v>
      </c>
      <c r="U277" s="1">
        <v>0.59198400000000007</v>
      </c>
      <c r="V277" s="1">
        <v>0.82501600000000008</v>
      </c>
      <c r="W277" s="1">
        <v>0.7263440000000001</v>
      </c>
      <c r="X277" s="1">
        <v>0.73994400000000005</v>
      </c>
      <c r="Y277" s="1">
        <f>AVERAGE(U277:X277)</f>
        <v>0.72082200000000007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39" s="26" customFormat="1" hidden="1" x14ac:dyDescent="0.3">
      <c r="A278" s="22" t="s">
        <v>871</v>
      </c>
      <c r="B278" s="2" t="s">
        <v>770</v>
      </c>
      <c r="C278" s="21">
        <v>1.5</v>
      </c>
      <c r="D278" s="23">
        <v>1030</v>
      </c>
      <c r="E278" s="23"/>
      <c r="F278" s="28"/>
      <c r="G278" s="3" t="s">
        <v>832</v>
      </c>
      <c r="H278" s="6"/>
      <c r="I278" s="6" t="s">
        <v>702</v>
      </c>
      <c r="J278" s="6">
        <v>69</v>
      </c>
      <c r="K278" s="21">
        <v>19</v>
      </c>
      <c r="L278" s="21" t="s">
        <v>194</v>
      </c>
      <c r="M278" s="6" t="s">
        <v>787</v>
      </c>
      <c r="N278" s="6" t="s">
        <v>833</v>
      </c>
      <c r="O278" s="6" t="s">
        <v>793</v>
      </c>
      <c r="P278" s="6"/>
      <c r="Q278" s="27"/>
      <c r="R278" s="28" t="s">
        <v>692</v>
      </c>
      <c r="S278" s="6" t="s">
        <v>55</v>
      </c>
      <c r="T278" s="1">
        <v>0.38534999999999997</v>
      </c>
      <c r="U278" s="1">
        <v>0.49324799999999996</v>
      </c>
      <c r="V278" s="1">
        <v>0.86318399999999995</v>
      </c>
      <c r="W278" s="1">
        <v>0.61656</v>
      </c>
      <c r="X278" s="1">
        <v>0.86318399999999995</v>
      </c>
      <c r="Y278" s="1">
        <f>AVERAGE(U278:X278)</f>
        <v>0.70904400000000001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39" s="26" customFormat="1" ht="20.399999999999999" hidden="1" x14ac:dyDescent="0.3">
      <c r="A279" s="22" t="s">
        <v>1281</v>
      </c>
      <c r="B279" s="2"/>
      <c r="C279" s="21">
        <v>1.5</v>
      </c>
      <c r="D279" s="23"/>
      <c r="E279" s="23"/>
      <c r="F279" s="23"/>
      <c r="G279" s="3"/>
      <c r="H279" s="4"/>
      <c r="I279" s="6"/>
      <c r="J279" s="4"/>
      <c r="K279" s="5"/>
      <c r="L279" s="5" t="s">
        <v>1266</v>
      </c>
      <c r="M279" s="4" t="s">
        <v>1282</v>
      </c>
      <c r="N279" s="4"/>
      <c r="O279" s="4"/>
      <c r="P279" s="4"/>
      <c r="Q279" s="24"/>
      <c r="R279" s="27" t="s">
        <v>146</v>
      </c>
      <c r="S279" s="6"/>
      <c r="T279" s="1">
        <v>0.50341250000000004</v>
      </c>
      <c r="U279" s="1">
        <v>0.70040000000000002</v>
      </c>
      <c r="V279" s="1">
        <v>0.70040000000000002</v>
      </c>
      <c r="W279" s="1">
        <v>0.70040000000000002</v>
      </c>
      <c r="X279" s="1">
        <v>0.70040000000000002</v>
      </c>
      <c r="Y279" s="1">
        <f>AVERAGE(U279:X279)</f>
        <v>0.70040000000000002</v>
      </c>
      <c r="Z279" s="10"/>
      <c r="AA279" s="10"/>
      <c r="AB279" s="10"/>
      <c r="AC279" s="10"/>
      <c r="AD279" s="10"/>
      <c r="AE279" s="10"/>
      <c r="AF279" s="10"/>
      <c r="AG279" s="38">
        <f>COUNTIF(Z279:AF279,"X")/7</f>
        <v>0</v>
      </c>
      <c r="AH279" s="51" t="str">
        <f>IF(AG279=100%,Y279," ")</f>
        <v xml:space="preserve"> </v>
      </c>
      <c r="AI279" s="64"/>
      <c r="AJ279" s="1"/>
      <c r="AK279" s="65">
        <v>0</v>
      </c>
      <c r="AL279" s="1"/>
      <c r="AM279" s="62" t="s">
        <v>695</v>
      </c>
    </row>
    <row r="280" spans="1:39" s="26" customFormat="1" ht="20.399999999999999" x14ac:dyDescent="0.3">
      <c r="A280" s="22" t="s">
        <v>330</v>
      </c>
      <c r="B280" s="2" t="s">
        <v>229</v>
      </c>
      <c r="C280" s="21">
        <v>4</v>
      </c>
      <c r="D280" s="23">
        <v>1200</v>
      </c>
      <c r="E280" s="23">
        <v>2000</v>
      </c>
      <c r="F280" s="23"/>
      <c r="G280" s="3" t="s">
        <v>331</v>
      </c>
      <c r="H280" s="10" t="s">
        <v>41</v>
      </c>
      <c r="I280" s="10"/>
      <c r="J280" s="6"/>
      <c r="K280" s="5"/>
      <c r="L280" s="5" t="s">
        <v>301</v>
      </c>
      <c r="M280" s="6" t="s">
        <v>93</v>
      </c>
      <c r="N280" s="6" t="s">
        <v>332</v>
      </c>
      <c r="O280" s="12" t="s">
        <v>793</v>
      </c>
      <c r="P280" s="10"/>
      <c r="Q280" s="29"/>
      <c r="R280" s="27" t="s">
        <v>47</v>
      </c>
      <c r="S280" s="10" t="s">
        <v>47</v>
      </c>
      <c r="T280" s="13">
        <v>0.51300000000000001</v>
      </c>
      <c r="U280" s="13">
        <v>0.61560000000000004</v>
      </c>
      <c r="V280" s="13">
        <v>0.76949999999999996</v>
      </c>
      <c r="W280" s="13">
        <v>0.66689999999999994</v>
      </c>
      <c r="X280" s="13">
        <v>0.71820000000000006</v>
      </c>
      <c r="Y280" s="1">
        <f>AVERAGE(U280:X280)</f>
        <v>0.69255</v>
      </c>
      <c r="Z280" s="10"/>
      <c r="AA280" s="10"/>
      <c r="AB280" s="10"/>
      <c r="AC280" s="10"/>
      <c r="AD280" s="10"/>
      <c r="AE280" s="10"/>
      <c r="AF280" s="10"/>
      <c r="AG280" s="38">
        <f>COUNTIF(Z280:AF280,"X")/7</f>
        <v>0</v>
      </c>
      <c r="AH280" s="51" t="str">
        <f>IF(AG280=100%,Y280," ")</f>
        <v xml:space="preserve"> </v>
      </c>
      <c r="AI280" s="64"/>
      <c r="AJ280" s="1"/>
      <c r="AK280" s="65">
        <v>0</v>
      </c>
      <c r="AL280" s="1"/>
      <c r="AM280" s="62" t="s">
        <v>698</v>
      </c>
    </row>
    <row r="281" spans="1:39" s="26" customFormat="1" ht="122.4" x14ac:dyDescent="0.3">
      <c r="A281" s="22" t="s">
        <v>333</v>
      </c>
      <c r="B281" s="2" t="s">
        <v>49</v>
      </c>
      <c r="C281" s="21">
        <v>4</v>
      </c>
      <c r="D281" s="23">
        <v>1150</v>
      </c>
      <c r="E281" s="23" t="s">
        <v>41</v>
      </c>
      <c r="F281" s="23"/>
      <c r="G281" s="3" t="s">
        <v>334</v>
      </c>
      <c r="H281" s="10" t="s">
        <v>41</v>
      </c>
      <c r="I281" s="10"/>
      <c r="J281" s="6"/>
      <c r="K281" s="21"/>
      <c r="L281" s="5" t="s">
        <v>106</v>
      </c>
      <c r="M281" s="6" t="s">
        <v>93</v>
      </c>
      <c r="N281" s="6" t="s">
        <v>335</v>
      </c>
      <c r="O281" s="12" t="s">
        <v>793</v>
      </c>
      <c r="P281" s="10" t="s">
        <v>47</v>
      </c>
      <c r="Q281" s="10" t="s">
        <v>47</v>
      </c>
      <c r="R281" s="27" t="s">
        <v>47</v>
      </c>
      <c r="S281" s="10" t="s">
        <v>55</v>
      </c>
      <c r="T281" s="13">
        <v>0.639096</v>
      </c>
      <c r="U281" s="13">
        <v>0.59036</v>
      </c>
      <c r="V281" s="13">
        <v>0.75792399999999993</v>
      </c>
      <c r="W281" s="13">
        <v>0.72704400000000013</v>
      </c>
      <c r="X281" s="13">
        <v>0.67300400000000005</v>
      </c>
      <c r="Y281" s="1">
        <f>AVERAGE(U281:X281)</f>
        <v>0.68708300000000011</v>
      </c>
      <c r="Z281" s="10"/>
      <c r="AA281" s="10"/>
      <c r="AB281" s="10"/>
      <c r="AC281" s="10"/>
      <c r="AD281" s="10"/>
      <c r="AE281" s="10"/>
      <c r="AF281" s="10"/>
      <c r="AG281" s="38">
        <f>COUNTIF(Z281:AF281,"X")/7</f>
        <v>0</v>
      </c>
      <c r="AH281" s="51" t="str">
        <f>IF(AG281=100%,Y281," ")</f>
        <v xml:space="preserve"> </v>
      </c>
      <c r="AI281" s="64"/>
      <c r="AJ281" s="1"/>
      <c r="AK281" s="65">
        <v>0</v>
      </c>
      <c r="AL281" s="1"/>
      <c r="AM281" s="62" t="s">
        <v>706</v>
      </c>
    </row>
    <row r="282" spans="1:39" s="26" customFormat="1" hidden="1" x14ac:dyDescent="0.3">
      <c r="A282" s="3" t="s">
        <v>310</v>
      </c>
      <c r="B282" s="2" t="s">
        <v>49</v>
      </c>
      <c r="C282" s="21">
        <v>4.75</v>
      </c>
      <c r="D282" s="23" t="s">
        <v>829</v>
      </c>
      <c r="E282" s="23"/>
      <c r="F282" s="28"/>
      <c r="G282" s="3" t="s">
        <v>854</v>
      </c>
      <c r="H282" s="6"/>
      <c r="I282" s="6"/>
      <c r="J282" s="6">
        <v>30</v>
      </c>
      <c r="K282" s="21"/>
      <c r="L282" s="21" t="s">
        <v>815</v>
      </c>
      <c r="M282" s="6" t="s">
        <v>119</v>
      </c>
      <c r="N282" s="6"/>
      <c r="O282" s="6" t="s">
        <v>793</v>
      </c>
      <c r="P282" s="6"/>
      <c r="Q282" s="27"/>
      <c r="R282" s="28" t="s">
        <v>692</v>
      </c>
      <c r="S282" s="6"/>
      <c r="T282" s="1">
        <v>0.49746299999999999</v>
      </c>
      <c r="U282" s="1">
        <v>0.55403000000000002</v>
      </c>
      <c r="V282" s="1">
        <v>0.75757999999999992</v>
      </c>
      <c r="W282" s="1">
        <v>0.66586999999999996</v>
      </c>
      <c r="X282" s="1">
        <v>0.66800000000000015</v>
      </c>
      <c r="Y282" s="1">
        <f>AVERAGE(U282:X282)</f>
        <v>0.66137000000000001</v>
      </c>
      <c r="Z282" s="10"/>
      <c r="AA282" s="10"/>
      <c r="AB282" s="10"/>
      <c r="AC282" s="10"/>
      <c r="AD282" s="10"/>
      <c r="AE282" s="10"/>
      <c r="AF282" s="10"/>
      <c r="AG282" s="38">
        <f>COUNTIF(Z282:AF282,"X")/7</f>
        <v>0</v>
      </c>
      <c r="AH282" s="51" t="str">
        <f>IF(AG282=100%,Y282," ")</f>
        <v xml:space="preserve"> </v>
      </c>
      <c r="AI282" s="64"/>
      <c r="AJ282" s="1"/>
      <c r="AK282" s="65">
        <v>0</v>
      </c>
      <c r="AL282" s="1"/>
      <c r="AM282" s="1"/>
    </row>
    <row r="283" spans="1:39" s="26" customFormat="1" ht="81.599999999999994" hidden="1" x14ac:dyDescent="0.3">
      <c r="A283" s="22" t="s">
        <v>1283</v>
      </c>
      <c r="B283" s="2"/>
      <c r="C283" s="21">
        <v>15.75</v>
      </c>
      <c r="D283" s="23"/>
      <c r="E283" s="23"/>
      <c r="F283" s="23"/>
      <c r="G283" s="3" t="s">
        <v>1284</v>
      </c>
      <c r="H283" s="6"/>
      <c r="I283" s="6"/>
      <c r="J283" s="6"/>
      <c r="K283" s="21"/>
      <c r="L283" s="21" t="s">
        <v>1259</v>
      </c>
      <c r="M283" s="6"/>
      <c r="N283" s="6"/>
      <c r="O283" s="6"/>
      <c r="P283" s="6"/>
      <c r="Q283" s="27"/>
      <c r="R283" s="27" t="s">
        <v>146</v>
      </c>
      <c r="S283" s="6"/>
      <c r="T283" s="1">
        <v>0.41828159999999998</v>
      </c>
      <c r="U283" s="1">
        <v>0.49433279999999996</v>
      </c>
      <c r="V283" s="1">
        <v>0.96965279999999998</v>
      </c>
      <c r="W283" s="1">
        <v>0.64643519999999988</v>
      </c>
      <c r="X283" s="1">
        <v>0.53235840000000001</v>
      </c>
      <c r="Y283" s="1">
        <f>AVERAGE(U283:X283)</f>
        <v>0.66069480000000003</v>
      </c>
      <c r="Z283" s="10"/>
      <c r="AA283" s="10"/>
      <c r="AB283" s="10"/>
      <c r="AC283" s="10"/>
      <c r="AD283" s="10"/>
      <c r="AE283" s="10"/>
      <c r="AF283" s="10"/>
      <c r="AG283" s="38">
        <f>COUNTIF(Z283:AF283,"X")/7</f>
        <v>0</v>
      </c>
      <c r="AH283" s="51" t="str">
        <f>IF(AG283=100%,Y283," ")</f>
        <v xml:space="preserve"> </v>
      </c>
      <c r="AI283" s="64"/>
      <c r="AJ283" s="1"/>
      <c r="AK283" s="65">
        <v>0</v>
      </c>
      <c r="AL283" s="1"/>
      <c r="AM283" s="1" t="s">
        <v>698</v>
      </c>
    </row>
    <row r="284" spans="1:39" s="26" customFormat="1" hidden="1" x14ac:dyDescent="0.3">
      <c r="A284" s="19" t="s">
        <v>1218</v>
      </c>
      <c r="B284" s="21" t="s">
        <v>40</v>
      </c>
      <c r="C284" s="21">
        <v>1.2</v>
      </c>
      <c r="D284" s="23">
        <v>1400</v>
      </c>
      <c r="E284" s="23"/>
      <c r="F284" s="23"/>
      <c r="G284" s="20" t="s">
        <v>1219</v>
      </c>
      <c r="H284" s="6"/>
      <c r="I284" s="6" t="s">
        <v>1078</v>
      </c>
      <c r="J284" s="6">
        <v>59</v>
      </c>
      <c r="K284" s="21">
        <v>32</v>
      </c>
      <c r="L284" s="21" t="s">
        <v>703</v>
      </c>
      <c r="M284" s="6" t="s">
        <v>1128</v>
      </c>
      <c r="N284" s="6" t="s">
        <v>1220</v>
      </c>
      <c r="O284" s="6"/>
      <c r="P284" s="6"/>
      <c r="Q284" s="27"/>
      <c r="R284" s="28" t="s">
        <v>108</v>
      </c>
      <c r="S284" s="6" t="s">
        <v>71</v>
      </c>
      <c r="T284" s="1">
        <v>0</v>
      </c>
      <c r="U284" s="1">
        <v>0.48</v>
      </c>
      <c r="V284" s="1">
        <v>0.96</v>
      </c>
      <c r="W284" s="1">
        <v>0.6</v>
      </c>
      <c r="X284" s="1">
        <v>0.6</v>
      </c>
      <c r="Y284" s="1">
        <f>AVERAGE(U284:X284)</f>
        <v>0.66</v>
      </c>
      <c r="Z284" s="10"/>
      <c r="AA284" s="10"/>
      <c r="AB284" s="10"/>
      <c r="AC284" s="10"/>
      <c r="AD284" s="10"/>
      <c r="AE284" s="10"/>
      <c r="AF284" s="10"/>
      <c r="AG284" s="38">
        <f>COUNTIF(Z284:AF284,"X")/7</f>
        <v>0</v>
      </c>
      <c r="AH284" s="51" t="str">
        <f>IF(AG284=100%,Y284," ")</f>
        <v xml:space="preserve"> </v>
      </c>
      <c r="AI284" s="64"/>
      <c r="AJ284" s="1"/>
      <c r="AK284" s="65">
        <v>0</v>
      </c>
      <c r="AL284" s="1"/>
      <c r="AM284" s="1" t="s">
        <v>718</v>
      </c>
    </row>
    <row r="285" spans="1:39" s="26" customFormat="1" ht="20.399999999999999" hidden="1" x14ac:dyDescent="0.3">
      <c r="A285" s="22" t="s">
        <v>872</v>
      </c>
      <c r="B285" s="2" t="s">
        <v>770</v>
      </c>
      <c r="C285" s="21">
        <v>1.5</v>
      </c>
      <c r="D285" s="23">
        <v>755</v>
      </c>
      <c r="E285" s="23"/>
      <c r="F285" s="28"/>
      <c r="G285" s="3" t="s">
        <v>863</v>
      </c>
      <c r="H285" s="6"/>
      <c r="I285" s="6"/>
      <c r="J285" s="6">
        <v>63</v>
      </c>
      <c r="K285" s="21"/>
      <c r="L285" s="21" t="s">
        <v>864</v>
      </c>
      <c r="M285" s="6" t="s">
        <v>865</v>
      </c>
      <c r="N285" s="6"/>
      <c r="O285" s="6" t="s">
        <v>793</v>
      </c>
      <c r="P285" s="6"/>
      <c r="Q285" s="27"/>
      <c r="R285" s="28" t="s">
        <v>692</v>
      </c>
      <c r="S285" s="6"/>
      <c r="T285" s="1">
        <v>0.26280799999999999</v>
      </c>
      <c r="U285" s="1">
        <v>0.46929999999999994</v>
      </c>
      <c r="V285" s="1">
        <v>0.93859999999999988</v>
      </c>
      <c r="W285" s="1">
        <v>0.56315999999999988</v>
      </c>
      <c r="X285" s="1">
        <v>0.56315999999999988</v>
      </c>
      <c r="Y285" s="1">
        <f>AVERAGE(U285:X285)</f>
        <v>0.63355499999999987</v>
      </c>
      <c r="Z285" s="10"/>
      <c r="AA285" s="10"/>
      <c r="AB285" s="10"/>
      <c r="AC285" s="10"/>
      <c r="AD285" s="10"/>
      <c r="AE285" s="10"/>
      <c r="AF285" s="10"/>
      <c r="AG285" s="38">
        <f>COUNTIF(Z285:AF285,"X")/7</f>
        <v>0</v>
      </c>
      <c r="AH285" s="51" t="str">
        <f>IF(AG285=100%,Y285," ")</f>
        <v xml:space="preserve"> </v>
      </c>
      <c r="AI285" s="64"/>
      <c r="AJ285" s="1"/>
      <c r="AK285" s="65">
        <v>0</v>
      </c>
      <c r="AL285" s="1"/>
      <c r="AM285" s="1" t="s">
        <v>706</v>
      </c>
    </row>
    <row r="286" spans="1:39" s="26" customFormat="1" hidden="1" x14ac:dyDescent="0.3">
      <c r="A286" s="19" t="s">
        <v>1221</v>
      </c>
      <c r="B286" s="21" t="s">
        <v>40</v>
      </c>
      <c r="C286" s="21">
        <v>0.6</v>
      </c>
      <c r="D286" s="23">
        <v>1000</v>
      </c>
      <c r="E286" s="23"/>
      <c r="F286" s="23"/>
      <c r="G286" s="20" t="s">
        <v>1222</v>
      </c>
      <c r="H286" s="6"/>
      <c r="I286" s="6" t="s">
        <v>1078</v>
      </c>
      <c r="J286" s="6">
        <v>69</v>
      </c>
      <c r="K286" s="21">
        <v>26</v>
      </c>
      <c r="L286" s="21" t="s">
        <v>703</v>
      </c>
      <c r="M286" s="6" t="s">
        <v>1128</v>
      </c>
      <c r="N286" s="6" t="s">
        <v>1220</v>
      </c>
      <c r="O286" s="6"/>
      <c r="P286" s="6"/>
      <c r="Q286" s="27"/>
      <c r="R286" s="28" t="s">
        <v>108</v>
      </c>
      <c r="S286" s="6" t="s">
        <v>71</v>
      </c>
      <c r="T286" s="1">
        <v>8.9759999999999993E-2</v>
      </c>
      <c r="U286" s="1">
        <v>0.59839999999999993</v>
      </c>
      <c r="V286" s="1">
        <v>0.83775999999999995</v>
      </c>
      <c r="W286" s="1">
        <v>0.41887999999999997</v>
      </c>
      <c r="X286" s="1">
        <v>0.65824000000000005</v>
      </c>
      <c r="Y286" s="1">
        <f>AVERAGE(U286:X286)</f>
        <v>0.62831999999999999</v>
      </c>
      <c r="Z286" s="10"/>
      <c r="AA286" s="10"/>
      <c r="AB286" s="10"/>
      <c r="AC286" s="10"/>
      <c r="AD286" s="10"/>
      <c r="AE286" s="10"/>
      <c r="AF286" s="10"/>
      <c r="AG286" s="38">
        <f>COUNTIF(Z286:AF286,"X")/7</f>
        <v>0</v>
      </c>
      <c r="AH286" s="51" t="str">
        <f>IF(AG286=100%,Y286," ")</f>
        <v xml:space="preserve"> </v>
      </c>
      <c r="AI286" s="64"/>
      <c r="AJ286" s="1"/>
      <c r="AK286" s="65">
        <v>0</v>
      </c>
      <c r="AL286" s="1"/>
      <c r="AM286" s="1" t="s">
        <v>726</v>
      </c>
    </row>
    <row r="287" spans="1:39" s="26" customFormat="1" hidden="1" x14ac:dyDescent="0.3">
      <c r="A287" s="19" t="s">
        <v>1223</v>
      </c>
      <c r="B287" s="21" t="s">
        <v>40</v>
      </c>
      <c r="C287" s="21">
        <v>2</v>
      </c>
      <c r="D287" s="23">
        <v>1000</v>
      </c>
      <c r="E287" s="23"/>
      <c r="F287" s="23" t="s">
        <v>1135</v>
      </c>
      <c r="G287" s="20" t="s">
        <v>1224</v>
      </c>
      <c r="H287" s="6"/>
      <c r="I287" s="6" t="s">
        <v>1084</v>
      </c>
      <c r="J287" s="6">
        <v>69</v>
      </c>
      <c r="K287" s="21">
        <v>0.5</v>
      </c>
      <c r="L287" s="21" t="s">
        <v>1073</v>
      </c>
      <c r="M287" s="6" t="s">
        <v>195</v>
      </c>
      <c r="N287" s="6" t="s">
        <v>160</v>
      </c>
      <c r="O287" s="6">
        <v>20</v>
      </c>
      <c r="P287" s="6"/>
      <c r="Q287" s="27"/>
      <c r="R287" s="28" t="s">
        <v>108</v>
      </c>
      <c r="S287" s="6"/>
      <c r="T287" s="1">
        <v>0.64873599999999998</v>
      </c>
      <c r="U287" s="1">
        <v>0.58216000000000001</v>
      </c>
      <c r="V287" s="1">
        <v>0.70269599999999988</v>
      </c>
      <c r="W287" s="1">
        <v>0.52379199999999992</v>
      </c>
      <c r="X287" s="1">
        <v>0.62639200000000006</v>
      </c>
      <c r="Y287" s="1">
        <f>AVERAGE(U287:X287)</f>
        <v>0.60875999999999997</v>
      </c>
      <c r="Z287" s="10"/>
      <c r="AA287" s="10"/>
      <c r="AB287" s="10"/>
      <c r="AC287" s="10"/>
      <c r="AD287" s="10"/>
      <c r="AE287" s="10"/>
      <c r="AF287" s="10"/>
      <c r="AG287" s="38">
        <f>COUNTIF(Z287:AF287,"X")/7</f>
        <v>0</v>
      </c>
      <c r="AH287" s="51" t="str">
        <f>IF(AG287=100%,Y287," ")</f>
        <v xml:space="preserve"> </v>
      </c>
      <c r="AI287" s="64"/>
      <c r="AJ287" s="1"/>
      <c r="AK287" s="65">
        <v>0</v>
      </c>
      <c r="AL287" s="1"/>
      <c r="AM287" s="1" t="s">
        <v>726</v>
      </c>
    </row>
    <row r="288" spans="1:39" s="26" customFormat="1" hidden="1" x14ac:dyDescent="0.3">
      <c r="A288" s="3" t="s">
        <v>595</v>
      </c>
      <c r="B288" s="2" t="s">
        <v>49</v>
      </c>
      <c r="C288" s="21">
        <v>4</v>
      </c>
      <c r="D288" s="23">
        <v>1250</v>
      </c>
      <c r="E288" s="23"/>
      <c r="F288" s="28"/>
      <c r="G288" s="3" t="s">
        <v>760</v>
      </c>
      <c r="H288" s="6"/>
      <c r="I288" s="6"/>
      <c r="J288" s="6">
        <v>30</v>
      </c>
      <c r="K288" s="21"/>
      <c r="L288" s="21" t="s">
        <v>815</v>
      </c>
      <c r="M288" s="6" t="s">
        <v>297</v>
      </c>
      <c r="N288" s="6"/>
      <c r="O288" s="6" t="s">
        <v>793</v>
      </c>
      <c r="P288" s="6"/>
      <c r="Q288" s="27"/>
      <c r="R288" s="28" t="s">
        <v>692</v>
      </c>
      <c r="S288" s="6"/>
      <c r="T288" s="1">
        <v>0.17756400000000003</v>
      </c>
      <c r="U288" s="1">
        <v>0.53421000000000007</v>
      </c>
      <c r="V288" s="1">
        <v>0.64325999999999994</v>
      </c>
      <c r="W288" s="1">
        <v>0.65564999999999996</v>
      </c>
      <c r="X288" s="1">
        <v>0.57002999999999993</v>
      </c>
      <c r="Y288" s="1">
        <f>AVERAGE(U288:X288)</f>
        <v>0.60078750000000003</v>
      </c>
      <c r="Z288" s="10"/>
      <c r="AA288" s="10"/>
      <c r="AB288" s="10"/>
      <c r="AC288" s="10"/>
      <c r="AD288" s="10"/>
      <c r="AE288" s="10"/>
      <c r="AF288" s="10"/>
      <c r="AG288" s="38">
        <f>COUNTIF(Z288:AF288,"X")/7</f>
        <v>0</v>
      </c>
      <c r="AH288" s="51" t="str">
        <f>IF(AG288=100%,Y288," ")</f>
        <v xml:space="preserve"> </v>
      </c>
      <c r="AI288" s="64"/>
      <c r="AJ288" s="1"/>
      <c r="AK288" s="65">
        <v>0</v>
      </c>
      <c r="AL288" s="1"/>
      <c r="AM288" s="1" t="s">
        <v>726</v>
      </c>
    </row>
    <row r="289" spans="1:39" s="26" customFormat="1" x14ac:dyDescent="0.3">
      <c r="A289" s="22" t="s">
        <v>336</v>
      </c>
      <c r="B289" s="2" t="s">
        <v>148</v>
      </c>
      <c r="C289" s="21">
        <v>4</v>
      </c>
      <c r="D289" s="23">
        <v>625</v>
      </c>
      <c r="E289" s="23" t="s">
        <v>41</v>
      </c>
      <c r="F289" s="75"/>
      <c r="G289" s="3" t="s">
        <v>300</v>
      </c>
      <c r="H289" s="10" t="s">
        <v>41</v>
      </c>
      <c r="I289" s="10"/>
      <c r="J289" s="6"/>
      <c r="K289" s="21"/>
      <c r="L289" s="5" t="s">
        <v>301</v>
      </c>
      <c r="M289" s="6" t="s">
        <v>93</v>
      </c>
      <c r="N289" s="6" t="s">
        <v>302</v>
      </c>
      <c r="O289" s="12" t="s">
        <v>793</v>
      </c>
      <c r="P289" s="10" t="s">
        <v>47</v>
      </c>
      <c r="Q289" s="29" t="s">
        <v>47</v>
      </c>
      <c r="R289" s="27" t="s">
        <v>47</v>
      </c>
      <c r="S289" s="10" t="s">
        <v>47</v>
      </c>
      <c r="T289" s="13">
        <v>0.32192000000000004</v>
      </c>
      <c r="U289" s="13">
        <v>0.54324000000000006</v>
      </c>
      <c r="V289" s="13">
        <v>0.60360000000000003</v>
      </c>
      <c r="W289" s="13">
        <v>0.60360000000000003</v>
      </c>
      <c r="X289" s="13">
        <v>0.60360000000000003</v>
      </c>
      <c r="Y289" s="1">
        <f>AVERAGE(U289:X289)</f>
        <v>0.58851000000000009</v>
      </c>
      <c r="Z289" s="10"/>
      <c r="AA289" s="10"/>
      <c r="AB289" s="10"/>
      <c r="AC289" s="10"/>
      <c r="AD289" s="10"/>
      <c r="AE289" s="10"/>
      <c r="AF289" s="10"/>
      <c r="AG289" s="38">
        <f>COUNTIF(Z289:AF289,"X")/7</f>
        <v>0</v>
      </c>
      <c r="AH289" s="51" t="str">
        <f>IF(AG289=100%,Y289," ")</f>
        <v xml:space="preserve"> </v>
      </c>
      <c r="AI289" s="64"/>
      <c r="AJ289" s="1"/>
      <c r="AK289" s="65">
        <v>0</v>
      </c>
      <c r="AL289" s="1"/>
      <c r="AM289" s="1" t="s">
        <v>736</v>
      </c>
    </row>
    <row r="290" spans="1:39" s="26" customFormat="1" ht="30.6" hidden="1" x14ac:dyDescent="0.3">
      <c r="A290" s="3" t="s">
        <v>610</v>
      </c>
      <c r="B290" s="2" t="s">
        <v>49</v>
      </c>
      <c r="C290" s="21">
        <v>6</v>
      </c>
      <c r="D290" s="23" t="s">
        <v>829</v>
      </c>
      <c r="E290" s="23"/>
      <c r="F290" s="28"/>
      <c r="G290" s="3" t="s">
        <v>826</v>
      </c>
      <c r="H290" s="6"/>
      <c r="I290" s="6"/>
      <c r="J290" s="6">
        <v>30</v>
      </c>
      <c r="K290" s="21"/>
      <c r="L290" s="21" t="s">
        <v>791</v>
      </c>
      <c r="M290" s="6" t="s">
        <v>827</v>
      </c>
      <c r="N290" s="6"/>
      <c r="O290" s="6" t="s">
        <v>793</v>
      </c>
      <c r="P290" s="6"/>
      <c r="Q290" s="27"/>
      <c r="R290" s="28" t="s">
        <v>692</v>
      </c>
      <c r="S290" s="6"/>
      <c r="T290" s="1">
        <v>4.9019999999999994E-2</v>
      </c>
      <c r="U290" s="1">
        <v>0.26648500000000003</v>
      </c>
      <c r="V290" s="1">
        <v>0.84908500000000009</v>
      </c>
      <c r="W290" s="1">
        <v>0.69509999999999994</v>
      </c>
      <c r="X290" s="1">
        <v>0.49550499999999997</v>
      </c>
      <c r="Y290" s="1">
        <f>AVERAGE(U290:X290)</f>
        <v>0.57654375000000002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/>
      <c r="AJ290" s="1"/>
      <c r="AK290" s="65">
        <v>0</v>
      </c>
      <c r="AL290" s="1"/>
      <c r="AM290" s="1" t="s">
        <v>741</v>
      </c>
    </row>
    <row r="291" spans="1:39" s="26" customFormat="1" hidden="1" x14ac:dyDescent="0.3">
      <c r="A291" s="22" t="s">
        <v>608</v>
      </c>
      <c r="B291" s="2"/>
      <c r="C291" s="21">
        <v>5</v>
      </c>
      <c r="D291" s="23"/>
      <c r="E291" s="23"/>
      <c r="F291" s="23"/>
      <c r="G291" s="3" t="s">
        <v>1271</v>
      </c>
      <c r="H291" s="6"/>
      <c r="I291" s="6"/>
      <c r="J291" s="6"/>
      <c r="K291" s="21"/>
      <c r="L291" s="21" t="s">
        <v>1266</v>
      </c>
      <c r="M291" s="6"/>
      <c r="N291" s="6"/>
      <c r="O291" s="6"/>
      <c r="P291" s="6"/>
      <c r="Q291" s="27"/>
      <c r="R291" s="27" t="s">
        <v>146</v>
      </c>
      <c r="S291" s="6"/>
      <c r="T291" s="1">
        <v>0.76980480000000007</v>
      </c>
      <c r="U291" s="1">
        <v>0.46509040000000001</v>
      </c>
      <c r="V291" s="1">
        <v>0.59339120000000001</v>
      </c>
      <c r="W291" s="1">
        <v>0.44905280000000003</v>
      </c>
      <c r="X291" s="1">
        <v>0.78584240000000016</v>
      </c>
      <c r="Y291" s="1">
        <f>AVERAGE(U291:X291)</f>
        <v>0.57334419999999997</v>
      </c>
      <c r="Z291" s="10"/>
      <c r="AA291" s="10"/>
      <c r="AB291" s="10"/>
      <c r="AC291" s="10"/>
      <c r="AD291" s="10"/>
      <c r="AE291" s="10"/>
      <c r="AF291" s="10"/>
      <c r="AG291" s="38">
        <f>COUNTIF(Z291:AF291,"X")/7</f>
        <v>0</v>
      </c>
      <c r="AH291" s="51" t="str">
        <f>IF(AG291=100%,Y291," ")</f>
        <v xml:space="preserve"> </v>
      </c>
      <c r="AI291" s="64"/>
      <c r="AJ291" s="1"/>
      <c r="AK291" s="65">
        <v>0</v>
      </c>
      <c r="AL291" s="1"/>
      <c r="AM291" s="1" t="s">
        <v>736</v>
      </c>
    </row>
    <row r="292" spans="1:39" s="26" customFormat="1" hidden="1" x14ac:dyDescent="0.3">
      <c r="A292" s="22" t="s">
        <v>819</v>
      </c>
      <c r="B292" s="2"/>
      <c r="C292" s="21">
        <v>8</v>
      </c>
      <c r="D292" s="23"/>
      <c r="E292" s="23"/>
      <c r="F292" s="23"/>
      <c r="G292" s="3" t="s">
        <v>1262</v>
      </c>
      <c r="H292" s="6"/>
      <c r="I292" s="6"/>
      <c r="J292" s="6"/>
      <c r="K292" s="21"/>
      <c r="L292" s="21" t="s">
        <v>1259</v>
      </c>
      <c r="M292" s="4"/>
      <c r="N292" s="6"/>
      <c r="O292" s="6"/>
      <c r="P292" s="6"/>
      <c r="Q292" s="27"/>
      <c r="R292" s="27" t="s">
        <v>146</v>
      </c>
      <c r="S292" s="6"/>
      <c r="T292" s="1">
        <v>0.2562130489795918</v>
      </c>
      <c r="U292" s="1">
        <v>0.2811052367346939</v>
      </c>
      <c r="V292" s="1">
        <v>0.53541386122448975</v>
      </c>
      <c r="W292" s="1">
        <v>0.62149874693877549</v>
      </c>
      <c r="X292" s="1">
        <v>0.81472295918367343</v>
      </c>
      <c r="Y292" s="1">
        <f>AVERAGE(U292:X292)</f>
        <v>0.56318520102040814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39" s="26" customFormat="1" hidden="1" x14ac:dyDescent="0.3">
      <c r="A293" s="22" t="s">
        <v>805</v>
      </c>
      <c r="B293" s="2"/>
      <c r="C293" s="21">
        <v>8</v>
      </c>
      <c r="D293" s="23"/>
      <c r="E293" s="23"/>
      <c r="F293" s="23"/>
      <c r="G293" s="3" t="s">
        <v>1271</v>
      </c>
      <c r="H293" s="6"/>
      <c r="I293" s="6"/>
      <c r="J293" s="6"/>
      <c r="K293" s="21"/>
      <c r="L293" s="21" t="s">
        <v>1259</v>
      </c>
      <c r="M293" s="6"/>
      <c r="N293" s="6"/>
      <c r="O293" s="6"/>
      <c r="P293" s="6"/>
      <c r="Q293" s="27"/>
      <c r="R293" s="27" t="s">
        <v>146</v>
      </c>
      <c r="S293" s="6"/>
      <c r="T293" s="1">
        <v>0.19199930000000001</v>
      </c>
      <c r="U293" s="1">
        <v>0.43757980000000002</v>
      </c>
      <c r="V293" s="1">
        <v>0.34827780000000003</v>
      </c>
      <c r="W293" s="1">
        <v>0.62957910000000006</v>
      </c>
      <c r="X293" s="1">
        <v>0.80818309999999993</v>
      </c>
      <c r="Y293" s="1">
        <f>AVERAGE(U293:X293)</f>
        <v>0.55590494999999995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39" s="26" customFormat="1" hidden="1" x14ac:dyDescent="0.3">
      <c r="A294" s="22" t="s">
        <v>1285</v>
      </c>
      <c r="B294" s="2"/>
      <c r="C294" s="21">
        <v>3.75</v>
      </c>
      <c r="D294" s="23"/>
      <c r="E294" s="23"/>
      <c r="F294" s="23"/>
      <c r="G294" s="3" t="s">
        <v>1286</v>
      </c>
      <c r="H294" s="6"/>
      <c r="I294" s="6"/>
      <c r="J294" s="6"/>
      <c r="K294" s="21"/>
      <c r="L294" s="21" t="s">
        <v>1266</v>
      </c>
      <c r="M294" s="6"/>
      <c r="N294" s="6"/>
      <c r="O294" s="6"/>
      <c r="P294" s="6"/>
      <c r="Q294" s="27"/>
      <c r="R294" s="27" t="s">
        <v>146</v>
      </c>
      <c r="S294" s="6"/>
      <c r="T294" s="1">
        <v>0.33639839999999999</v>
      </c>
      <c r="U294" s="1">
        <v>0.47656439999999994</v>
      </c>
      <c r="V294" s="1">
        <v>0.64476359999999999</v>
      </c>
      <c r="W294" s="1">
        <v>0.54664739999999989</v>
      </c>
      <c r="X294" s="1">
        <v>0.49058099999999993</v>
      </c>
      <c r="Y294" s="1">
        <f>AVERAGE(U294:X294)</f>
        <v>0.53963909999999993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39" s="26" customFormat="1" x14ac:dyDescent="0.3">
      <c r="A295" s="22" t="s">
        <v>337</v>
      </c>
      <c r="B295" s="2" t="s">
        <v>49</v>
      </c>
      <c r="C295" s="21">
        <v>3.75</v>
      </c>
      <c r="D295" s="23">
        <v>1350</v>
      </c>
      <c r="E295" s="23" t="s">
        <v>41</v>
      </c>
      <c r="F295" s="23" t="s">
        <v>104</v>
      </c>
      <c r="G295" s="3" t="s">
        <v>338</v>
      </c>
      <c r="H295" s="12" t="s">
        <v>41</v>
      </c>
      <c r="I295" s="12"/>
      <c r="J295" s="4"/>
      <c r="K295" s="5"/>
      <c r="L295" s="5" t="s">
        <v>52</v>
      </c>
      <c r="M295" s="4" t="s">
        <v>106</v>
      </c>
      <c r="N295" s="4" t="s">
        <v>107</v>
      </c>
      <c r="O295" s="12" t="s">
        <v>793</v>
      </c>
      <c r="P295" s="12" t="s">
        <v>108</v>
      </c>
      <c r="Q295" s="30" t="s">
        <v>47</v>
      </c>
      <c r="R295" s="27" t="s">
        <v>47</v>
      </c>
      <c r="S295" s="12" t="s">
        <v>55</v>
      </c>
      <c r="T295" s="13">
        <v>0</v>
      </c>
      <c r="U295" s="13">
        <v>0.66610000000000003</v>
      </c>
      <c r="V295" s="13">
        <v>0.53288000000000002</v>
      </c>
      <c r="W295" s="13">
        <v>0.53288000000000002</v>
      </c>
      <c r="X295" s="13">
        <v>0.39965999999999996</v>
      </c>
      <c r="Y295" s="1">
        <f>AVERAGE(U295:X295)</f>
        <v>0.53288000000000002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39" s="26" customFormat="1" hidden="1" x14ac:dyDescent="0.3">
      <c r="A296" s="22" t="s">
        <v>820</v>
      </c>
      <c r="B296" s="2"/>
      <c r="C296" s="21">
        <v>3</v>
      </c>
      <c r="D296" s="23"/>
      <c r="E296" s="23"/>
      <c r="F296" s="23"/>
      <c r="G296" s="3" t="s">
        <v>1287</v>
      </c>
      <c r="H296" s="6"/>
      <c r="I296" s="6"/>
      <c r="J296" s="6"/>
      <c r="K296" s="21"/>
      <c r="L296" s="21" t="s">
        <v>1266</v>
      </c>
      <c r="M296" s="6"/>
      <c r="N296" s="6"/>
      <c r="O296" s="6"/>
      <c r="P296" s="6"/>
      <c r="Q296" s="27"/>
      <c r="R296" s="27" t="s">
        <v>146</v>
      </c>
      <c r="S296" s="6"/>
      <c r="T296" s="1">
        <v>0.52515319999999999</v>
      </c>
      <c r="U296" s="1">
        <v>0.54449919999999996</v>
      </c>
      <c r="V296" s="1">
        <v>0.42600239999999995</v>
      </c>
      <c r="W296" s="1">
        <v>0.61754799999999999</v>
      </c>
      <c r="X296" s="1">
        <v>0.53339999999999999</v>
      </c>
      <c r="Y296" s="1">
        <f>AVERAGE(U296:X296)</f>
        <v>0.53036240000000001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39" s="26" customFormat="1" hidden="1" x14ac:dyDescent="0.3">
      <c r="A297" s="22" t="s">
        <v>1288</v>
      </c>
      <c r="B297" s="2"/>
      <c r="C297" s="21">
        <v>4.75</v>
      </c>
      <c r="D297" s="23"/>
      <c r="E297" s="23"/>
      <c r="F297" s="23"/>
      <c r="G297" s="3" t="s">
        <v>1262</v>
      </c>
      <c r="H297" s="6"/>
      <c r="I297" s="6"/>
      <c r="J297" s="6"/>
      <c r="K297" s="21"/>
      <c r="L297" s="21" t="s">
        <v>1259</v>
      </c>
      <c r="M297" s="6"/>
      <c r="N297" s="6"/>
      <c r="O297" s="6"/>
      <c r="P297" s="6"/>
      <c r="Q297" s="27"/>
      <c r="R297" s="27" t="s">
        <v>146</v>
      </c>
      <c r="S297" s="6"/>
      <c r="T297" s="1">
        <v>0.37855973689032885</v>
      </c>
      <c r="U297" s="1">
        <v>0.52787652996568024</v>
      </c>
      <c r="V297" s="1">
        <v>0.51436372932291263</v>
      </c>
      <c r="W297" s="1">
        <v>0.55360391022991684</v>
      </c>
      <c r="X297" s="1">
        <v>0.52380236152120441</v>
      </c>
      <c r="Y297" s="1">
        <f>AVERAGE(U297:X297)</f>
        <v>0.52991163275992847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758</v>
      </c>
    </row>
    <row r="298" spans="1:39" s="26" customFormat="1" x14ac:dyDescent="0.3">
      <c r="A298" s="22" t="s">
        <v>339</v>
      </c>
      <c r="B298" s="2" t="s">
        <v>78</v>
      </c>
      <c r="C298" s="21">
        <v>1</v>
      </c>
      <c r="D298" s="23">
        <v>1200</v>
      </c>
      <c r="E298" s="23">
        <v>2000</v>
      </c>
      <c r="F298" s="23"/>
      <c r="G298" s="3" t="s">
        <v>340</v>
      </c>
      <c r="H298" s="10" t="s">
        <v>41</v>
      </c>
      <c r="I298" s="10"/>
      <c r="J298" s="6"/>
      <c r="K298" s="21"/>
      <c r="L298" s="21" t="s">
        <v>296</v>
      </c>
      <c r="M298" s="6" t="s">
        <v>106</v>
      </c>
      <c r="N298" s="6" t="s">
        <v>94</v>
      </c>
      <c r="O298" s="12" t="s">
        <v>793</v>
      </c>
      <c r="P298" s="10" t="s">
        <v>47</v>
      </c>
      <c r="Q298" s="29" t="s">
        <v>47</v>
      </c>
      <c r="R298" s="27" t="s">
        <v>47</v>
      </c>
      <c r="S298" s="10" t="s">
        <v>47</v>
      </c>
      <c r="T298" s="13">
        <v>6.3024999999999998E-2</v>
      </c>
      <c r="U298" s="13">
        <v>0.32268799999999997</v>
      </c>
      <c r="V298" s="13">
        <v>0.68788799999999994</v>
      </c>
      <c r="W298" s="13">
        <v>0.73830799999999996</v>
      </c>
      <c r="X298" s="13">
        <v>0.29461199999999999</v>
      </c>
      <c r="Y298" s="1">
        <f>AVERAGE(U298:X298)</f>
        <v>0.51087399999999994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39" s="26" customFormat="1" hidden="1" x14ac:dyDescent="0.3">
      <c r="A299" s="22" t="s">
        <v>873</v>
      </c>
      <c r="B299" s="2" t="s">
        <v>770</v>
      </c>
      <c r="C299" s="21">
        <v>1.06</v>
      </c>
      <c r="D299" s="23" t="s">
        <v>874</v>
      </c>
      <c r="E299" s="23"/>
      <c r="F299" s="28"/>
      <c r="G299" s="3" t="s">
        <v>875</v>
      </c>
      <c r="H299" s="6"/>
      <c r="I299" s="6"/>
      <c r="J299" s="6">
        <v>30</v>
      </c>
      <c r="K299" s="21"/>
      <c r="L299" s="21" t="s">
        <v>791</v>
      </c>
      <c r="M299" s="4" t="s">
        <v>119</v>
      </c>
      <c r="N299" s="6"/>
      <c r="O299" s="6" t="s">
        <v>793</v>
      </c>
      <c r="P299" s="6"/>
      <c r="Q299" s="27"/>
      <c r="R299" s="28" t="s">
        <v>692</v>
      </c>
      <c r="S299" s="6"/>
      <c r="T299" s="1">
        <v>0</v>
      </c>
      <c r="U299" s="1">
        <v>0.25295000000000001</v>
      </c>
      <c r="V299" s="1">
        <v>0.75885000000000002</v>
      </c>
      <c r="W299" s="1">
        <v>0.50590000000000002</v>
      </c>
      <c r="X299" s="1">
        <v>0.50590000000000002</v>
      </c>
      <c r="Y299" s="1">
        <f>AVERAGE(U299:X299)</f>
        <v>0.50590000000000002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39" s="26" customFormat="1" hidden="1" x14ac:dyDescent="0.3">
      <c r="A300" s="22" t="s">
        <v>841</v>
      </c>
      <c r="B300" s="2"/>
      <c r="C300" s="21">
        <v>9.5</v>
      </c>
      <c r="D300" s="23"/>
      <c r="E300" s="23"/>
      <c r="F300" s="23"/>
      <c r="G300" s="3" t="s">
        <v>1262</v>
      </c>
      <c r="H300" s="4"/>
      <c r="I300" s="4"/>
      <c r="J300" s="4"/>
      <c r="K300" s="5"/>
      <c r="L300" s="5" t="s">
        <v>1259</v>
      </c>
      <c r="M300" s="4"/>
      <c r="N300" s="4"/>
      <c r="O300" s="4"/>
      <c r="P300" s="4"/>
      <c r="Q300" s="24"/>
      <c r="R300" s="27" t="s">
        <v>146</v>
      </c>
      <c r="S300" s="4"/>
      <c r="T300" s="1">
        <v>0.51946514594594584</v>
      </c>
      <c r="U300" s="1">
        <v>0.43208962162162157</v>
      </c>
      <c r="V300" s="1">
        <v>0.52440502162162161</v>
      </c>
      <c r="W300" s="1">
        <v>0.48344347027027029</v>
      </c>
      <c r="X300" s="1">
        <v>0.57212995675675682</v>
      </c>
      <c r="Y300" s="1">
        <f>AVERAGE(U300:X300)</f>
        <v>0.50301701756756756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39" s="26" customFormat="1" hidden="1" x14ac:dyDescent="0.3">
      <c r="A301" s="22" t="s">
        <v>876</v>
      </c>
      <c r="B301" s="2" t="s">
        <v>49</v>
      </c>
      <c r="C301" s="21">
        <v>3</v>
      </c>
      <c r="D301" s="23">
        <v>1150</v>
      </c>
      <c r="E301" s="23"/>
      <c r="F301" s="28"/>
      <c r="G301" s="3" t="s">
        <v>849</v>
      </c>
      <c r="H301" s="6"/>
      <c r="I301" s="6"/>
      <c r="J301" s="6">
        <v>30</v>
      </c>
      <c r="K301" s="21"/>
      <c r="L301" s="21" t="s">
        <v>815</v>
      </c>
      <c r="M301" s="6" t="s">
        <v>297</v>
      </c>
      <c r="N301" s="6"/>
      <c r="O301" s="6" t="s">
        <v>793</v>
      </c>
      <c r="P301" s="6"/>
      <c r="Q301" s="27"/>
      <c r="R301" s="28" t="s">
        <v>692</v>
      </c>
      <c r="S301" s="6"/>
      <c r="T301" s="1">
        <v>0.43119999999999997</v>
      </c>
      <c r="U301" s="1">
        <v>0.38192000000000004</v>
      </c>
      <c r="V301" s="1">
        <v>0.56672</v>
      </c>
      <c r="W301" s="1">
        <v>0.51744000000000001</v>
      </c>
      <c r="X301" s="1">
        <v>0.54208000000000001</v>
      </c>
      <c r="Y301" s="1">
        <f>AVERAGE(U301:X301)</f>
        <v>0.50204000000000004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39" s="26" customFormat="1" hidden="1" x14ac:dyDescent="0.3">
      <c r="A302" s="22" t="s">
        <v>877</v>
      </c>
      <c r="B302" s="2" t="s">
        <v>770</v>
      </c>
      <c r="C302" s="21">
        <v>1.5</v>
      </c>
      <c r="D302" s="23">
        <v>490</v>
      </c>
      <c r="E302" s="23"/>
      <c r="F302" s="28"/>
      <c r="G302" s="3" t="s">
        <v>863</v>
      </c>
      <c r="H302" s="4"/>
      <c r="I302" s="4"/>
      <c r="J302" s="4">
        <v>63</v>
      </c>
      <c r="K302" s="5"/>
      <c r="L302" s="5" t="s">
        <v>864</v>
      </c>
      <c r="M302" s="4" t="s">
        <v>865</v>
      </c>
      <c r="N302" s="4"/>
      <c r="O302" s="4" t="s">
        <v>793</v>
      </c>
      <c r="P302" s="4"/>
      <c r="Q302" s="24"/>
      <c r="R302" s="25" t="s">
        <v>692</v>
      </c>
      <c r="S302" s="4"/>
      <c r="T302" s="1">
        <v>0</v>
      </c>
      <c r="U302" s="1">
        <v>0.35058400000000001</v>
      </c>
      <c r="V302" s="1">
        <v>0.35058400000000001</v>
      </c>
      <c r="W302" s="1">
        <v>0.52587600000000001</v>
      </c>
      <c r="X302" s="1">
        <v>0.70116800000000001</v>
      </c>
      <c r="Y302" s="1">
        <f>AVERAGE(U302:X302)</f>
        <v>0.48205300000000001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39" s="26" customFormat="1" x14ac:dyDescent="0.3">
      <c r="A303" s="22" t="s">
        <v>341</v>
      </c>
      <c r="B303" s="2" t="s">
        <v>342</v>
      </c>
      <c r="C303" s="21">
        <v>2</v>
      </c>
      <c r="D303" s="23">
        <v>1200</v>
      </c>
      <c r="E303" s="23">
        <v>1125</v>
      </c>
      <c r="F303" s="23"/>
      <c r="G303" s="3"/>
      <c r="H303" s="12" t="s">
        <v>41</v>
      </c>
      <c r="I303" s="12"/>
      <c r="J303" s="4"/>
      <c r="K303" s="5"/>
      <c r="L303" s="21" t="s">
        <v>296</v>
      </c>
      <c r="M303" s="4"/>
      <c r="N303" s="4"/>
      <c r="O303" s="12" t="s">
        <v>793</v>
      </c>
      <c r="P303" s="16" t="s">
        <v>47</v>
      </c>
      <c r="Q303" s="30" t="s">
        <v>47</v>
      </c>
      <c r="R303" s="27" t="s">
        <v>47</v>
      </c>
      <c r="S303" s="10" t="s">
        <v>47</v>
      </c>
      <c r="T303" s="13">
        <v>0.372</v>
      </c>
      <c r="U303" s="13">
        <v>0.40920000000000001</v>
      </c>
      <c r="V303" s="13">
        <v>0.54559999999999997</v>
      </c>
      <c r="W303" s="13">
        <v>0.48360000000000003</v>
      </c>
      <c r="X303" s="13">
        <v>0.48360000000000003</v>
      </c>
      <c r="Y303" s="1">
        <f>AVERAGE(U303:X303)</f>
        <v>0.48050000000000004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39" s="26" customFormat="1" hidden="1" x14ac:dyDescent="0.3">
      <c r="A304" s="3" t="s">
        <v>676</v>
      </c>
      <c r="B304" s="2" t="s">
        <v>49</v>
      </c>
      <c r="C304" s="21">
        <v>4</v>
      </c>
      <c r="D304" s="23" t="s">
        <v>878</v>
      </c>
      <c r="E304" s="23"/>
      <c r="F304" s="28"/>
      <c r="G304" s="3" t="s">
        <v>879</v>
      </c>
      <c r="H304" s="6"/>
      <c r="I304" s="6"/>
      <c r="J304" s="6">
        <v>30</v>
      </c>
      <c r="K304" s="21"/>
      <c r="L304" s="21" t="s">
        <v>815</v>
      </c>
      <c r="M304" s="6" t="s">
        <v>827</v>
      </c>
      <c r="N304" s="6"/>
      <c r="O304" s="6" t="s">
        <v>793</v>
      </c>
      <c r="P304" s="6"/>
      <c r="Q304" s="27"/>
      <c r="R304" s="28" t="s">
        <v>692</v>
      </c>
      <c r="S304" s="6"/>
      <c r="T304" s="1">
        <v>0.507656</v>
      </c>
      <c r="U304" s="1">
        <v>0.47086199999999995</v>
      </c>
      <c r="V304" s="1">
        <v>0.467034</v>
      </c>
      <c r="W304" s="1">
        <v>0.47546400000000005</v>
      </c>
      <c r="X304" s="1">
        <v>0.47220600000000001</v>
      </c>
      <c r="Y304" s="1">
        <f>AVERAGE(U304:X304)</f>
        <v>0.47139149999999996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hidden="1" x14ac:dyDescent="0.3">
      <c r="A305" s="3" t="s">
        <v>880</v>
      </c>
      <c r="B305" s="2" t="s">
        <v>49</v>
      </c>
      <c r="C305" s="21">
        <v>4.75</v>
      </c>
      <c r="D305" s="23" t="s">
        <v>829</v>
      </c>
      <c r="E305" s="23"/>
      <c r="F305" s="28"/>
      <c r="G305" s="3" t="s">
        <v>881</v>
      </c>
      <c r="H305" s="4"/>
      <c r="I305" s="6"/>
      <c r="J305" s="4">
        <v>30</v>
      </c>
      <c r="K305" s="5"/>
      <c r="L305" s="5" t="s">
        <v>791</v>
      </c>
      <c r="M305" s="4" t="s">
        <v>787</v>
      </c>
      <c r="N305" s="4"/>
      <c r="O305" s="4" t="s">
        <v>793</v>
      </c>
      <c r="P305" s="4"/>
      <c r="Q305" s="24"/>
      <c r="R305" s="25" t="s">
        <v>692</v>
      </c>
      <c r="S305" s="6"/>
      <c r="T305" s="1">
        <v>3.5153999999999998E-2</v>
      </c>
      <c r="U305" s="1">
        <v>1.8600000000000002E-2</v>
      </c>
      <c r="V305" s="1">
        <v>0.43727000000000005</v>
      </c>
      <c r="W305" s="1">
        <v>0.96623400000000015</v>
      </c>
      <c r="X305" s="1">
        <v>0.46000200000000002</v>
      </c>
      <c r="Y305" s="1">
        <f>AVERAGE(U305:X305)</f>
        <v>0.47052650000000007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343</v>
      </c>
      <c r="B306" s="2" t="s">
        <v>148</v>
      </c>
      <c r="C306" s="21">
        <v>4.75</v>
      </c>
      <c r="D306" s="23">
        <v>178</v>
      </c>
      <c r="E306" s="23" t="s">
        <v>41</v>
      </c>
      <c r="F306" s="23"/>
      <c r="G306" s="3"/>
      <c r="H306" s="12" t="s">
        <v>41</v>
      </c>
      <c r="I306" s="12"/>
      <c r="J306" s="4"/>
      <c r="K306" s="5"/>
      <c r="L306" s="21" t="s">
        <v>296</v>
      </c>
      <c r="M306" s="4"/>
      <c r="N306" s="4"/>
      <c r="O306" s="12" t="s">
        <v>793</v>
      </c>
      <c r="P306" s="16" t="s">
        <v>47</v>
      </c>
      <c r="Q306" s="30" t="s">
        <v>47</v>
      </c>
      <c r="R306" s="27" t="s">
        <v>47</v>
      </c>
      <c r="S306" s="10" t="s">
        <v>47</v>
      </c>
      <c r="T306" s="13">
        <v>0</v>
      </c>
      <c r="U306" s="13">
        <v>0</v>
      </c>
      <c r="V306" s="13">
        <v>0.92959999999999998</v>
      </c>
      <c r="W306" s="13">
        <v>0.92959999999999998</v>
      </c>
      <c r="X306" s="13">
        <v>0</v>
      </c>
      <c r="Y306" s="1">
        <f>AVERAGE(U306:X306)</f>
        <v>0.46479999999999999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344</v>
      </c>
      <c r="B307" s="2" t="s">
        <v>148</v>
      </c>
      <c r="C307" s="21">
        <v>2.5</v>
      </c>
      <c r="D307" s="23">
        <v>144</v>
      </c>
      <c r="E307" s="23" t="s">
        <v>41</v>
      </c>
      <c r="F307" s="23"/>
      <c r="G307" s="3" t="s">
        <v>345</v>
      </c>
      <c r="H307" s="10" t="s">
        <v>41</v>
      </c>
      <c r="I307" s="10"/>
      <c r="J307" s="6"/>
      <c r="K307" s="5"/>
      <c r="L307" s="5" t="s">
        <v>296</v>
      </c>
      <c r="M307" s="6" t="s">
        <v>45</v>
      </c>
      <c r="N307" s="35" t="s">
        <v>46</v>
      </c>
      <c r="O307" s="12" t="s">
        <v>793</v>
      </c>
      <c r="P307" s="10" t="s">
        <v>47</v>
      </c>
      <c r="Q307" s="29" t="s">
        <v>47</v>
      </c>
      <c r="R307" s="27" t="s">
        <v>47</v>
      </c>
      <c r="S307" s="10" t="s">
        <v>47</v>
      </c>
      <c r="T307" s="13">
        <v>0.53200000000000003</v>
      </c>
      <c r="U307" s="13">
        <v>0.58799999999999997</v>
      </c>
      <c r="V307" s="13">
        <v>0.52500000000000002</v>
      </c>
      <c r="W307" s="13">
        <v>0.17850000000000002</v>
      </c>
      <c r="X307" s="13">
        <v>0.55649999999999999</v>
      </c>
      <c r="Y307" s="1">
        <f>AVERAGE(U307:X307)</f>
        <v>0.46200000000000002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346</v>
      </c>
      <c r="B308" s="2" t="s">
        <v>62</v>
      </c>
      <c r="C308" s="21">
        <v>0.65</v>
      </c>
      <c r="D308" s="23">
        <v>430</v>
      </c>
      <c r="E308" s="23" t="s">
        <v>41</v>
      </c>
      <c r="F308" s="23"/>
      <c r="G308" s="3" t="s">
        <v>347</v>
      </c>
      <c r="H308" s="12" t="s">
        <v>41</v>
      </c>
      <c r="I308" s="10"/>
      <c r="J308" s="4"/>
      <c r="K308" s="5"/>
      <c r="L308" s="5" t="s">
        <v>296</v>
      </c>
      <c r="M308" s="4" t="s">
        <v>115</v>
      </c>
      <c r="N308" s="4"/>
      <c r="O308" s="12" t="s">
        <v>793</v>
      </c>
      <c r="P308" s="12" t="s">
        <v>47</v>
      </c>
      <c r="Q308" s="30" t="s">
        <v>47</v>
      </c>
      <c r="R308" s="27" t="s">
        <v>47</v>
      </c>
      <c r="S308" s="10" t="s">
        <v>47</v>
      </c>
      <c r="T308" s="13">
        <v>0.31571099999999996</v>
      </c>
      <c r="U308" s="13">
        <v>0.42519999999999997</v>
      </c>
      <c r="V308" s="13">
        <v>0.56551599999999991</v>
      </c>
      <c r="W308" s="13">
        <v>0.42519999999999997</v>
      </c>
      <c r="X308" s="13">
        <v>0.42519999999999997</v>
      </c>
      <c r="Y308" s="1">
        <f>AVERAGE(U308:X308)</f>
        <v>0.46027899999999999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348</v>
      </c>
      <c r="B309" s="2" t="s">
        <v>40</v>
      </c>
      <c r="C309" s="21">
        <v>1.2</v>
      </c>
      <c r="D309" s="23">
        <v>1350</v>
      </c>
      <c r="E309" s="23" t="s">
        <v>41</v>
      </c>
      <c r="F309" s="23"/>
      <c r="G309" s="3" t="s">
        <v>349</v>
      </c>
      <c r="H309" s="10" t="s">
        <v>41</v>
      </c>
      <c r="I309" s="10"/>
      <c r="J309" s="6"/>
      <c r="K309" s="21"/>
      <c r="L309" s="21" t="s">
        <v>301</v>
      </c>
      <c r="M309" s="6" t="s">
        <v>195</v>
      </c>
      <c r="N309" s="6" t="s">
        <v>314</v>
      </c>
      <c r="O309" s="12" t="s">
        <v>793</v>
      </c>
      <c r="P309" s="10" t="s">
        <v>47</v>
      </c>
      <c r="Q309" s="29" t="s">
        <v>47</v>
      </c>
      <c r="R309" s="27" t="s">
        <v>47</v>
      </c>
      <c r="S309" s="10" t="s">
        <v>47</v>
      </c>
      <c r="T309" s="13">
        <v>0.45319999999999999</v>
      </c>
      <c r="U309" s="13">
        <v>0.40788000000000002</v>
      </c>
      <c r="V309" s="13">
        <v>0.49851999999999996</v>
      </c>
      <c r="W309" s="13">
        <v>0.45319999999999999</v>
      </c>
      <c r="X309" s="13">
        <v>0.45319999999999999</v>
      </c>
      <c r="Y309" s="1">
        <f>AVERAGE(U309:X309)</f>
        <v>0.45319999999999999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hidden="1" x14ac:dyDescent="0.3">
      <c r="A310" s="22" t="s">
        <v>346</v>
      </c>
      <c r="B310" s="2"/>
      <c r="C310" s="21">
        <v>0.65</v>
      </c>
      <c r="D310" s="23"/>
      <c r="E310" s="23"/>
      <c r="F310" s="23"/>
      <c r="G310" s="3"/>
      <c r="H310" s="6"/>
      <c r="I310" s="6"/>
      <c r="J310" s="6"/>
      <c r="K310" s="21"/>
      <c r="L310" s="21" t="s">
        <v>1266</v>
      </c>
      <c r="M310" s="4" t="s">
        <v>1282</v>
      </c>
      <c r="N310" s="6"/>
      <c r="O310" s="6"/>
      <c r="P310" s="6"/>
      <c r="Q310" s="27"/>
      <c r="R310" s="27" t="s">
        <v>146</v>
      </c>
      <c r="S310" s="6"/>
      <c r="T310" s="1">
        <v>0</v>
      </c>
      <c r="U310" s="1">
        <v>0.45242166666666667</v>
      </c>
      <c r="V310" s="1">
        <v>0.45242166666666667</v>
      </c>
      <c r="W310" s="1">
        <v>0.45242166666666672</v>
      </c>
      <c r="X310" s="1">
        <v>0.45242166666666667</v>
      </c>
      <c r="Y310" s="1">
        <f>AVERAGE(U310:X310)</f>
        <v>0.45242166666666667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hidden="1" x14ac:dyDescent="0.3">
      <c r="A311" s="22" t="s">
        <v>1289</v>
      </c>
      <c r="B311" s="2"/>
      <c r="C311" s="21">
        <v>2</v>
      </c>
      <c r="D311" s="23"/>
      <c r="E311" s="23"/>
      <c r="F311" s="23"/>
      <c r="G311" s="3" t="s">
        <v>1270</v>
      </c>
      <c r="H311" s="6"/>
      <c r="I311" s="6"/>
      <c r="J311" s="6"/>
      <c r="K311" s="21"/>
      <c r="L311" s="5" t="s">
        <v>1259</v>
      </c>
      <c r="M311" s="6"/>
      <c r="N311" s="6"/>
      <c r="O311" s="6"/>
      <c r="P311" s="6"/>
      <c r="Q311" s="27"/>
      <c r="R311" s="27" t="s">
        <v>146</v>
      </c>
      <c r="S311" s="6"/>
      <c r="T311" s="1">
        <v>0.48362949308755754</v>
      </c>
      <c r="U311" s="1">
        <v>0.37978557814900155</v>
      </c>
      <c r="V311" s="1">
        <v>0.44763351516897076</v>
      </c>
      <c r="W311" s="1">
        <v>0.3990822150537634</v>
      </c>
      <c r="X311" s="1">
        <v>0.55056335618279573</v>
      </c>
      <c r="Y311" s="1">
        <f>AVERAGE(U311:X311)</f>
        <v>0.4442661661386329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hidden="1" x14ac:dyDescent="0.3">
      <c r="A312" s="3" t="s">
        <v>882</v>
      </c>
      <c r="B312" s="2" t="s">
        <v>49</v>
      </c>
      <c r="C312" s="21">
        <v>4.75</v>
      </c>
      <c r="D312" s="23">
        <v>1250</v>
      </c>
      <c r="E312" s="23"/>
      <c r="F312" s="28"/>
      <c r="G312" s="3" t="s">
        <v>883</v>
      </c>
      <c r="H312" s="6"/>
      <c r="I312" s="6"/>
      <c r="J312" s="6">
        <v>30</v>
      </c>
      <c r="K312" s="21"/>
      <c r="L312" s="21" t="s">
        <v>815</v>
      </c>
      <c r="M312" s="6" t="s">
        <v>297</v>
      </c>
      <c r="N312" s="6"/>
      <c r="O312" s="6" t="s">
        <v>793</v>
      </c>
      <c r="P312" s="6"/>
      <c r="Q312" s="27"/>
      <c r="R312" s="28" t="s">
        <v>692</v>
      </c>
      <c r="S312" s="6"/>
      <c r="T312" s="1">
        <v>0.65366400000000002</v>
      </c>
      <c r="U312" s="1">
        <v>0.39365800000000001</v>
      </c>
      <c r="V312" s="1">
        <v>0.47989200000000004</v>
      </c>
      <c r="W312" s="1">
        <v>0.50192800000000004</v>
      </c>
      <c r="X312" s="1">
        <v>0.38481900000000002</v>
      </c>
      <c r="Y312" s="1">
        <f>AVERAGE(U312:X312)</f>
        <v>0.44007425000000006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 t="s">
        <v>350</v>
      </c>
      <c r="B313" s="2" t="s">
        <v>158</v>
      </c>
      <c r="C313" s="21">
        <v>1.2</v>
      </c>
      <c r="D313" s="23">
        <v>101</v>
      </c>
      <c r="E313" s="23" t="s">
        <v>41</v>
      </c>
      <c r="F313" s="23"/>
      <c r="G313" s="3" t="s">
        <v>351</v>
      </c>
      <c r="H313" s="10">
        <v>34025668</v>
      </c>
      <c r="I313" s="10"/>
      <c r="J313" s="6"/>
      <c r="K313" s="21"/>
      <c r="L313" s="21" t="s">
        <v>64</v>
      </c>
      <c r="M313" s="6" t="s">
        <v>45</v>
      </c>
      <c r="N313" s="35" t="s">
        <v>46</v>
      </c>
      <c r="O313" s="12" t="s">
        <v>793</v>
      </c>
      <c r="P313" s="10" t="s">
        <v>47</v>
      </c>
      <c r="Q313" s="29" t="s">
        <v>47</v>
      </c>
      <c r="R313" s="27" t="s">
        <v>47</v>
      </c>
      <c r="S313" s="10" t="s">
        <v>47</v>
      </c>
      <c r="T313" s="13">
        <v>0.43274000000000001</v>
      </c>
      <c r="U313" s="13">
        <v>0.48972000000000004</v>
      </c>
      <c r="V313" s="13">
        <v>0.49280000000000007</v>
      </c>
      <c r="W313" s="13">
        <v>0.29414000000000007</v>
      </c>
      <c r="X313" s="13">
        <v>0.43813000000000002</v>
      </c>
      <c r="Y313" s="1">
        <f>AVERAGE(U313:X313)</f>
        <v>0.42869750000000006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hidden="1" x14ac:dyDescent="0.3">
      <c r="A314" s="22" t="s">
        <v>884</v>
      </c>
      <c r="B314" s="2" t="s">
        <v>770</v>
      </c>
      <c r="C314" s="21">
        <v>1.9</v>
      </c>
      <c r="D314" s="23" t="s">
        <v>829</v>
      </c>
      <c r="E314" s="23"/>
      <c r="F314" s="28"/>
      <c r="G314" s="3" t="s">
        <v>885</v>
      </c>
      <c r="H314" s="6"/>
      <c r="I314" s="6"/>
      <c r="J314" s="6">
        <v>30</v>
      </c>
      <c r="K314" s="21"/>
      <c r="L314" s="21" t="s">
        <v>791</v>
      </c>
      <c r="M314" s="6" t="s">
        <v>865</v>
      </c>
      <c r="N314" s="6"/>
      <c r="O314" s="6" t="s">
        <v>793</v>
      </c>
      <c r="P314" s="6"/>
      <c r="Q314" s="27"/>
      <c r="R314" s="28" t="s">
        <v>692</v>
      </c>
      <c r="S314" s="6"/>
      <c r="T314" s="1">
        <v>0.24564800000000003</v>
      </c>
      <c r="U314" s="1">
        <v>0.34012800000000004</v>
      </c>
      <c r="V314" s="1">
        <v>0.51019199999999998</v>
      </c>
      <c r="W314" s="1">
        <v>0.51019200000000009</v>
      </c>
      <c r="X314" s="1">
        <v>0.34012800000000004</v>
      </c>
      <c r="Y314" s="1">
        <f>AVERAGE(U314:X314)</f>
        <v>0.42515999999999998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hidden="1" x14ac:dyDescent="0.3">
      <c r="A315" s="22" t="s">
        <v>1290</v>
      </c>
      <c r="B315" s="2"/>
      <c r="C315" s="21">
        <v>30</v>
      </c>
      <c r="D315" s="23"/>
      <c r="E315" s="23"/>
      <c r="F315" s="23"/>
      <c r="G315" s="3" t="s">
        <v>1251</v>
      </c>
      <c r="H315" s="6"/>
      <c r="I315" s="6"/>
      <c r="J315" s="6"/>
      <c r="K315" s="21"/>
      <c r="L315" s="21" t="s">
        <v>1266</v>
      </c>
      <c r="M315" s="6"/>
      <c r="N315" s="6"/>
      <c r="O315" s="6"/>
      <c r="P315" s="6"/>
      <c r="Q315" s="27"/>
      <c r="R315" s="27" t="s">
        <v>146</v>
      </c>
      <c r="S315" s="6"/>
      <c r="T315" s="1">
        <v>0</v>
      </c>
      <c r="U315" s="1">
        <v>0</v>
      </c>
      <c r="V315" s="1">
        <v>0</v>
      </c>
      <c r="W315" s="1">
        <v>0.820886</v>
      </c>
      <c r="X315" s="1">
        <v>0.820886</v>
      </c>
      <c r="Y315" s="1">
        <f>AVERAGE(U315:X315)</f>
        <v>0.410443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22" t="s">
        <v>352</v>
      </c>
      <c r="B316" s="2" t="s">
        <v>78</v>
      </c>
      <c r="C316" s="21">
        <v>2</v>
      </c>
      <c r="D316" s="23">
        <v>1000</v>
      </c>
      <c r="E316" s="23">
        <v>1700</v>
      </c>
      <c r="F316" s="23"/>
      <c r="G316" s="3" t="s">
        <v>353</v>
      </c>
      <c r="H316" s="12" t="s">
        <v>41</v>
      </c>
      <c r="I316" s="12"/>
      <c r="J316" s="4"/>
      <c r="K316" s="5"/>
      <c r="L316" s="5" t="s">
        <v>106</v>
      </c>
      <c r="M316" s="4" t="s">
        <v>119</v>
      </c>
      <c r="N316" s="4"/>
      <c r="O316" s="12" t="s">
        <v>793</v>
      </c>
      <c r="P316" s="12" t="s">
        <v>47</v>
      </c>
      <c r="Q316" s="30" t="s">
        <v>47</v>
      </c>
      <c r="R316" s="27" t="s">
        <v>47</v>
      </c>
      <c r="S316" s="10" t="s">
        <v>47</v>
      </c>
      <c r="T316" s="13">
        <v>0.37192500000000001</v>
      </c>
      <c r="U316" s="13">
        <v>0.35235</v>
      </c>
      <c r="V316" s="13">
        <v>0.45022500000000004</v>
      </c>
      <c r="W316" s="13">
        <v>0.41760000000000003</v>
      </c>
      <c r="X316" s="13">
        <v>0.41760000000000003</v>
      </c>
      <c r="Y316" s="1">
        <f>AVERAGE(U316:X316)</f>
        <v>0.40944375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hidden="1" x14ac:dyDescent="0.3">
      <c r="A317" s="3" t="s">
        <v>886</v>
      </c>
      <c r="B317" s="2" t="s">
        <v>49</v>
      </c>
      <c r="C317" s="21">
        <v>7</v>
      </c>
      <c r="D317" s="23">
        <v>1000</v>
      </c>
      <c r="E317" s="23"/>
      <c r="F317" s="28"/>
      <c r="G317" s="3" t="s">
        <v>844</v>
      </c>
      <c r="H317" s="6"/>
      <c r="I317" s="6"/>
      <c r="J317" s="6">
        <v>30</v>
      </c>
      <c r="K317" s="5"/>
      <c r="L317" s="5" t="s">
        <v>791</v>
      </c>
      <c r="M317" s="4" t="s">
        <v>704</v>
      </c>
      <c r="N317" s="6"/>
      <c r="O317" s="6" t="s">
        <v>793</v>
      </c>
      <c r="P317" s="6"/>
      <c r="Q317" s="27"/>
      <c r="R317" s="28" t="s">
        <v>692</v>
      </c>
      <c r="S317" s="6"/>
      <c r="T317" s="1">
        <v>0</v>
      </c>
      <c r="U317" s="1">
        <v>0.2301</v>
      </c>
      <c r="V317" s="1">
        <v>0.53689999999999993</v>
      </c>
      <c r="W317" s="1">
        <v>0.49854999999999999</v>
      </c>
      <c r="X317" s="1">
        <v>0.36816000000000004</v>
      </c>
      <c r="Y317" s="1">
        <f>AVERAGE(U317:X317)</f>
        <v>0.4084275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hidden="1" x14ac:dyDescent="0.3">
      <c r="A318" s="19" t="s">
        <v>1225</v>
      </c>
      <c r="B318" s="21" t="s">
        <v>40</v>
      </c>
      <c r="C318" s="21">
        <v>1</v>
      </c>
      <c r="D318" s="23">
        <v>1200</v>
      </c>
      <c r="E318" s="23"/>
      <c r="F318" s="23" t="s">
        <v>82</v>
      </c>
      <c r="G318" s="20" t="s">
        <v>1226</v>
      </c>
      <c r="H318" s="6"/>
      <c r="I318" s="6" t="s">
        <v>1084</v>
      </c>
      <c r="J318" s="6">
        <v>60</v>
      </c>
      <c r="K318" s="21">
        <v>0.5</v>
      </c>
      <c r="L318" s="21" t="s">
        <v>1073</v>
      </c>
      <c r="M318" s="6" t="s">
        <v>195</v>
      </c>
      <c r="N318" s="6" t="s">
        <v>160</v>
      </c>
      <c r="O318" s="6">
        <v>20</v>
      </c>
      <c r="P318" s="6"/>
      <c r="Q318" s="27"/>
      <c r="R318" s="28" t="s">
        <v>108</v>
      </c>
      <c r="S318" s="6"/>
      <c r="T318" s="1">
        <v>0.42680000000000001</v>
      </c>
      <c r="U318" s="1">
        <v>0.38300000000000001</v>
      </c>
      <c r="V318" s="1">
        <v>0.46229999999999999</v>
      </c>
      <c r="W318" s="1">
        <v>0.34460000000000002</v>
      </c>
      <c r="X318" s="1">
        <v>0.41210000000000002</v>
      </c>
      <c r="Y318" s="1">
        <f>AVERAGE(U318:X318)</f>
        <v>0.40049999999999997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hidden="1" x14ac:dyDescent="0.3">
      <c r="A319" s="22" t="s">
        <v>1291</v>
      </c>
      <c r="B319" s="2"/>
      <c r="C319" s="21">
        <v>3.75</v>
      </c>
      <c r="D319" s="23"/>
      <c r="E319" s="23"/>
      <c r="F319" s="23"/>
      <c r="G319" s="3" t="s">
        <v>1292</v>
      </c>
      <c r="H319" s="4"/>
      <c r="I319" s="6"/>
      <c r="J319" s="4"/>
      <c r="K319" s="5"/>
      <c r="L319" s="5" t="s">
        <v>1293</v>
      </c>
      <c r="M319" s="4"/>
      <c r="N319" s="4"/>
      <c r="O319" s="4"/>
      <c r="P319" s="4"/>
      <c r="Q319" s="24"/>
      <c r="R319" s="27" t="s">
        <v>146</v>
      </c>
      <c r="S319" s="6"/>
      <c r="T319" s="1">
        <v>0.244752</v>
      </c>
      <c r="U319" s="1">
        <v>0.34673200000000004</v>
      </c>
      <c r="V319" s="1">
        <v>0.46910800000000002</v>
      </c>
      <c r="W319" s="1">
        <v>0.39772200000000002</v>
      </c>
      <c r="X319" s="1">
        <v>0.35693000000000003</v>
      </c>
      <c r="Y319" s="1">
        <f>AVERAGE(U319:X319)</f>
        <v>0.392623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hidden="1" x14ac:dyDescent="0.3">
      <c r="A320" s="22" t="s">
        <v>887</v>
      </c>
      <c r="B320" s="2" t="s">
        <v>770</v>
      </c>
      <c r="C320" s="21">
        <v>1.5</v>
      </c>
      <c r="D320" s="23">
        <v>490</v>
      </c>
      <c r="E320" s="23"/>
      <c r="F320" s="28"/>
      <c r="G320" s="3" t="s">
        <v>863</v>
      </c>
      <c r="H320" s="4"/>
      <c r="I320" s="6"/>
      <c r="J320" s="4">
        <v>63</v>
      </c>
      <c r="K320" s="5"/>
      <c r="L320" s="5" t="s">
        <v>864</v>
      </c>
      <c r="M320" s="4" t="s">
        <v>865</v>
      </c>
      <c r="N320" s="4"/>
      <c r="O320" s="4" t="s">
        <v>793</v>
      </c>
      <c r="P320" s="4"/>
      <c r="Q320" s="24"/>
      <c r="R320" s="25" t="s">
        <v>692</v>
      </c>
      <c r="S320" s="6"/>
      <c r="T320" s="1">
        <v>0.18548699999999999</v>
      </c>
      <c r="U320" s="1">
        <v>0.37824799999999997</v>
      </c>
      <c r="V320" s="1">
        <v>0.37824799999999997</v>
      </c>
      <c r="W320" s="1">
        <v>0.37824799999999997</v>
      </c>
      <c r="X320" s="1">
        <v>0.37824799999999997</v>
      </c>
      <c r="Y320" s="1">
        <f>AVERAGE(U320:X320)</f>
        <v>0.37824799999999997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3" t="s">
        <v>354</v>
      </c>
      <c r="B321" s="2" t="s">
        <v>68</v>
      </c>
      <c r="C321" s="21">
        <v>1.25</v>
      </c>
      <c r="D321" s="23">
        <v>1200</v>
      </c>
      <c r="E321" s="23" t="s">
        <v>41</v>
      </c>
      <c r="F321" s="23"/>
      <c r="G321" s="3" t="s">
        <v>355</v>
      </c>
      <c r="H321" s="10" t="s">
        <v>41</v>
      </c>
      <c r="I321" s="12"/>
      <c r="J321" s="4"/>
      <c r="K321" s="5"/>
      <c r="L321" s="5" t="s">
        <v>52</v>
      </c>
      <c r="M321" s="4" t="s">
        <v>322</v>
      </c>
      <c r="N321" s="4" t="s">
        <v>323</v>
      </c>
      <c r="O321" s="12" t="s">
        <v>793</v>
      </c>
      <c r="P321" s="12" t="s">
        <v>47</v>
      </c>
      <c r="Q321" s="30" t="s">
        <v>47</v>
      </c>
      <c r="R321" s="27" t="s">
        <v>47</v>
      </c>
      <c r="S321" s="12" t="s">
        <v>47</v>
      </c>
      <c r="T321" s="13">
        <v>0.18690000000000001</v>
      </c>
      <c r="U321" s="13">
        <v>0.37380000000000002</v>
      </c>
      <c r="V321" s="13">
        <v>0.37380000000000002</v>
      </c>
      <c r="W321" s="13">
        <v>0.37380000000000002</v>
      </c>
      <c r="X321" s="13">
        <v>0.37380000000000002</v>
      </c>
      <c r="Y321" s="1">
        <f>AVERAGE(U321:X321)</f>
        <v>0.37380000000000002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hidden="1" x14ac:dyDescent="0.3">
      <c r="A322" s="22" t="s">
        <v>888</v>
      </c>
      <c r="B322" s="2" t="s">
        <v>49</v>
      </c>
      <c r="C322" s="21">
        <v>2</v>
      </c>
      <c r="D322" s="23" t="s">
        <v>829</v>
      </c>
      <c r="E322" s="23"/>
      <c r="F322" s="28"/>
      <c r="G322" s="3" t="s">
        <v>889</v>
      </c>
      <c r="H322" s="4"/>
      <c r="I322" s="4"/>
      <c r="J322" s="4">
        <v>30</v>
      </c>
      <c r="K322" s="5"/>
      <c r="L322" s="5" t="s">
        <v>791</v>
      </c>
      <c r="M322" s="4" t="s">
        <v>869</v>
      </c>
      <c r="N322" s="4"/>
      <c r="O322" s="4" t="s">
        <v>793</v>
      </c>
      <c r="P322" s="4"/>
      <c r="Q322" s="24"/>
      <c r="R322" s="25" t="s">
        <v>692</v>
      </c>
      <c r="S322" s="4"/>
      <c r="T322" s="1">
        <v>1.3120000000000003E-2</v>
      </c>
      <c r="U322" s="1">
        <v>0.15301200000000004</v>
      </c>
      <c r="V322" s="1">
        <v>0.40147200000000011</v>
      </c>
      <c r="W322" s="1">
        <v>0.50446400000000002</v>
      </c>
      <c r="X322" s="1">
        <v>0.42607200000000001</v>
      </c>
      <c r="Y322" s="1">
        <f>AVERAGE(U322:X322)</f>
        <v>0.37125500000000006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1"/>
      <c r="AK322" s="65">
        <v>0</v>
      </c>
      <c r="AL322" s="1"/>
      <c r="AM322" s="1"/>
    </row>
    <row r="323" spans="1:39" s="26" customFormat="1" hidden="1" x14ac:dyDescent="0.3">
      <c r="A323" s="19" t="s">
        <v>1227</v>
      </c>
      <c r="B323" s="21" t="s">
        <v>40</v>
      </c>
      <c r="C323" s="21">
        <v>0.7</v>
      </c>
      <c r="D323" s="23">
        <v>300</v>
      </c>
      <c r="E323" s="23"/>
      <c r="F323" s="23" t="s">
        <v>82</v>
      </c>
      <c r="G323" s="20" t="s">
        <v>1228</v>
      </c>
      <c r="H323" s="6"/>
      <c r="I323" s="6" t="s">
        <v>1084</v>
      </c>
      <c r="J323" s="6">
        <v>60</v>
      </c>
      <c r="K323" s="21">
        <v>0.5</v>
      </c>
      <c r="L323" s="21" t="s">
        <v>1073</v>
      </c>
      <c r="M323" s="6" t="s">
        <v>195</v>
      </c>
      <c r="N323" s="6" t="s">
        <v>1199</v>
      </c>
      <c r="O323" s="6">
        <v>20</v>
      </c>
      <c r="P323" s="6"/>
      <c r="Q323" s="27"/>
      <c r="R323" s="28" t="s">
        <v>108</v>
      </c>
      <c r="S323" s="6"/>
      <c r="T323" s="1">
        <v>0.24</v>
      </c>
      <c r="U323" s="1">
        <v>0.36</v>
      </c>
      <c r="V323" s="1">
        <v>0.36</v>
      </c>
      <c r="W323" s="1">
        <v>0.36</v>
      </c>
      <c r="X323" s="1">
        <v>0.36</v>
      </c>
      <c r="Y323" s="1">
        <f>AVERAGE(U323:X323)</f>
        <v>0.36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356</v>
      </c>
      <c r="B324" s="2" t="s">
        <v>357</v>
      </c>
      <c r="C324" s="21">
        <v>0.65</v>
      </c>
      <c r="D324" s="23">
        <v>1400</v>
      </c>
      <c r="E324" s="23">
        <v>900</v>
      </c>
      <c r="F324" s="23"/>
      <c r="G324" s="3"/>
      <c r="H324" s="10" t="s">
        <v>41</v>
      </c>
      <c r="I324" s="10"/>
      <c r="J324" s="6"/>
      <c r="K324" s="21"/>
      <c r="L324" s="21" t="s">
        <v>296</v>
      </c>
      <c r="M324" s="6" t="s">
        <v>115</v>
      </c>
      <c r="N324" s="6"/>
      <c r="O324" s="12" t="s">
        <v>793</v>
      </c>
      <c r="P324" s="10"/>
      <c r="Q324" s="29"/>
      <c r="R324" s="27" t="s">
        <v>47</v>
      </c>
      <c r="S324" s="10" t="s">
        <v>47</v>
      </c>
      <c r="T324" s="13">
        <v>0.24235199999999998</v>
      </c>
      <c r="U324" s="13">
        <v>0.32639999999999997</v>
      </c>
      <c r="V324" s="13">
        <v>0.43411199999999994</v>
      </c>
      <c r="W324" s="13">
        <v>0.32639999999999997</v>
      </c>
      <c r="X324" s="13">
        <v>0.32639999999999997</v>
      </c>
      <c r="Y324" s="1">
        <f>AVERAGE(U324:X324)</f>
        <v>0.35332799999999998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hidden="1" x14ac:dyDescent="0.3">
      <c r="A325" s="3" t="s">
        <v>890</v>
      </c>
      <c r="B325" s="2" t="s">
        <v>49</v>
      </c>
      <c r="C325" s="21">
        <v>7</v>
      </c>
      <c r="D325" s="23">
        <v>1200</v>
      </c>
      <c r="E325" s="23"/>
      <c r="F325" s="28"/>
      <c r="G325" s="3" t="s">
        <v>883</v>
      </c>
      <c r="H325" s="4"/>
      <c r="I325" s="6"/>
      <c r="J325" s="4">
        <v>30</v>
      </c>
      <c r="K325" s="5"/>
      <c r="L325" s="5" t="s">
        <v>891</v>
      </c>
      <c r="M325" s="4" t="s">
        <v>297</v>
      </c>
      <c r="N325" s="4"/>
      <c r="O325" s="4" t="s">
        <v>793</v>
      </c>
      <c r="P325" s="4"/>
      <c r="Q325" s="24"/>
      <c r="R325" s="25" t="s">
        <v>692</v>
      </c>
      <c r="S325" s="6"/>
      <c r="T325" s="1">
        <v>0.73379499999999998</v>
      </c>
      <c r="U325" s="1">
        <v>0.39249499999999998</v>
      </c>
      <c r="V325" s="1">
        <v>0.32423499999999994</v>
      </c>
      <c r="W325" s="1">
        <v>0.34983500000000001</v>
      </c>
      <c r="X325" s="1">
        <v>0.30291500000000005</v>
      </c>
      <c r="Y325" s="1">
        <f>AVERAGE(U325:X325)</f>
        <v>0.34236999999999995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hidden="1" x14ac:dyDescent="0.3">
      <c r="A326" s="22" t="s">
        <v>892</v>
      </c>
      <c r="B326" s="2" t="s">
        <v>49</v>
      </c>
      <c r="C326" s="21">
        <v>2</v>
      </c>
      <c r="D326" s="23" t="s">
        <v>893</v>
      </c>
      <c r="E326" s="23"/>
      <c r="F326" s="28"/>
      <c r="G326" s="3" t="s">
        <v>894</v>
      </c>
      <c r="H326" s="6"/>
      <c r="I326" s="6"/>
      <c r="J326" s="6">
        <v>30</v>
      </c>
      <c r="K326" s="21"/>
      <c r="L326" s="21" t="s">
        <v>791</v>
      </c>
      <c r="M326" s="4" t="s">
        <v>119</v>
      </c>
      <c r="N326" s="6"/>
      <c r="O326" s="6" t="s">
        <v>793</v>
      </c>
      <c r="P326" s="6"/>
      <c r="Q326" s="27"/>
      <c r="R326" s="28" t="s">
        <v>692</v>
      </c>
      <c r="S326" s="6"/>
      <c r="T326" s="1">
        <v>0</v>
      </c>
      <c r="U326" s="1">
        <v>7.5456000000000009E-2</v>
      </c>
      <c r="V326" s="1">
        <v>0.57942399999999994</v>
      </c>
      <c r="W326" s="1">
        <v>0.32435599999999998</v>
      </c>
      <c r="X326" s="1">
        <v>0.342526</v>
      </c>
      <c r="Y326" s="1">
        <f>AVERAGE(U326:X326)</f>
        <v>0.33044049999999997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358</v>
      </c>
      <c r="B327" s="2" t="s">
        <v>68</v>
      </c>
      <c r="C327" s="21">
        <v>1.5</v>
      </c>
      <c r="D327" s="23">
        <v>1150</v>
      </c>
      <c r="E327" s="23" t="s">
        <v>41</v>
      </c>
      <c r="F327" s="23"/>
      <c r="G327" s="3" t="s">
        <v>359</v>
      </c>
      <c r="H327" s="10" t="s">
        <v>41</v>
      </c>
      <c r="I327" s="10"/>
      <c r="J327" s="6"/>
      <c r="K327" s="21"/>
      <c r="L327" s="21" t="s">
        <v>301</v>
      </c>
      <c r="M327" s="4" t="s">
        <v>360</v>
      </c>
      <c r="N327" s="6" t="s">
        <v>361</v>
      </c>
      <c r="O327" s="12" t="s">
        <v>793</v>
      </c>
      <c r="P327" s="10"/>
      <c r="Q327" s="29"/>
      <c r="R327" s="27" t="s">
        <v>47</v>
      </c>
      <c r="S327" s="10" t="s">
        <v>47</v>
      </c>
      <c r="T327" s="13">
        <v>0.65500000000000003</v>
      </c>
      <c r="U327" s="13">
        <v>1.31</v>
      </c>
      <c r="V327" s="13">
        <v>0</v>
      </c>
      <c r="W327" s="13">
        <v>0</v>
      </c>
      <c r="X327" s="13">
        <v>0</v>
      </c>
      <c r="Y327" s="1">
        <f>AVERAGE(U327:X327)</f>
        <v>0.32750000000000001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hidden="1" x14ac:dyDescent="0.3">
      <c r="A328" s="22" t="s">
        <v>1294</v>
      </c>
      <c r="B328" s="2"/>
      <c r="C328" s="21">
        <v>0.65</v>
      </c>
      <c r="D328" s="23"/>
      <c r="E328" s="23"/>
      <c r="F328" s="23"/>
      <c r="G328" s="3"/>
      <c r="H328" s="4"/>
      <c r="I328" s="6"/>
      <c r="J328" s="4"/>
      <c r="K328" s="5"/>
      <c r="L328" s="5" t="s">
        <v>1266</v>
      </c>
      <c r="M328" s="4" t="s">
        <v>1282</v>
      </c>
      <c r="N328" s="4"/>
      <c r="O328" s="4"/>
      <c r="P328" s="4"/>
      <c r="Q328" s="24"/>
      <c r="R328" s="27" t="s">
        <v>146</v>
      </c>
      <c r="S328" s="6"/>
      <c r="T328" s="1">
        <v>0</v>
      </c>
      <c r="U328" s="1">
        <v>0.32530000000000003</v>
      </c>
      <c r="V328" s="1">
        <v>0.32530000000000003</v>
      </c>
      <c r="W328" s="1">
        <v>0.32530000000000003</v>
      </c>
      <c r="X328" s="1">
        <v>0.32530000000000003</v>
      </c>
      <c r="Y328" s="1">
        <f>AVERAGE(U328:X328)</f>
        <v>0.32530000000000003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22" t="s">
        <v>362</v>
      </c>
      <c r="B329" s="2" t="s">
        <v>62</v>
      </c>
      <c r="C329" s="21">
        <v>2</v>
      </c>
      <c r="D329" s="23">
        <v>84</v>
      </c>
      <c r="E329" s="23" t="s">
        <v>41</v>
      </c>
      <c r="F329" s="23"/>
      <c r="G329" s="3" t="s">
        <v>363</v>
      </c>
      <c r="H329" s="12">
        <v>34026230</v>
      </c>
      <c r="I329" s="10"/>
      <c r="J329" s="4"/>
      <c r="K329" s="5"/>
      <c r="L329" s="5" t="s">
        <v>64</v>
      </c>
      <c r="M329" s="4" t="s">
        <v>45</v>
      </c>
      <c r="N329" s="36" t="s">
        <v>46</v>
      </c>
      <c r="O329" s="12" t="s">
        <v>793</v>
      </c>
      <c r="P329" s="12" t="s">
        <v>47</v>
      </c>
      <c r="Q329" s="30" t="s">
        <v>47</v>
      </c>
      <c r="R329" s="27" t="s">
        <v>47</v>
      </c>
      <c r="S329" s="10" t="s">
        <v>47</v>
      </c>
      <c r="T329" s="13">
        <v>0.25</v>
      </c>
      <c r="U329" s="13">
        <v>0.35</v>
      </c>
      <c r="V329" s="13">
        <v>0.35</v>
      </c>
      <c r="W329" s="13">
        <v>0.2</v>
      </c>
      <c r="X329" s="13">
        <v>0.35</v>
      </c>
      <c r="Y329" s="1">
        <f>AVERAGE(U329:X329)</f>
        <v>0.3125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22" t="s">
        <v>364</v>
      </c>
      <c r="B330" s="2" t="s">
        <v>62</v>
      </c>
      <c r="C330" s="21">
        <v>0.6</v>
      </c>
      <c r="D330" s="23">
        <v>210</v>
      </c>
      <c r="E330" s="23" t="s">
        <v>41</v>
      </c>
      <c r="F330" s="23"/>
      <c r="G330" s="3" t="s">
        <v>365</v>
      </c>
      <c r="H330" s="10">
        <v>34018552</v>
      </c>
      <c r="I330" s="10"/>
      <c r="J330" s="6"/>
      <c r="K330" s="21"/>
      <c r="L330" s="21" t="s">
        <v>64</v>
      </c>
      <c r="M330" s="6" t="s">
        <v>80</v>
      </c>
      <c r="N330" s="35" t="s">
        <v>309</v>
      </c>
      <c r="O330" s="12" t="s">
        <v>793</v>
      </c>
      <c r="P330" s="10" t="s">
        <v>47</v>
      </c>
      <c r="Q330" s="29" t="s">
        <v>47</v>
      </c>
      <c r="R330" s="27" t="s">
        <v>47</v>
      </c>
      <c r="S330" s="10" t="s">
        <v>47</v>
      </c>
      <c r="T330" s="13">
        <v>0.252</v>
      </c>
      <c r="U330" s="13">
        <v>0.33600000000000002</v>
      </c>
      <c r="V330" s="13">
        <v>0.33600000000000002</v>
      </c>
      <c r="W330" s="13">
        <v>0.20399999999999999</v>
      </c>
      <c r="X330" s="13">
        <v>0.3</v>
      </c>
      <c r="Y330" s="1">
        <f>AVERAGE(U330:X330)</f>
        <v>0.29399999999999998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hidden="1" x14ac:dyDescent="0.3">
      <c r="A331" s="22" t="s">
        <v>857</v>
      </c>
      <c r="B331" s="2"/>
      <c r="C331" s="21">
        <v>4</v>
      </c>
      <c r="D331" s="23"/>
      <c r="E331" s="23"/>
      <c r="F331" s="23"/>
      <c r="G331" s="3" t="s">
        <v>1295</v>
      </c>
      <c r="H331" s="4"/>
      <c r="I331" s="6"/>
      <c r="J331" s="4"/>
      <c r="K331" s="5"/>
      <c r="L331" s="5" t="s">
        <v>1266</v>
      </c>
      <c r="M331" s="4"/>
      <c r="N331" s="4"/>
      <c r="O331" s="4"/>
      <c r="P331" s="4"/>
      <c r="Q331" s="24"/>
      <c r="R331" s="27" t="s">
        <v>146</v>
      </c>
      <c r="S331" s="6"/>
      <c r="T331" s="1">
        <v>0.291072</v>
      </c>
      <c r="U331" s="1">
        <v>0.58214399999999999</v>
      </c>
      <c r="V331" s="1">
        <v>0.291072</v>
      </c>
      <c r="W331" s="1">
        <v>0.291072</v>
      </c>
      <c r="X331" s="1">
        <v>0</v>
      </c>
      <c r="Y331" s="1">
        <f>AVERAGE(U331:X331)</f>
        <v>0.291072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hidden="1" x14ac:dyDescent="0.3">
      <c r="A332" s="22" t="s">
        <v>895</v>
      </c>
      <c r="B332" s="2" t="s">
        <v>770</v>
      </c>
      <c r="C332" s="21">
        <v>1.5</v>
      </c>
      <c r="D332" s="23">
        <v>1200</v>
      </c>
      <c r="E332" s="23"/>
      <c r="F332" s="28"/>
      <c r="G332" s="3" t="s">
        <v>896</v>
      </c>
      <c r="H332" s="6"/>
      <c r="I332" s="6"/>
      <c r="J332" s="6">
        <v>30</v>
      </c>
      <c r="K332" s="21"/>
      <c r="L332" s="21" t="s">
        <v>891</v>
      </c>
      <c r="M332" s="6" t="s">
        <v>119</v>
      </c>
      <c r="N332" s="6"/>
      <c r="O332" s="6" t="s">
        <v>793</v>
      </c>
      <c r="P332" s="6"/>
      <c r="Q332" s="27"/>
      <c r="R332" s="28" t="s">
        <v>692</v>
      </c>
      <c r="S332" s="6"/>
      <c r="T332" s="1">
        <v>0</v>
      </c>
      <c r="U332" s="1">
        <v>0</v>
      </c>
      <c r="V332" s="1">
        <v>0.46367999999999998</v>
      </c>
      <c r="W332" s="1">
        <v>0.34776000000000001</v>
      </c>
      <c r="X332" s="1">
        <v>0.33326999999999996</v>
      </c>
      <c r="Y332" s="1">
        <f>AVERAGE(U332:X332)</f>
        <v>0.28617749999999997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hidden="1" x14ac:dyDescent="0.3">
      <c r="A333" s="3" t="s">
        <v>897</v>
      </c>
      <c r="B333" s="2" t="s">
        <v>49</v>
      </c>
      <c r="C333" s="21">
        <v>9.5</v>
      </c>
      <c r="D333" s="23">
        <v>1250</v>
      </c>
      <c r="E333" s="23"/>
      <c r="F333" s="28"/>
      <c r="G333" s="3" t="s">
        <v>883</v>
      </c>
      <c r="H333" s="4"/>
      <c r="I333" s="6"/>
      <c r="J333" s="4">
        <v>30</v>
      </c>
      <c r="K333" s="5"/>
      <c r="L333" s="5" t="s">
        <v>815</v>
      </c>
      <c r="M333" s="4" t="s">
        <v>297</v>
      </c>
      <c r="N333" s="4"/>
      <c r="O333" s="4" t="s">
        <v>793</v>
      </c>
      <c r="P333" s="4"/>
      <c r="Q333" s="24"/>
      <c r="R333" s="25" t="s">
        <v>692</v>
      </c>
      <c r="S333" s="6"/>
      <c r="T333" s="1">
        <v>0.62061599999999995</v>
      </c>
      <c r="U333" s="1">
        <v>0.348416</v>
      </c>
      <c r="V333" s="1">
        <v>0.30486399999999997</v>
      </c>
      <c r="W333" s="1">
        <v>0.30486399999999997</v>
      </c>
      <c r="X333" s="1">
        <v>0.174208</v>
      </c>
      <c r="Y333" s="1">
        <f>AVERAGE(U333:X333)</f>
        <v>0.28308799999999995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hidden="1" x14ac:dyDescent="0.3">
      <c r="A334" s="22" t="s">
        <v>834</v>
      </c>
      <c r="B334" s="2"/>
      <c r="C334" s="21">
        <v>1.5</v>
      </c>
      <c r="D334" s="23"/>
      <c r="E334" s="23"/>
      <c r="F334" s="23"/>
      <c r="G334" s="3" t="s">
        <v>1296</v>
      </c>
      <c r="H334" s="6"/>
      <c r="I334" s="6"/>
      <c r="J334" s="6"/>
      <c r="K334" s="21"/>
      <c r="L334" s="5" t="s">
        <v>1259</v>
      </c>
      <c r="M334" s="6"/>
      <c r="N334" s="6"/>
      <c r="O334" s="6"/>
      <c r="P334" s="6"/>
      <c r="Q334" s="27"/>
      <c r="R334" s="27" t="s">
        <v>146</v>
      </c>
      <c r="S334" s="6"/>
      <c r="T334" s="1">
        <v>0.23424320000000001</v>
      </c>
      <c r="U334" s="1">
        <v>0.28304319999999999</v>
      </c>
      <c r="V334" s="1">
        <v>0.28252300000000002</v>
      </c>
      <c r="W334" s="1">
        <v>0.27990020000000004</v>
      </c>
      <c r="X334" s="1">
        <v>0.23945640000000001</v>
      </c>
      <c r="Y334" s="1">
        <f>AVERAGE(U334:X334)</f>
        <v>0.27123070000000005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hidden="1" x14ac:dyDescent="0.3">
      <c r="A335" s="22" t="s">
        <v>1297</v>
      </c>
      <c r="B335" s="2"/>
      <c r="C335" s="21">
        <v>45</v>
      </c>
      <c r="D335" s="23"/>
      <c r="E335" s="23"/>
      <c r="F335" s="23"/>
      <c r="G335" s="3" t="s">
        <v>1251</v>
      </c>
      <c r="H335" s="6"/>
      <c r="I335" s="6"/>
      <c r="J335" s="6"/>
      <c r="K335" s="21"/>
      <c r="L335" s="5" t="s">
        <v>1266</v>
      </c>
      <c r="M335" s="6"/>
      <c r="N335" s="6"/>
      <c r="O335" s="6"/>
      <c r="P335" s="6"/>
      <c r="Q335" s="27"/>
      <c r="R335" s="27" t="s">
        <v>146</v>
      </c>
      <c r="S335" s="6"/>
      <c r="T335" s="1">
        <v>0</v>
      </c>
      <c r="U335" s="1">
        <v>0</v>
      </c>
      <c r="V335" s="1">
        <v>0</v>
      </c>
      <c r="W335" s="1">
        <v>0.58875</v>
      </c>
      <c r="X335" s="1">
        <v>0.47099999999999997</v>
      </c>
      <c r="Y335" s="1">
        <f>AVERAGE(U335:X335)</f>
        <v>0.26493749999999999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hidden="1" x14ac:dyDescent="0.3">
      <c r="A336" s="22" t="s">
        <v>1298</v>
      </c>
      <c r="B336" s="2"/>
      <c r="C336" s="21">
        <v>2</v>
      </c>
      <c r="D336" s="23"/>
      <c r="E336" s="23"/>
      <c r="F336" s="23"/>
      <c r="G336" s="3" t="s">
        <v>1262</v>
      </c>
      <c r="H336" s="6"/>
      <c r="I336" s="6"/>
      <c r="J336" s="6"/>
      <c r="K336" s="21"/>
      <c r="L336" s="21" t="s">
        <v>1266</v>
      </c>
      <c r="M336" s="6"/>
      <c r="N336" s="6"/>
      <c r="O336" s="6"/>
      <c r="P336" s="6"/>
      <c r="Q336" s="27"/>
      <c r="R336" s="27" t="s">
        <v>146</v>
      </c>
      <c r="S336" s="6"/>
      <c r="T336" s="1">
        <v>0.26891560000000003</v>
      </c>
      <c r="U336" s="1">
        <v>0.19870580000000002</v>
      </c>
      <c r="V336" s="1">
        <v>0.26169179999999997</v>
      </c>
      <c r="W336" s="1">
        <v>0.2304736</v>
      </c>
      <c r="X336" s="1">
        <v>0.35991480000000009</v>
      </c>
      <c r="Y336" s="1">
        <f>AVERAGE(U336:X336)</f>
        <v>0.2626965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366</v>
      </c>
      <c r="B337" s="2" t="s">
        <v>62</v>
      </c>
      <c r="C337" s="21">
        <v>1.9</v>
      </c>
      <c r="D337" s="23">
        <v>130</v>
      </c>
      <c r="E337" s="23" t="s">
        <v>41</v>
      </c>
      <c r="F337" s="23"/>
      <c r="G337" s="3" t="s">
        <v>367</v>
      </c>
      <c r="H337" s="10" t="s">
        <v>41</v>
      </c>
      <c r="I337" s="10"/>
      <c r="J337" s="6"/>
      <c r="K337" s="21"/>
      <c r="L337" s="21" t="s">
        <v>296</v>
      </c>
      <c r="M337" s="6" t="s">
        <v>115</v>
      </c>
      <c r="N337" s="6"/>
      <c r="O337" s="12" t="s">
        <v>793</v>
      </c>
      <c r="P337" s="10" t="s">
        <v>47</v>
      </c>
      <c r="Q337" s="29" t="s">
        <v>47</v>
      </c>
      <c r="R337" s="27" t="s">
        <v>47</v>
      </c>
      <c r="S337" s="10" t="s">
        <v>47</v>
      </c>
      <c r="T337" s="13">
        <v>0.17463599999999999</v>
      </c>
      <c r="U337" s="13">
        <v>0.23519999999999999</v>
      </c>
      <c r="V337" s="13">
        <v>0.31281599999999998</v>
      </c>
      <c r="W337" s="13">
        <v>0.23519999999999999</v>
      </c>
      <c r="X337" s="13">
        <v>0.23519999999999999</v>
      </c>
      <c r="Y337" s="1">
        <f>AVERAGE(U337:X337)</f>
        <v>0.254604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hidden="1" x14ac:dyDescent="0.3">
      <c r="A338" s="22" t="s">
        <v>1299</v>
      </c>
      <c r="B338" s="2"/>
      <c r="C338" s="21">
        <v>4</v>
      </c>
      <c r="D338" s="23"/>
      <c r="E338" s="23"/>
      <c r="F338" s="23"/>
      <c r="G338" s="3" t="s">
        <v>1300</v>
      </c>
      <c r="H338" s="6"/>
      <c r="I338" s="6"/>
      <c r="J338" s="6"/>
      <c r="K338" s="21"/>
      <c r="L338" s="21" t="s">
        <v>1266</v>
      </c>
      <c r="M338" s="6"/>
      <c r="N338" s="6"/>
      <c r="O338" s="6"/>
      <c r="P338" s="6"/>
      <c r="Q338" s="27"/>
      <c r="R338" s="27" t="s">
        <v>146</v>
      </c>
      <c r="S338" s="6"/>
      <c r="T338" s="1">
        <v>0.22609000000000001</v>
      </c>
      <c r="U338" s="1">
        <v>0.19168499999999999</v>
      </c>
      <c r="V338" s="1">
        <v>0.21036199999999999</v>
      </c>
      <c r="W338" s="1">
        <v>0.34503300000000003</v>
      </c>
      <c r="X338" s="1">
        <v>0.25459700000000002</v>
      </c>
      <c r="Y338" s="1">
        <f>AVERAGE(U338:X338)</f>
        <v>0.25041924999999998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hidden="1" x14ac:dyDescent="0.3">
      <c r="A339" s="22" t="s">
        <v>1301</v>
      </c>
      <c r="B339" s="2"/>
      <c r="C339" s="21">
        <v>9.5</v>
      </c>
      <c r="D339" s="23"/>
      <c r="E339" s="23"/>
      <c r="F339" s="23"/>
      <c r="G339" s="3" t="s">
        <v>1262</v>
      </c>
      <c r="H339" s="6"/>
      <c r="I339" s="6"/>
      <c r="J339" s="6"/>
      <c r="K339" s="21"/>
      <c r="L339" s="21" t="s">
        <v>1263</v>
      </c>
      <c r="M339" s="6"/>
      <c r="N339" s="6"/>
      <c r="O339" s="6"/>
      <c r="P339" s="6"/>
      <c r="Q339" s="27"/>
      <c r="R339" s="27" t="s">
        <v>146</v>
      </c>
      <c r="S339" s="6"/>
      <c r="T339" s="1">
        <v>0.15955200000000003</v>
      </c>
      <c r="U339" s="1">
        <v>0.22245522580645161</v>
      </c>
      <c r="V339" s="1">
        <v>0.190987935483871</v>
      </c>
      <c r="W339" s="1">
        <v>0.3154378064516129</v>
      </c>
      <c r="X339" s="1">
        <v>0.24294987096774195</v>
      </c>
      <c r="Y339" s="1">
        <f>AVERAGE(U339:X339)</f>
        <v>0.24295770967741936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hidden="1" x14ac:dyDescent="0.3">
      <c r="A340" s="22" t="s">
        <v>898</v>
      </c>
      <c r="B340" s="2" t="s">
        <v>49</v>
      </c>
      <c r="C340" s="21">
        <v>20</v>
      </c>
      <c r="D340" s="23">
        <v>1250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791</v>
      </c>
      <c r="M340" s="4" t="s">
        <v>704</v>
      </c>
      <c r="N340" s="6"/>
      <c r="O340" s="6" t="s">
        <v>793</v>
      </c>
      <c r="P340" s="6"/>
      <c r="Q340" s="27"/>
      <c r="R340" s="28" t="s">
        <v>692</v>
      </c>
      <c r="S340" s="6"/>
      <c r="T340" s="1">
        <v>0</v>
      </c>
      <c r="U340" s="1">
        <v>0.92727599999999999</v>
      </c>
      <c r="V340" s="1">
        <v>0</v>
      </c>
      <c r="W340" s="1">
        <v>0</v>
      </c>
      <c r="X340" s="1">
        <v>0</v>
      </c>
      <c r="Y340" s="1">
        <f>AVERAGE(U340:X340)</f>
        <v>0.231819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hidden="1" x14ac:dyDescent="0.3">
      <c r="A341" s="3" t="s">
        <v>1060</v>
      </c>
      <c r="B341" s="2" t="s">
        <v>49</v>
      </c>
      <c r="C341" s="21">
        <v>2</v>
      </c>
      <c r="D341" s="23">
        <v>1200</v>
      </c>
      <c r="E341" s="23"/>
      <c r="F341" s="28"/>
      <c r="G341" s="3" t="s">
        <v>1061</v>
      </c>
      <c r="H341" s="6"/>
      <c r="I341" s="6"/>
      <c r="J341" s="6">
        <v>31</v>
      </c>
      <c r="K341" s="21"/>
      <c r="L341" s="21" t="s">
        <v>791</v>
      </c>
      <c r="M341" s="6"/>
      <c r="N341" s="6"/>
      <c r="O341" s="6"/>
      <c r="P341" s="6"/>
      <c r="Q341" s="27"/>
      <c r="R341" s="28" t="s">
        <v>692</v>
      </c>
      <c r="S341" s="6"/>
      <c r="T341" s="1">
        <v>0</v>
      </c>
      <c r="U341" s="1">
        <v>0.19782</v>
      </c>
      <c r="V341" s="1">
        <v>0.26375999999999999</v>
      </c>
      <c r="W341" s="1">
        <v>0.23738399999999998</v>
      </c>
      <c r="X341" s="1">
        <v>0.21100799999999997</v>
      </c>
      <c r="Y341" s="1">
        <f>AVERAGE(U341:X341)</f>
        <v>0.22749299999999997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hidden="1" x14ac:dyDescent="0.3">
      <c r="A342" s="19" t="s">
        <v>1229</v>
      </c>
      <c r="B342" s="21" t="s">
        <v>40</v>
      </c>
      <c r="C342" s="21">
        <v>0.7</v>
      </c>
      <c r="D342" s="23">
        <v>101</v>
      </c>
      <c r="E342" s="23"/>
      <c r="F342" s="23"/>
      <c r="G342" s="20" t="s">
        <v>1133</v>
      </c>
      <c r="H342" s="6"/>
      <c r="I342" s="6" t="s">
        <v>1084</v>
      </c>
      <c r="J342" s="6">
        <v>69</v>
      </c>
      <c r="K342" s="21">
        <v>0.5</v>
      </c>
      <c r="L342" s="21" t="s">
        <v>1073</v>
      </c>
      <c r="M342" s="6" t="s">
        <v>195</v>
      </c>
      <c r="N342" s="6" t="s">
        <v>160</v>
      </c>
      <c r="O342" s="6">
        <v>20</v>
      </c>
      <c r="P342" s="6"/>
      <c r="Q342" s="27"/>
      <c r="R342" s="28" t="s">
        <v>108</v>
      </c>
      <c r="S342" s="6"/>
      <c r="T342" s="1">
        <v>0.23900800000000003</v>
      </c>
      <c r="U342" s="1">
        <v>0.21448000000000003</v>
      </c>
      <c r="V342" s="1">
        <v>0.25888799999999995</v>
      </c>
      <c r="W342" s="1">
        <v>0.19297600000000001</v>
      </c>
      <c r="X342" s="1">
        <v>0.23077600000000001</v>
      </c>
      <c r="Y342" s="1">
        <f>AVERAGE(U342:X342)</f>
        <v>0.22428000000000001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22" t="s">
        <v>368</v>
      </c>
      <c r="B343" s="2" t="s">
        <v>40</v>
      </c>
      <c r="C343" s="21">
        <v>1.4</v>
      </c>
      <c r="D343" s="23">
        <v>1200</v>
      </c>
      <c r="E343" s="23" t="s">
        <v>41</v>
      </c>
      <c r="F343" s="23"/>
      <c r="G343" s="3" t="s">
        <v>369</v>
      </c>
      <c r="H343" s="12" t="s">
        <v>41</v>
      </c>
      <c r="I343" s="10"/>
      <c r="J343" s="4"/>
      <c r="K343" s="5"/>
      <c r="L343" s="5" t="s">
        <v>301</v>
      </c>
      <c r="M343" s="4" t="s">
        <v>164</v>
      </c>
      <c r="N343" s="4" t="s">
        <v>145</v>
      </c>
      <c r="O343" s="12" t="s">
        <v>793</v>
      </c>
      <c r="P343" s="12" t="s">
        <v>47</v>
      </c>
      <c r="Q343" s="30" t="s">
        <v>47</v>
      </c>
      <c r="R343" s="27" t="s">
        <v>47</v>
      </c>
      <c r="S343" s="10" t="s">
        <v>47</v>
      </c>
      <c r="T343" s="13">
        <v>7.6574080000000002</v>
      </c>
      <c r="U343" s="13">
        <v>0</v>
      </c>
      <c r="V343" s="13">
        <v>0</v>
      </c>
      <c r="W343" s="13">
        <v>0.85118000000000005</v>
      </c>
      <c r="X343" s="13">
        <v>0</v>
      </c>
      <c r="Y343" s="1">
        <f>AVERAGE(U343:X343)</f>
        <v>0.21279500000000001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hidden="1" x14ac:dyDescent="0.3">
      <c r="A344" s="22" t="s">
        <v>1302</v>
      </c>
      <c r="B344" s="2"/>
      <c r="C344" s="21">
        <v>4.75</v>
      </c>
      <c r="D344" s="23"/>
      <c r="E344" s="23"/>
      <c r="F344" s="23"/>
      <c r="G344" s="3" t="s">
        <v>1262</v>
      </c>
      <c r="H344" s="6"/>
      <c r="I344" s="6"/>
      <c r="J344" s="6"/>
      <c r="K344" s="21"/>
      <c r="L344" s="21" t="s">
        <v>1259</v>
      </c>
      <c r="M344" s="6"/>
      <c r="N344" s="6"/>
      <c r="O344" s="6"/>
      <c r="P344" s="6"/>
      <c r="Q344" s="27"/>
      <c r="R344" s="27" t="s">
        <v>146</v>
      </c>
      <c r="S344" s="6"/>
      <c r="T344" s="1">
        <v>0.18076320000000001</v>
      </c>
      <c r="U344" s="1">
        <v>0.17128480000000001</v>
      </c>
      <c r="V344" s="1">
        <v>0.1485292</v>
      </c>
      <c r="W344" s="1">
        <v>0.26170559999999998</v>
      </c>
      <c r="X344" s="1">
        <v>0.2107192</v>
      </c>
      <c r="Y344" s="1">
        <f>AVERAGE(U344:X344)</f>
        <v>0.19805970000000001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hidden="1" x14ac:dyDescent="0.3">
      <c r="A345" s="22" t="s">
        <v>268</v>
      </c>
      <c r="B345" s="2" t="s">
        <v>49</v>
      </c>
      <c r="C345" s="21">
        <v>2.65</v>
      </c>
      <c r="D345" s="23" t="s">
        <v>829</v>
      </c>
      <c r="E345" s="23"/>
      <c r="F345" s="28"/>
      <c r="G345" s="3" t="s">
        <v>854</v>
      </c>
      <c r="H345" s="6"/>
      <c r="I345" s="6"/>
      <c r="J345" s="6">
        <v>30</v>
      </c>
      <c r="K345" s="21"/>
      <c r="L345" s="21" t="s">
        <v>815</v>
      </c>
      <c r="M345" s="6" t="s">
        <v>119</v>
      </c>
      <c r="N345" s="6"/>
      <c r="O345" s="6" t="s">
        <v>793</v>
      </c>
      <c r="P345" s="6"/>
      <c r="Q345" s="27"/>
      <c r="R345" s="28" t="s">
        <v>692</v>
      </c>
      <c r="S345" s="6"/>
      <c r="T345" s="1">
        <v>3.8052000000000002E-2</v>
      </c>
      <c r="U345" s="1">
        <v>0.25367999999999996</v>
      </c>
      <c r="V345" s="1">
        <v>0.22831199999999999</v>
      </c>
      <c r="W345" s="1">
        <v>0.16489199999999998</v>
      </c>
      <c r="X345" s="1">
        <v>0.13952400000000001</v>
      </c>
      <c r="Y345" s="1">
        <f>AVERAGE(U345:X345)</f>
        <v>0.196602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22" t="s">
        <v>370</v>
      </c>
      <c r="B346" s="2" t="s">
        <v>148</v>
      </c>
      <c r="C346" s="21">
        <v>2</v>
      </c>
      <c r="D346" s="23">
        <v>50</v>
      </c>
      <c r="E346" s="23" t="s">
        <v>41</v>
      </c>
      <c r="F346" s="23"/>
      <c r="G346" s="3" t="s">
        <v>371</v>
      </c>
      <c r="H346" s="12" t="s">
        <v>41</v>
      </c>
      <c r="I346" s="10"/>
      <c r="J346" s="4"/>
      <c r="K346" s="5"/>
      <c r="L346" s="5" t="s">
        <v>296</v>
      </c>
      <c r="M346" s="4" t="s">
        <v>297</v>
      </c>
      <c r="N346" s="4"/>
      <c r="O346" s="12" t="s">
        <v>793</v>
      </c>
      <c r="P346" s="12" t="s">
        <v>47</v>
      </c>
      <c r="Q346" s="30" t="s">
        <v>47</v>
      </c>
      <c r="R346" s="27" t="s">
        <v>47</v>
      </c>
      <c r="S346" s="12" t="s">
        <v>47</v>
      </c>
      <c r="T346" s="13">
        <v>0.187</v>
      </c>
      <c r="U346" s="13">
        <v>0.154</v>
      </c>
      <c r="V346" s="13">
        <v>0.20899999999999999</v>
      </c>
      <c r="W346" s="13">
        <v>0.19800000000000001</v>
      </c>
      <c r="X346" s="13">
        <v>0.19800000000000001</v>
      </c>
      <c r="Y346" s="1">
        <f>AVERAGE(U346:X346)</f>
        <v>0.18974999999999997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hidden="1" x14ac:dyDescent="0.3">
      <c r="A347" s="22" t="s">
        <v>900</v>
      </c>
      <c r="B347" s="2" t="s">
        <v>49</v>
      </c>
      <c r="C347" s="21">
        <v>2</v>
      </c>
      <c r="D347" s="23" t="s">
        <v>829</v>
      </c>
      <c r="E347" s="23"/>
      <c r="F347" s="28"/>
      <c r="G347" s="3" t="s">
        <v>844</v>
      </c>
      <c r="H347" s="6"/>
      <c r="I347" s="6"/>
      <c r="J347" s="6">
        <v>30</v>
      </c>
      <c r="K347" s="21"/>
      <c r="L347" s="21" t="s">
        <v>791</v>
      </c>
      <c r="M347" s="6" t="s">
        <v>869</v>
      </c>
      <c r="N347" s="6"/>
      <c r="O347" s="6" t="s">
        <v>793</v>
      </c>
      <c r="P347" s="6"/>
      <c r="Q347" s="27"/>
      <c r="R347" s="28" t="s">
        <v>692</v>
      </c>
      <c r="S347" s="6"/>
      <c r="T347" s="1">
        <v>8.4847000000000006E-2</v>
      </c>
      <c r="U347" s="1">
        <v>0.13008799999999998</v>
      </c>
      <c r="V347" s="1">
        <v>0.150696</v>
      </c>
      <c r="W347" s="1">
        <v>0.26357400000000003</v>
      </c>
      <c r="X347" s="1">
        <v>0.21158800000000003</v>
      </c>
      <c r="Y347" s="1">
        <f>AVERAGE(U347:X347)</f>
        <v>0.1889865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hidden="1" x14ac:dyDescent="0.3">
      <c r="A348" s="22" t="s">
        <v>1303</v>
      </c>
      <c r="B348" s="2"/>
      <c r="C348" s="21">
        <v>3</v>
      </c>
      <c r="D348" s="23"/>
      <c r="E348" s="23"/>
      <c r="F348" s="23"/>
      <c r="G348" s="3" t="s">
        <v>1258</v>
      </c>
      <c r="H348" s="6"/>
      <c r="I348" s="6"/>
      <c r="J348" s="6"/>
      <c r="K348" s="21"/>
      <c r="L348" s="21" t="s">
        <v>1259</v>
      </c>
      <c r="M348" s="6"/>
      <c r="N348" s="6"/>
      <c r="O348" s="6"/>
      <c r="P348" s="6"/>
      <c r="Q348" s="27"/>
      <c r="R348" s="27" t="s">
        <v>146</v>
      </c>
      <c r="S348" s="6"/>
      <c r="T348" s="1">
        <v>0.11313963846153846</v>
      </c>
      <c r="U348" s="1">
        <v>0.1690858369943963</v>
      </c>
      <c r="V348" s="1">
        <v>0.12585370384615385</v>
      </c>
      <c r="W348" s="1">
        <v>0.1877025254559348</v>
      </c>
      <c r="X348" s="1">
        <v>0.21463109</v>
      </c>
      <c r="Y348" s="1">
        <f>AVERAGE(U348:X348)</f>
        <v>0.17431828907412125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hidden="1" x14ac:dyDescent="0.3">
      <c r="A349" s="22" t="s">
        <v>1304</v>
      </c>
      <c r="B349" s="2"/>
      <c r="C349" s="21">
        <v>9.75</v>
      </c>
      <c r="D349" s="23"/>
      <c r="E349" s="23"/>
      <c r="F349" s="23"/>
      <c r="G349" s="3" t="s">
        <v>1305</v>
      </c>
      <c r="H349" s="6"/>
      <c r="I349" s="6"/>
      <c r="J349" s="6"/>
      <c r="K349" s="21"/>
      <c r="L349" s="21" t="s">
        <v>1259</v>
      </c>
      <c r="M349" s="6"/>
      <c r="N349" s="6"/>
      <c r="O349" s="6"/>
      <c r="P349" s="6"/>
      <c r="Q349" s="27"/>
      <c r="R349" s="27" t="s">
        <v>146</v>
      </c>
      <c r="S349" s="6"/>
      <c r="T349" s="1">
        <v>0.11700401785925214</v>
      </c>
      <c r="U349" s="1">
        <v>0.16834787675386423</v>
      </c>
      <c r="V349" s="1">
        <v>0.10873920684840201</v>
      </c>
      <c r="W349" s="1">
        <v>0.23212667288376199</v>
      </c>
      <c r="X349" s="1">
        <v>0.14251044345449024</v>
      </c>
      <c r="Y349" s="1">
        <f>AVERAGE(U349:X349)</f>
        <v>0.16293104998512961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hidden="1" x14ac:dyDescent="0.3">
      <c r="A350" s="22" t="s">
        <v>258</v>
      </c>
      <c r="B350" s="2" t="s">
        <v>49</v>
      </c>
      <c r="C350" s="21">
        <v>2.65</v>
      </c>
      <c r="D350" s="23" t="s">
        <v>829</v>
      </c>
      <c r="E350" s="23"/>
      <c r="F350" s="28"/>
      <c r="G350" s="3" t="s">
        <v>901</v>
      </c>
      <c r="H350" s="6"/>
      <c r="I350" s="6"/>
      <c r="J350" s="6">
        <v>30</v>
      </c>
      <c r="K350" s="21"/>
      <c r="L350" s="21" t="s">
        <v>815</v>
      </c>
      <c r="M350" s="4" t="s">
        <v>902</v>
      </c>
      <c r="N350" s="6"/>
      <c r="O350" s="6" t="s">
        <v>793</v>
      </c>
      <c r="P350" s="6"/>
      <c r="Q350" s="27"/>
      <c r="R350" s="28" t="s">
        <v>692</v>
      </c>
      <c r="S350" s="6"/>
      <c r="T350" s="1">
        <v>0</v>
      </c>
      <c r="U350" s="1">
        <v>0.15246000000000001</v>
      </c>
      <c r="V350" s="1">
        <v>0.19601999999999997</v>
      </c>
      <c r="W350" s="1">
        <v>0.1368</v>
      </c>
      <c r="X350" s="1">
        <v>0.16335</v>
      </c>
      <c r="Y350" s="1">
        <f>AVERAGE(U350:X350)</f>
        <v>0.16215750000000001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hidden="1" x14ac:dyDescent="0.3">
      <c r="A351" s="3" t="s">
        <v>903</v>
      </c>
      <c r="B351" s="2" t="s">
        <v>49</v>
      </c>
      <c r="C351" s="21">
        <v>3</v>
      </c>
      <c r="D351" s="23">
        <v>1200</v>
      </c>
      <c r="E351" s="23"/>
      <c r="F351" s="28"/>
      <c r="G351" s="3" t="s">
        <v>774</v>
      </c>
      <c r="H351" s="4"/>
      <c r="I351" s="6" t="s">
        <v>687</v>
      </c>
      <c r="J351" s="4">
        <v>59</v>
      </c>
      <c r="K351" s="5"/>
      <c r="L351" s="5" t="s">
        <v>194</v>
      </c>
      <c r="M351" s="4" t="s">
        <v>94</v>
      </c>
      <c r="N351" s="4"/>
      <c r="O351" s="4" t="s">
        <v>793</v>
      </c>
      <c r="P351" s="4"/>
      <c r="Q351" s="24"/>
      <c r="R351" s="25" t="s">
        <v>692</v>
      </c>
      <c r="S351" s="4" t="s">
        <v>55</v>
      </c>
      <c r="T351" s="1">
        <v>0.10269</v>
      </c>
      <c r="U351" s="1">
        <v>7.3349999999999999E-2</v>
      </c>
      <c r="V351" s="1">
        <v>7.3349999999999999E-2</v>
      </c>
      <c r="W351" s="1">
        <v>0.180675</v>
      </c>
      <c r="X351" s="1">
        <v>0.31734000000000001</v>
      </c>
      <c r="Y351" s="1">
        <f>AVERAGE(U351:X351)</f>
        <v>0.16117874999999998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hidden="1" x14ac:dyDescent="0.3">
      <c r="A352" s="22" t="s">
        <v>397</v>
      </c>
      <c r="B352" s="2" t="s">
        <v>49</v>
      </c>
      <c r="C352" s="21">
        <v>2</v>
      </c>
      <c r="D352" s="23" t="s">
        <v>829</v>
      </c>
      <c r="E352" s="23"/>
      <c r="F352" s="28"/>
      <c r="G352" s="3" t="s">
        <v>904</v>
      </c>
      <c r="H352" s="6"/>
      <c r="I352" s="6"/>
      <c r="J352" s="6">
        <v>30</v>
      </c>
      <c r="K352" s="21"/>
      <c r="L352" s="21" t="s">
        <v>791</v>
      </c>
      <c r="M352" s="6" t="s">
        <v>119</v>
      </c>
      <c r="N352" s="6"/>
      <c r="O352" s="6" t="s">
        <v>793</v>
      </c>
      <c r="P352" s="6"/>
      <c r="Q352" s="27"/>
      <c r="R352" s="28" t="s">
        <v>692</v>
      </c>
      <c r="S352" s="6"/>
      <c r="T352" s="1">
        <v>8.9759999999999993E-2</v>
      </c>
      <c r="U352" s="1">
        <v>5.3831999999999991E-2</v>
      </c>
      <c r="V352" s="1">
        <v>0.24535200000000001</v>
      </c>
      <c r="W352" s="1">
        <v>0.20796000000000001</v>
      </c>
      <c r="X352" s="1">
        <v>0.11865600000000001</v>
      </c>
      <c r="Y352" s="1">
        <f>AVERAGE(U352:X352)</f>
        <v>0.15645000000000001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22" t="s">
        <v>372</v>
      </c>
      <c r="B353" s="2" t="s">
        <v>229</v>
      </c>
      <c r="C353" s="21">
        <v>4.75</v>
      </c>
      <c r="D353" s="23">
        <v>1450</v>
      </c>
      <c r="E353" s="23">
        <v>2140</v>
      </c>
      <c r="F353" s="23"/>
      <c r="G353" s="3"/>
      <c r="H353" s="12" t="s">
        <v>41</v>
      </c>
      <c r="I353" s="10"/>
      <c r="J353" s="4"/>
      <c r="K353" s="5"/>
      <c r="L353" s="5" t="s">
        <v>301</v>
      </c>
      <c r="M353" s="4" t="s">
        <v>297</v>
      </c>
      <c r="N353" s="4"/>
      <c r="O353" s="12" t="s">
        <v>793</v>
      </c>
      <c r="P353" s="12" t="s">
        <v>47</v>
      </c>
      <c r="Q353" s="30" t="s">
        <v>47</v>
      </c>
      <c r="R353" s="27" t="s">
        <v>47</v>
      </c>
      <c r="S353" s="10" t="s">
        <v>47</v>
      </c>
      <c r="T353" s="13">
        <v>0.17712</v>
      </c>
      <c r="U353" s="13">
        <v>0.17712</v>
      </c>
      <c r="V353" s="13">
        <v>0.22878000000000001</v>
      </c>
      <c r="W353" s="13">
        <v>0.11808</v>
      </c>
      <c r="X353" s="13">
        <v>9.5939999999999998E-2</v>
      </c>
      <c r="Y353" s="1">
        <f>AVERAGE(U353:X353)</f>
        <v>0.15498000000000001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hidden="1" x14ac:dyDescent="0.3">
      <c r="A354" s="19" t="s">
        <v>1230</v>
      </c>
      <c r="B354" s="21" t="s">
        <v>40</v>
      </c>
      <c r="C354" s="21">
        <v>0.7</v>
      </c>
      <c r="D354" s="23">
        <v>6</v>
      </c>
      <c r="E354" s="23"/>
      <c r="F354" s="23" t="s">
        <v>82</v>
      </c>
      <c r="G354" s="20" t="s">
        <v>1131</v>
      </c>
      <c r="H354" s="6"/>
      <c r="I354" s="6" t="s">
        <v>1078</v>
      </c>
      <c r="J354" s="6">
        <v>59</v>
      </c>
      <c r="K354" s="21">
        <v>0.6</v>
      </c>
      <c r="L354" s="21" t="s">
        <v>1073</v>
      </c>
      <c r="M354" s="6" t="s">
        <v>195</v>
      </c>
      <c r="N354" s="6" t="s">
        <v>160</v>
      </c>
      <c r="O354" s="6">
        <v>20</v>
      </c>
      <c r="P354" s="6"/>
      <c r="Q354" s="27"/>
      <c r="R354" s="28" t="s">
        <v>108</v>
      </c>
      <c r="S354" s="6"/>
      <c r="T354" s="1">
        <v>0.14687999999999998</v>
      </c>
      <c r="U354" s="1">
        <v>0.14860800000000002</v>
      </c>
      <c r="V354" s="1">
        <v>0.15897600000000001</v>
      </c>
      <c r="W354" s="1">
        <v>0.11232</v>
      </c>
      <c r="X354" s="1">
        <v>0.171072</v>
      </c>
      <c r="Y354" s="1">
        <f>AVERAGE(U354:X354)</f>
        <v>0.14774400000000001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hidden="1" x14ac:dyDescent="0.3">
      <c r="A355" s="22" t="s">
        <v>905</v>
      </c>
      <c r="B355" s="2" t="s">
        <v>770</v>
      </c>
      <c r="C355" s="21">
        <v>1.5</v>
      </c>
      <c r="D355" s="23" t="s">
        <v>906</v>
      </c>
      <c r="E355" s="23"/>
      <c r="F355" s="28"/>
      <c r="G355" s="3" t="s">
        <v>907</v>
      </c>
      <c r="H355" s="4"/>
      <c r="I355" s="6"/>
      <c r="J355" s="4">
        <v>30</v>
      </c>
      <c r="K355" s="5"/>
      <c r="L355" s="5" t="s">
        <v>791</v>
      </c>
      <c r="M355" s="4" t="s">
        <v>908</v>
      </c>
      <c r="N355" s="4"/>
      <c r="O355" s="4" t="s">
        <v>793</v>
      </c>
      <c r="P355" s="4"/>
      <c r="Q355" s="24"/>
      <c r="R355" s="25" t="s">
        <v>692</v>
      </c>
      <c r="S355" s="6"/>
      <c r="T355" s="1">
        <v>0.40426000000000001</v>
      </c>
      <c r="U355" s="1">
        <v>0.15456999999999999</v>
      </c>
      <c r="V355" s="1">
        <v>0</v>
      </c>
      <c r="W355" s="1">
        <v>0.24969</v>
      </c>
      <c r="X355" s="1">
        <v>0.17835000000000004</v>
      </c>
      <c r="Y355" s="1">
        <f>AVERAGE(U355:X355)</f>
        <v>0.14565249999999999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22" t="s">
        <v>373</v>
      </c>
      <c r="B356" s="2" t="s">
        <v>158</v>
      </c>
      <c r="C356" s="21">
        <v>2</v>
      </c>
      <c r="D356" s="23">
        <v>115</v>
      </c>
      <c r="E356" s="23" t="s">
        <v>41</v>
      </c>
      <c r="F356" s="23"/>
      <c r="G356" s="3" t="s">
        <v>374</v>
      </c>
      <c r="H356" s="10">
        <v>34025636</v>
      </c>
      <c r="I356" s="10"/>
      <c r="J356" s="6"/>
      <c r="K356" s="21"/>
      <c r="L356" s="21" t="s">
        <v>64</v>
      </c>
      <c r="M356" s="6" t="s">
        <v>45</v>
      </c>
      <c r="N356" s="35" t="s">
        <v>46</v>
      </c>
      <c r="O356" s="12" t="s">
        <v>793</v>
      </c>
      <c r="P356" s="10" t="s">
        <v>47</v>
      </c>
      <c r="Q356" s="29" t="s">
        <v>47</v>
      </c>
      <c r="R356" s="27" t="s">
        <v>47</v>
      </c>
      <c r="S356" s="10" t="s">
        <v>47</v>
      </c>
      <c r="T356" s="13">
        <v>0.13800000000000001</v>
      </c>
      <c r="U356" s="13">
        <v>0.161</v>
      </c>
      <c r="V356" s="13">
        <v>0.184</v>
      </c>
      <c r="W356" s="13">
        <v>6.9000000000000006E-2</v>
      </c>
      <c r="X356" s="13">
        <v>0.161</v>
      </c>
      <c r="Y356" s="1">
        <f>AVERAGE(U356:X356)</f>
        <v>0.14374999999999999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hidden="1" x14ac:dyDescent="0.3">
      <c r="A357" s="3" t="s">
        <v>909</v>
      </c>
      <c r="B357" s="2" t="s">
        <v>49</v>
      </c>
      <c r="C357" s="21">
        <v>7</v>
      </c>
      <c r="D357" s="23">
        <v>1200</v>
      </c>
      <c r="E357" s="23"/>
      <c r="F357" s="28"/>
      <c r="G357" s="3" t="s">
        <v>883</v>
      </c>
      <c r="H357" s="6"/>
      <c r="I357" s="6"/>
      <c r="J357" s="6">
        <v>30</v>
      </c>
      <c r="K357" s="21"/>
      <c r="L357" s="21" t="s">
        <v>791</v>
      </c>
      <c r="M357" s="6" t="s">
        <v>297</v>
      </c>
      <c r="N357" s="6"/>
      <c r="O357" s="6" t="s">
        <v>793</v>
      </c>
      <c r="P357" s="6"/>
      <c r="Q357" s="27"/>
      <c r="R357" s="28" t="s">
        <v>692</v>
      </c>
      <c r="S357" s="6"/>
      <c r="T357" s="1">
        <v>0</v>
      </c>
      <c r="U357" s="1">
        <v>0</v>
      </c>
      <c r="V357" s="1">
        <v>0.18513600000000002</v>
      </c>
      <c r="W357" s="1">
        <v>0.18513600000000002</v>
      </c>
      <c r="X357" s="1">
        <v>0.18513600000000002</v>
      </c>
      <c r="Y357" s="1">
        <f>AVERAGE(U357:X357)</f>
        <v>0.13885200000000003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hidden="1" x14ac:dyDescent="0.3">
      <c r="A358" s="19" t="s">
        <v>1231</v>
      </c>
      <c r="B358" s="21" t="s">
        <v>40</v>
      </c>
      <c r="C358" s="21">
        <v>1.6</v>
      </c>
      <c r="D358" s="23">
        <v>1050</v>
      </c>
      <c r="E358" s="23"/>
      <c r="F358" s="23" t="s">
        <v>82</v>
      </c>
      <c r="G358" s="20" t="s">
        <v>1232</v>
      </c>
      <c r="H358" s="6"/>
      <c r="I358" s="6" t="s">
        <v>1078</v>
      </c>
      <c r="J358" s="6">
        <v>59</v>
      </c>
      <c r="K358" s="21">
        <v>1</v>
      </c>
      <c r="L358" s="21" t="s">
        <v>1073</v>
      </c>
      <c r="M358" s="6" t="s">
        <v>195</v>
      </c>
      <c r="N358" s="35" t="s">
        <v>46</v>
      </c>
      <c r="O358" s="6">
        <v>20</v>
      </c>
      <c r="P358" s="6"/>
      <c r="Q358" s="27"/>
      <c r="R358" s="28" t="s">
        <v>108</v>
      </c>
      <c r="S358" s="6"/>
      <c r="T358" s="1">
        <v>0.27500000000000002</v>
      </c>
      <c r="U358" s="1">
        <v>0</v>
      </c>
      <c r="V358" s="1">
        <v>0.27500000000000002</v>
      </c>
      <c r="W358" s="1">
        <v>0</v>
      </c>
      <c r="X358" s="1">
        <v>0.27500000000000002</v>
      </c>
      <c r="Y358" s="1">
        <f>AVERAGE(U358:X358)</f>
        <v>0.13750000000000001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hidden="1" x14ac:dyDescent="0.3">
      <c r="A359" s="22" t="s">
        <v>1306</v>
      </c>
      <c r="B359" s="2"/>
      <c r="C359" s="21">
        <v>2</v>
      </c>
      <c r="D359" s="23"/>
      <c r="E359" s="23"/>
      <c r="F359" s="23"/>
      <c r="G359" s="3" t="s">
        <v>1262</v>
      </c>
      <c r="H359" s="6"/>
      <c r="I359" s="6"/>
      <c r="J359" s="6"/>
      <c r="K359" s="21"/>
      <c r="L359" s="21" t="s">
        <v>1266</v>
      </c>
      <c r="M359" s="6"/>
      <c r="N359" s="6"/>
      <c r="O359" s="6"/>
      <c r="P359" s="6"/>
      <c r="Q359" s="27"/>
      <c r="R359" s="27" t="s">
        <v>146</v>
      </c>
      <c r="S359" s="6"/>
      <c r="T359" s="1">
        <v>0</v>
      </c>
      <c r="U359" s="1">
        <v>0.4801583333333333</v>
      </c>
      <c r="V359" s="1">
        <v>0</v>
      </c>
      <c r="W359" s="1">
        <v>0</v>
      </c>
      <c r="X359" s="1">
        <v>0</v>
      </c>
      <c r="Y359" s="1">
        <f>AVERAGE(U359:X359)</f>
        <v>0.12003958333333332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375</v>
      </c>
      <c r="B360" s="2" t="s">
        <v>68</v>
      </c>
      <c r="C360" s="21">
        <v>0.7</v>
      </c>
      <c r="D360" s="23">
        <v>1400</v>
      </c>
      <c r="E360" s="23" t="s">
        <v>41</v>
      </c>
      <c r="F360" s="23"/>
      <c r="G360" s="3" t="s">
        <v>376</v>
      </c>
      <c r="H360" s="10" t="s">
        <v>41</v>
      </c>
      <c r="I360" s="10"/>
      <c r="J360" s="6"/>
      <c r="K360" s="21"/>
      <c r="L360" s="21" t="s">
        <v>248</v>
      </c>
      <c r="M360" s="6" t="s">
        <v>195</v>
      </c>
      <c r="N360" s="6" t="s">
        <v>377</v>
      </c>
      <c r="O360" s="12" t="s">
        <v>793</v>
      </c>
      <c r="P360" s="10"/>
      <c r="Q360" s="29"/>
      <c r="R360" s="27" t="s">
        <v>47</v>
      </c>
      <c r="S360" s="10" t="s">
        <v>47</v>
      </c>
      <c r="T360" s="13">
        <v>0</v>
      </c>
      <c r="U360" s="13">
        <v>0.46379999999999999</v>
      </c>
      <c r="V360" s="13">
        <v>0</v>
      </c>
      <c r="W360" s="13">
        <v>0</v>
      </c>
      <c r="X360" s="13">
        <v>0</v>
      </c>
      <c r="Y360" s="1">
        <f>AVERAGE(U360:X360)</f>
        <v>0.11595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22" t="s">
        <v>378</v>
      </c>
      <c r="B361" s="2" t="s">
        <v>68</v>
      </c>
      <c r="C361" s="21">
        <v>1.5</v>
      </c>
      <c r="D361" s="23">
        <v>1200</v>
      </c>
      <c r="E361" s="23">
        <v>1500</v>
      </c>
      <c r="F361" s="23"/>
      <c r="G361" s="3" t="s">
        <v>379</v>
      </c>
      <c r="H361" s="12" t="s">
        <v>41</v>
      </c>
      <c r="I361" s="12"/>
      <c r="J361" s="4"/>
      <c r="K361" s="5"/>
      <c r="L361" s="5" t="s">
        <v>296</v>
      </c>
      <c r="M361" s="4" t="s">
        <v>106</v>
      </c>
      <c r="N361" s="4" t="s">
        <v>94</v>
      </c>
      <c r="O361" s="12" t="s">
        <v>793</v>
      </c>
      <c r="P361" s="12" t="s">
        <v>47</v>
      </c>
      <c r="Q361" s="30" t="s">
        <v>47</v>
      </c>
      <c r="R361" s="27" t="s">
        <v>47</v>
      </c>
      <c r="S361" s="12" t="s">
        <v>47</v>
      </c>
      <c r="T361" s="13">
        <v>0</v>
      </c>
      <c r="U361" s="13">
        <v>0</v>
      </c>
      <c r="V361" s="13">
        <v>0.15203999999999998</v>
      </c>
      <c r="W361" s="13">
        <v>0.15203999999999998</v>
      </c>
      <c r="X361" s="13">
        <v>0.15203999999999998</v>
      </c>
      <c r="Y361" s="1">
        <f>AVERAGE(U361:X361)</f>
        <v>0.11402999999999999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hidden="1" x14ac:dyDescent="0.3">
      <c r="A362" s="22" t="s">
        <v>1307</v>
      </c>
      <c r="B362" s="2"/>
      <c r="C362" s="21">
        <v>12.25</v>
      </c>
      <c r="D362" s="23"/>
      <c r="E362" s="23"/>
      <c r="F362" s="23"/>
      <c r="G362" s="3" t="s">
        <v>1284</v>
      </c>
      <c r="H362" s="6"/>
      <c r="I362" s="6"/>
      <c r="J362" s="6"/>
      <c r="K362" s="21"/>
      <c r="L362" s="21" t="s">
        <v>1259</v>
      </c>
      <c r="M362" s="6"/>
      <c r="N362" s="6"/>
      <c r="O362" s="6"/>
      <c r="P362" s="6"/>
      <c r="Q362" s="27"/>
      <c r="R362" s="27" t="s">
        <v>146</v>
      </c>
      <c r="S362" s="6"/>
      <c r="T362" s="1">
        <v>0.10337468750000001</v>
      </c>
      <c r="U362" s="1">
        <v>4.8081250000000006E-2</v>
      </c>
      <c r="V362" s="1">
        <v>4.8081250000000006E-2</v>
      </c>
      <c r="W362" s="1">
        <v>0.19232500000000002</v>
      </c>
      <c r="X362" s="1">
        <v>0.14424375</v>
      </c>
      <c r="Y362" s="1">
        <f>AVERAGE(U362:X362)</f>
        <v>0.1081828125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hidden="1" x14ac:dyDescent="0.3">
      <c r="A363" s="22" t="s">
        <v>1308</v>
      </c>
      <c r="B363" s="2"/>
      <c r="C363" s="21">
        <v>1.9</v>
      </c>
      <c r="D363" s="23"/>
      <c r="E363" s="23"/>
      <c r="F363" s="23"/>
      <c r="G363" s="3" t="s">
        <v>1270</v>
      </c>
      <c r="H363" s="4"/>
      <c r="I363" s="6"/>
      <c r="J363" s="4"/>
      <c r="K363" s="5"/>
      <c r="L363" s="5" t="s">
        <v>1266</v>
      </c>
      <c r="M363" s="4"/>
      <c r="N363" s="4"/>
      <c r="O363" s="4"/>
      <c r="P363" s="4"/>
      <c r="Q363" s="24"/>
      <c r="R363" s="27" t="s">
        <v>146</v>
      </c>
      <c r="S363" s="6"/>
      <c r="T363" s="1">
        <v>0.13895000000000002</v>
      </c>
      <c r="U363" s="1">
        <v>0.13895000000000002</v>
      </c>
      <c r="V363" s="1">
        <v>0.11910000000000001</v>
      </c>
      <c r="W363" s="1">
        <v>0.11910000000000001</v>
      </c>
      <c r="X363" s="1">
        <v>0</v>
      </c>
      <c r="Y363" s="1">
        <f>AVERAGE(U363:X363)</f>
        <v>9.4287499999999996E-2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hidden="1" x14ac:dyDescent="0.3">
      <c r="A364" s="22" t="s">
        <v>1309</v>
      </c>
      <c r="B364" s="2"/>
      <c r="C364" s="21">
        <v>5</v>
      </c>
      <c r="D364" s="23"/>
      <c r="E364" s="23"/>
      <c r="F364" s="23"/>
      <c r="G364" s="3" t="s">
        <v>1310</v>
      </c>
      <c r="H364" s="4"/>
      <c r="I364" s="6"/>
      <c r="J364" s="4"/>
      <c r="K364" s="5"/>
      <c r="L364" s="5" t="s">
        <v>1266</v>
      </c>
      <c r="M364" s="4"/>
      <c r="N364" s="4"/>
      <c r="O364" s="4"/>
      <c r="P364" s="4"/>
      <c r="Q364" s="24"/>
      <c r="R364" s="27" t="s">
        <v>146</v>
      </c>
      <c r="S364" s="6"/>
      <c r="T364" s="1">
        <v>0</v>
      </c>
      <c r="U364" s="1">
        <v>0.185364</v>
      </c>
      <c r="V364" s="1">
        <v>0</v>
      </c>
      <c r="W364" s="1">
        <v>0</v>
      </c>
      <c r="X364" s="1">
        <v>0.185364</v>
      </c>
      <c r="Y364" s="1">
        <f>AVERAGE(U364:X364)</f>
        <v>9.2682E-2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hidden="1" x14ac:dyDescent="0.3">
      <c r="A365" s="22" t="s">
        <v>910</v>
      </c>
      <c r="B365" s="2" t="s">
        <v>770</v>
      </c>
      <c r="C365" s="21">
        <v>1.5</v>
      </c>
      <c r="D365" s="23">
        <v>1030</v>
      </c>
      <c r="E365" s="23"/>
      <c r="F365" s="28"/>
      <c r="G365" s="3" t="s">
        <v>832</v>
      </c>
      <c r="H365" s="6"/>
      <c r="I365" s="6" t="s">
        <v>702</v>
      </c>
      <c r="J365" s="6">
        <v>69</v>
      </c>
      <c r="K365" s="21">
        <v>19</v>
      </c>
      <c r="L365" s="21" t="s">
        <v>194</v>
      </c>
      <c r="M365" s="6" t="s">
        <v>787</v>
      </c>
      <c r="N365" s="6" t="s">
        <v>833</v>
      </c>
      <c r="O365" s="6" t="s">
        <v>793</v>
      </c>
      <c r="P365" s="6"/>
      <c r="Q365" s="27"/>
      <c r="R365" s="28" t="s">
        <v>692</v>
      </c>
      <c r="S365" s="6" t="s">
        <v>55</v>
      </c>
      <c r="T365" s="1">
        <v>0</v>
      </c>
      <c r="U365" s="1">
        <v>0.17493</v>
      </c>
      <c r="V365" s="1">
        <v>0</v>
      </c>
      <c r="W365" s="1">
        <v>0.17493</v>
      </c>
      <c r="X365" s="1">
        <v>0</v>
      </c>
      <c r="Y365" s="1">
        <f>AVERAGE(U365:X365)</f>
        <v>8.7465000000000001E-2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hidden="1" x14ac:dyDescent="0.3">
      <c r="A366" s="22" t="s">
        <v>903</v>
      </c>
      <c r="B366" s="2"/>
      <c r="C366" s="21">
        <v>3</v>
      </c>
      <c r="D366" s="23"/>
      <c r="E366" s="23"/>
      <c r="F366" s="23"/>
      <c r="G366" s="3" t="s">
        <v>1262</v>
      </c>
      <c r="H366" s="6"/>
      <c r="I366" s="6"/>
      <c r="J366" s="6"/>
      <c r="K366" s="21"/>
      <c r="L366" s="21" t="s">
        <v>1266</v>
      </c>
      <c r="M366" s="6"/>
      <c r="N366" s="6"/>
      <c r="O366" s="6"/>
      <c r="P366" s="6"/>
      <c r="Q366" s="27"/>
      <c r="R366" s="27" t="s">
        <v>146</v>
      </c>
      <c r="S366" s="6"/>
      <c r="T366" s="1">
        <v>6.8949999999999997E-2</v>
      </c>
      <c r="U366" s="1">
        <v>0.10716000000000001</v>
      </c>
      <c r="V366" s="1">
        <v>4.4688000000000005E-2</v>
      </c>
      <c r="W366" s="1">
        <v>9.2048000000000005E-2</v>
      </c>
      <c r="X366" s="1">
        <v>8.2708000000000004E-2</v>
      </c>
      <c r="Y366" s="1">
        <f>AVERAGE(U366:X366)</f>
        <v>8.1651000000000001E-2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hidden="1" x14ac:dyDescent="0.3">
      <c r="A367" s="22" t="s">
        <v>1311</v>
      </c>
      <c r="B367" s="2"/>
      <c r="C367" s="21">
        <v>12.5</v>
      </c>
      <c r="D367" s="23"/>
      <c r="E367" s="23"/>
      <c r="F367" s="23"/>
      <c r="G367" s="3" t="s">
        <v>1262</v>
      </c>
      <c r="H367" s="6"/>
      <c r="I367" s="6"/>
      <c r="J367" s="6"/>
      <c r="K367" s="21"/>
      <c r="L367" s="21" t="s">
        <v>1263</v>
      </c>
      <c r="M367" s="6"/>
      <c r="N367" s="6"/>
      <c r="O367" s="6"/>
      <c r="P367" s="6"/>
      <c r="Q367" s="27"/>
      <c r="R367" s="27" t="s">
        <v>146</v>
      </c>
      <c r="S367" s="6"/>
      <c r="T367" s="1">
        <v>0</v>
      </c>
      <c r="U367" s="1">
        <v>0</v>
      </c>
      <c r="V367" s="1">
        <v>0.12874080000000002</v>
      </c>
      <c r="W367" s="1">
        <v>0.12874080000000002</v>
      </c>
      <c r="X367" s="1">
        <v>6.4370400000000008E-2</v>
      </c>
      <c r="Y367" s="1">
        <f>AVERAGE(U367:X367)</f>
        <v>8.0463000000000007E-2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hidden="1" x14ac:dyDescent="0.3">
      <c r="A368" s="22" t="s">
        <v>911</v>
      </c>
      <c r="B368" s="2" t="s">
        <v>770</v>
      </c>
      <c r="C368" s="21">
        <v>1.5</v>
      </c>
      <c r="D368" s="23">
        <v>1200</v>
      </c>
      <c r="E368" s="23"/>
      <c r="F368" s="28"/>
      <c r="G368" s="3" t="s">
        <v>832</v>
      </c>
      <c r="H368" s="6"/>
      <c r="I368" s="6" t="s">
        <v>687</v>
      </c>
      <c r="J368" s="6">
        <v>69</v>
      </c>
      <c r="K368" s="21">
        <v>18</v>
      </c>
      <c r="L368" s="21" t="s">
        <v>194</v>
      </c>
      <c r="M368" s="6" t="s">
        <v>787</v>
      </c>
      <c r="N368" s="6" t="s">
        <v>833</v>
      </c>
      <c r="O368" s="6" t="s">
        <v>793</v>
      </c>
      <c r="P368" s="6"/>
      <c r="Q368" s="27"/>
      <c r="R368" s="28" t="s">
        <v>692</v>
      </c>
      <c r="S368" s="6" t="s">
        <v>55</v>
      </c>
      <c r="T368" s="1">
        <v>0</v>
      </c>
      <c r="U368" s="1">
        <v>1.0199999999999999E-2</v>
      </c>
      <c r="V368" s="1">
        <v>4.0799999999999996E-2</v>
      </c>
      <c r="W368" s="1">
        <v>0.15134999999999998</v>
      </c>
      <c r="X368" s="1">
        <v>0.102025</v>
      </c>
      <c r="Y368" s="1">
        <f>AVERAGE(U368:X368)</f>
        <v>7.6093749999999988E-2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hidden="1" x14ac:dyDescent="0.3">
      <c r="A369" s="22" t="s">
        <v>912</v>
      </c>
      <c r="B369" s="2" t="s">
        <v>770</v>
      </c>
      <c r="C369" s="21">
        <v>1.5</v>
      </c>
      <c r="D369" s="23">
        <v>755</v>
      </c>
      <c r="E369" s="23"/>
      <c r="F369" s="28"/>
      <c r="G369" s="3" t="s">
        <v>863</v>
      </c>
      <c r="H369" s="4"/>
      <c r="I369" s="4"/>
      <c r="J369" s="4">
        <v>63</v>
      </c>
      <c r="K369" s="5"/>
      <c r="L369" s="5" t="s">
        <v>864</v>
      </c>
      <c r="M369" s="4" t="s">
        <v>865</v>
      </c>
      <c r="N369" s="4"/>
      <c r="O369" s="4" t="s">
        <v>793</v>
      </c>
      <c r="P369" s="4"/>
      <c r="Q369" s="24"/>
      <c r="R369" s="25" t="s">
        <v>692</v>
      </c>
      <c r="S369" s="4"/>
      <c r="T369" s="1">
        <v>0</v>
      </c>
      <c r="U369" s="1">
        <v>0</v>
      </c>
      <c r="V369" s="1">
        <v>0</v>
      </c>
      <c r="W369" s="1">
        <v>0</v>
      </c>
      <c r="X369" s="1">
        <v>0.29525999999999997</v>
      </c>
      <c r="Y369" s="1">
        <f>AVERAGE(U369:X369)</f>
        <v>7.3814999999999992E-2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hidden="1" x14ac:dyDescent="0.3">
      <c r="A370" s="22" t="s">
        <v>913</v>
      </c>
      <c r="B370" s="2" t="s">
        <v>770</v>
      </c>
      <c r="C370" s="21">
        <v>1.2</v>
      </c>
      <c r="D370" s="23" t="s">
        <v>829</v>
      </c>
      <c r="E370" s="23"/>
      <c r="F370" s="28"/>
      <c r="G370" s="3" t="s">
        <v>914</v>
      </c>
      <c r="H370" s="6"/>
      <c r="I370" s="6"/>
      <c r="J370" s="6">
        <v>30</v>
      </c>
      <c r="K370" s="21"/>
      <c r="L370" s="21" t="s">
        <v>791</v>
      </c>
      <c r="M370" s="6" t="s">
        <v>865</v>
      </c>
      <c r="N370" s="6"/>
      <c r="O370" s="6" t="s">
        <v>793</v>
      </c>
      <c r="P370" s="6"/>
      <c r="Q370" s="27"/>
      <c r="R370" s="28" t="s">
        <v>692</v>
      </c>
      <c r="S370" s="6"/>
      <c r="T370" s="1">
        <v>0</v>
      </c>
      <c r="U370" s="1">
        <v>0</v>
      </c>
      <c r="V370" s="1">
        <v>0</v>
      </c>
      <c r="W370" s="1">
        <v>0.14699999999999999</v>
      </c>
      <c r="X370" s="1">
        <v>0.14699999999999999</v>
      </c>
      <c r="Y370" s="1">
        <f>AVERAGE(U370:X370)</f>
        <v>7.3499999999999996E-2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hidden="1" x14ac:dyDescent="0.3">
      <c r="A371" s="22" t="s">
        <v>378</v>
      </c>
      <c r="B371" s="2" t="s">
        <v>770</v>
      </c>
      <c r="C371" s="21">
        <v>1.5</v>
      </c>
      <c r="D371" s="23" t="s">
        <v>829</v>
      </c>
      <c r="E371" s="23"/>
      <c r="F371" s="28"/>
      <c r="G371" s="3" t="s">
        <v>915</v>
      </c>
      <c r="H371" s="4"/>
      <c r="I371" s="4"/>
      <c r="J371" s="4">
        <v>30</v>
      </c>
      <c r="K371" s="5"/>
      <c r="L371" s="5" t="s">
        <v>791</v>
      </c>
      <c r="M371" s="4" t="s">
        <v>119</v>
      </c>
      <c r="N371" s="4"/>
      <c r="O371" s="4" t="s">
        <v>793</v>
      </c>
      <c r="P371" s="4"/>
      <c r="Q371" s="24"/>
      <c r="R371" s="25" t="s">
        <v>692</v>
      </c>
      <c r="S371" s="4"/>
      <c r="T371" s="1">
        <v>0</v>
      </c>
      <c r="U371" s="1">
        <v>0</v>
      </c>
      <c r="V371" s="1">
        <v>0</v>
      </c>
      <c r="W371" s="1">
        <v>0.22716</v>
      </c>
      <c r="X371" s="1">
        <v>6.3100000000000003E-2</v>
      </c>
      <c r="Y371" s="1">
        <f>AVERAGE(U371:X371)</f>
        <v>7.2565000000000004E-2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hidden="1" x14ac:dyDescent="0.3">
      <c r="A372" s="22" t="s">
        <v>402</v>
      </c>
      <c r="B372" s="2" t="s">
        <v>770</v>
      </c>
      <c r="C372" s="21">
        <v>1.06</v>
      </c>
      <c r="D372" s="23" t="s">
        <v>859</v>
      </c>
      <c r="E372" s="23"/>
      <c r="F372" s="28"/>
      <c r="G372" s="3" t="s">
        <v>916</v>
      </c>
      <c r="H372" s="6"/>
      <c r="I372" s="6"/>
      <c r="J372" s="6">
        <v>30</v>
      </c>
      <c r="K372" s="21"/>
      <c r="L372" s="21" t="s">
        <v>791</v>
      </c>
      <c r="M372" s="6" t="s">
        <v>119</v>
      </c>
      <c r="N372" s="6"/>
      <c r="O372" s="6" t="s">
        <v>793</v>
      </c>
      <c r="P372" s="6"/>
      <c r="Q372" s="27"/>
      <c r="R372" s="28" t="s">
        <v>692</v>
      </c>
      <c r="S372" s="6"/>
      <c r="T372" s="1">
        <v>0</v>
      </c>
      <c r="U372" s="1">
        <v>0</v>
      </c>
      <c r="V372" s="1">
        <v>0</v>
      </c>
      <c r="W372" s="1">
        <v>0.14149999999999999</v>
      </c>
      <c r="X372" s="1">
        <v>0.14149999999999999</v>
      </c>
      <c r="Y372" s="1">
        <f>AVERAGE(U372:X372)</f>
        <v>7.0749999999999993E-2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22" t="s">
        <v>380</v>
      </c>
      <c r="B373" s="2" t="s">
        <v>40</v>
      </c>
      <c r="C373" s="21">
        <v>0.7</v>
      </c>
      <c r="D373" s="23">
        <v>1050</v>
      </c>
      <c r="E373" s="23" t="s">
        <v>41</v>
      </c>
      <c r="F373" s="23"/>
      <c r="G373" s="3" t="s">
        <v>381</v>
      </c>
      <c r="H373" s="10" t="s">
        <v>41</v>
      </c>
      <c r="I373" s="10"/>
      <c r="J373" s="6"/>
      <c r="K373" s="21"/>
      <c r="L373" s="21" t="s">
        <v>296</v>
      </c>
      <c r="M373" s="6" t="s">
        <v>164</v>
      </c>
      <c r="N373" s="6" t="s">
        <v>382</v>
      </c>
      <c r="O373" s="12" t="s">
        <v>793</v>
      </c>
      <c r="P373" s="10"/>
      <c r="Q373" s="29"/>
      <c r="R373" s="27" t="s">
        <v>47</v>
      </c>
      <c r="S373" s="10" t="s">
        <v>47</v>
      </c>
      <c r="T373" s="13">
        <v>0.12251999999999998</v>
      </c>
      <c r="U373" s="13">
        <v>0.28179599999999999</v>
      </c>
      <c r="V373" s="13">
        <v>0</v>
      </c>
      <c r="W373" s="13">
        <v>0</v>
      </c>
      <c r="X373" s="13">
        <v>0</v>
      </c>
      <c r="Y373" s="1">
        <f>AVERAGE(U373:X373)</f>
        <v>7.0448999999999998E-2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hidden="1" x14ac:dyDescent="0.3">
      <c r="A374" s="22" t="s">
        <v>839</v>
      </c>
      <c r="B374" s="2"/>
      <c r="C374" s="21">
        <v>6</v>
      </c>
      <c r="D374" s="23"/>
      <c r="E374" s="23"/>
      <c r="F374" s="23"/>
      <c r="G374" s="3" t="s">
        <v>1295</v>
      </c>
      <c r="H374" s="4"/>
      <c r="I374" s="6"/>
      <c r="J374" s="4"/>
      <c r="K374" s="5"/>
      <c r="L374" s="5" t="s">
        <v>1266</v>
      </c>
      <c r="M374" s="4"/>
      <c r="N374" s="4"/>
      <c r="O374" s="4"/>
      <c r="P374" s="4"/>
      <c r="Q374" s="24"/>
      <c r="R374" s="27" t="s">
        <v>146</v>
      </c>
      <c r="S374" s="6"/>
      <c r="T374" s="1">
        <v>0.14011199999999999</v>
      </c>
      <c r="U374" s="1">
        <v>7.0055999999999993E-2</v>
      </c>
      <c r="V374" s="1">
        <v>9.3408000000000005E-2</v>
      </c>
      <c r="W374" s="1">
        <v>9.3408000000000005E-2</v>
      </c>
      <c r="X374" s="1">
        <v>0</v>
      </c>
      <c r="Y374" s="1">
        <f>AVERAGE(U374:X374)</f>
        <v>6.4217999999999997E-2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hidden="1" x14ac:dyDescent="0.3">
      <c r="A375" s="22" t="s">
        <v>816</v>
      </c>
      <c r="B375" s="2"/>
      <c r="C375" s="21">
        <v>4</v>
      </c>
      <c r="D375" s="23"/>
      <c r="E375" s="23"/>
      <c r="F375" s="23"/>
      <c r="G375" s="3" t="s">
        <v>1258</v>
      </c>
      <c r="H375" s="4"/>
      <c r="I375" s="4"/>
      <c r="J375" s="4"/>
      <c r="K375" s="5"/>
      <c r="L375" s="5" t="s">
        <v>1266</v>
      </c>
      <c r="M375" s="4"/>
      <c r="N375" s="4"/>
      <c r="O375" s="4"/>
      <c r="P375" s="4"/>
      <c r="Q375" s="24"/>
      <c r="R375" s="27" t="s">
        <v>146</v>
      </c>
      <c r="S375" s="4"/>
      <c r="T375" s="1">
        <v>4.07316E-2</v>
      </c>
      <c r="U375" s="1">
        <v>6.0397199999999998E-2</v>
      </c>
      <c r="V375" s="1">
        <v>6.2916E-2</v>
      </c>
      <c r="W375" s="1">
        <v>5.0603999999999996E-2</v>
      </c>
      <c r="X375" s="1">
        <v>7.263E-2</v>
      </c>
      <c r="Y375" s="1">
        <f>AVERAGE(U375:X375)</f>
        <v>6.1636799999999999E-2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hidden="1" x14ac:dyDescent="0.3">
      <c r="A376" s="22" t="s">
        <v>917</v>
      </c>
      <c r="B376" s="2" t="s">
        <v>770</v>
      </c>
      <c r="C376" s="21">
        <v>1.5</v>
      </c>
      <c r="D376" s="23">
        <v>1200</v>
      </c>
      <c r="E376" s="23"/>
      <c r="F376" s="28"/>
      <c r="G376" s="3" t="s">
        <v>832</v>
      </c>
      <c r="H376" s="6"/>
      <c r="I376" s="6" t="s">
        <v>687</v>
      </c>
      <c r="J376" s="6">
        <v>69</v>
      </c>
      <c r="K376" s="21">
        <v>18</v>
      </c>
      <c r="L376" s="21" t="s">
        <v>194</v>
      </c>
      <c r="M376" s="6" t="s">
        <v>787</v>
      </c>
      <c r="N376" s="6" t="s">
        <v>833</v>
      </c>
      <c r="O376" s="6" t="s">
        <v>793</v>
      </c>
      <c r="P376" s="6"/>
      <c r="Q376" s="27"/>
      <c r="R376" s="28" t="s">
        <v>692</v>
      </c>
      <c r="S376" s="6" t="s">
        <v>55</v>
      </c>
      <c r="T376" s="1">
        <v>5.1677999999999995E-2</v>
      </c>
      <c r="U376" s="1">
        <v>5.67E-2</v>
      </c>
      <c r="V376" s="1">
        <v>0.177984</v>
      </c>
      <c r="W376" s="1">
        <v>0</v>
      </c>
      <c r="X376" s="1">
        <v>0</v>
      </c>
      <c r="Y376" s="1">
        <f>AVERAGE(U376:X376)</f>
        <v>5.8671000000000001E-2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383</v>
      </c>
      <c r="B377" s="2" t="s">
        <v>152</v>
      </c>
      <c r="C377" s="21">
        <v>0.6</v>
      </c>
      <c r="D377" s="23">
        <v>1400</v>
      </c>
      <c r="E377" s="23">
        <v>1000</v>
      </c>
      <c r="F377" s="23"/>
      <c r="G377" s="3"/>
      <c r="H377" s="12" t="s">
        <v>41</v>
      </c>
      <c r="I377" s="12"/>
      <c r="J377" s="4"/>
      <c r="K377" s="5"/>
      <c r="L377" s="21" t="s">
        <v>296</v>
      </c>
      <c r="M377" s="4"/>
      <c r="N377" s="4"/>
      <c r="O377" s="12" t="s">
        <v>793</v>
      </c>
      <c r="P377" s="16"/>
      <c r="Q377" s="30"/>
      <c r="R377" s="27" t="s">
        <v>47</v>
      </c>
      <c r="S377" s="10" t="s">
        <v>47</v>
      </c>
      <c r="T377" s="13">
        <v>0.50190000000000001</v>
      </c>
      <c r="U377" s="13">
        <v>0.220836</v>
      </c>
      <c r="V377" s="13">
        <v>0</v>
      </c>
      <c r="W377" s="13">
        <v>0</v>
      </c>
      <c r="X377" s="13">
        <v>0</v>
      </c>
      <c r="Y377" s="1">
        <f>AVERAGE(U377:X377)</f>
        <v>5.5209000000000001E-2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384</v>
      </c>
      <c r="B378" s="2" t="s">
        <v>229</v>
      </c>
      <c r="C378" s="21">
        <v>2</v>
      </c>
      <c r="D378" s="23">
        <v>1200</v>
      </c>
      <c r="E378" s="23">
        <v>2000</v>
      </c>
      <c r="F378" s="23"/>
      <c r="G378" s="3"/>
      <c r="H378" s="10" t="s">
        <v>41</v>
      </c>
      <c r="I378" s="10"/>
      <c r="J378" s="6"/>
      <c r="K378" s="21"/>
      <c r="L378" s="5" t="s">
        <v>296</v>
      </c>
      <c r="M378" s="6"/>
      <c r="N378" s="6"/>
      <c r="O378" s="12" t="s">
        <v>793</v>
      </c>
      <c r="P378" s="10"/>
      <c r="Q378" s="29"/>
      <c r="R378" s="27" t="s">
        <v>47</v>
      </c>
      <c r="S378" s="10" t="s">
        <v>47</v>
      </c>
      <c r="T378" s="13">
        <v>0</v>
      </c>
      <c r="U378" s="13">
        <v>0</v>
      </c>
      <c r="V378" s="13">
        <v>0</v>
      </c>
      <c r="W378" s="13">
        <v>0.1026</v>
      </c>
      <c r="X378" s="13">
        <v>0.10829999999999999</v>
      </c>
      <c r="Y378" s="1">
        <f>AVERAGE(U378:X378)</f>
        <v>5.2724999999999994E-2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hidden="1" x14ac:dyDescent="0.3">
      <c r="A379" s="19" t="s">
        <v>1233</v>
      </c>
      <c r="B379" s="21" t="s">
        <v>40</v>
      </c>
      <c r="C379" s="21">
        <v>0.6</v>
      </c>
      <c r="D379" s="23">
        <v>1000</v>
      </c>
      <c r="E379" s="23"/>
      <c r="F379" s="23"/>
      <c r="G379" s="20" t="s">
        <v>1234</v>
      </c>
      <c r="H379" s="6"/>
      <c r="I379" s="6" t="s">
        <v>1078</v>
      </c>
      <c r="J379" s="6">
        <v>59</v>
      </c>
      <c r="K379" s="21">
        <v>22</v>
      </c>
      <c r="L379" s="21" t="s">
        <v>703</v>
      </c>
      <c r="M379" s="6" t="s">
        <v>164</v>
      </c>
      <c r="N379" s="6" t="s">
        <v>1150</v>
      </c>
      <c r="O379" s="6"/>
      <c r="P379" s="6"/>
      <c r="Q379" s="27"/>
      <c r="R379" s="28" t="s">
        <v>108</v>
      </c>
      <c r="S379" s="6" t="s">
        <v>71</v>
      </c>
      <c r="T379" s="1">
        <v>0</v>
      </c>
      <c r="U379" s="1">
        <v>0</v>
      </c>
      <c r="V379" s="1">
        <v>0.1288</v>
      </c>
      <c r="W379" s="1">
        <v>8.165E-2</v>
      </c>
      <c r="X379" s="1">
        <v>0</v>
      </c>
      <c r="Y379" s="1">
        <f>AVERAGE(U379:X379)</f>
        <v>5.26125E-2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hidden="1" x14ac:dyDescent="0.3">
      <c r="A380" s="22" t="s">
        <v>918</v>
      </c>
      <c r="B380" s="2" t="s">
        <v>770</v>
      </c>
      <c r="C380" s="21">
        <v>1.5</v>
      </c>
      <c r="D380" s="23">
        <v>490</v>
      </c>
      <c r="E380" s="23"/>
      <c r="F380" s="28"/>
      <c r="G380" s="3" t="s">
        <v>863</v>
      </c>
      <c r="H380" s="4"/>
      <c r="I380" s="4"/>
      <c r="J380" s="4">
        <v>63</v>
      </c>
      <c r="K380" s="5"/>
      <c r="L380" s="5" t="s">
        <v>864</v>
      </c>
      <c r="M380" s="4" t="s">
        <v>865</v>
      </c>
      <c r="N380" s="4"/>
      <c r="O380" s="4" t="s">
        <v>793</v>
      </c>
      <c r="P380" s="4"/>
      <c r="Q380" s="24"/>
      <c r="R380" s="25" t="s">
        <v>692</v>
      </c>
      <c r="S380" s="4"/>
      <c r="T380" s="1">
        <v>1.4785E-2</v>
      </c>
      <c r="U380" s="1">
        <v>5.9139999999999998E-2</v>
      </c>
      <c r="V380" s="1">
        <v>5.9139999999999998E-2</v>
      </c>
      <c r="W380" s="1">
        <v>2.9569999999999999E-2</v>
      </c>
      <c r="X380" s="1">
        <v>5.9139999999999998E-2</v>
      </c>
      <c r="Y380" s="1">
        <f>AVERAGE(U380:X380)</f>
        <v>5.1747499999999995E-2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hidden="1" x14ac:dyDescent="0.3">
      <c r="A381" s="22" t="s">
        <v>919</v>
      </c>
      <c r="B381" s="2" t="s">
        <v>770</v>
      </c>
      <c r="C381" s="21">
        <v>1.2</v>
      </c>
      <c r="D381" s="23" t="s">
        <v>878</v>
      </c>
      <c r="E381" s="23"/>
      <c r="F381" s="28"/>
      <c r="G381" s="3" t="s">
        <v>920</v>
      </c>
      <c r="H381" s="6"/>
      <c r="I381" s="6"/>
      <c r="J381" s="6">
        <v>30</v>
      </c>
      <c r="K381" s="21"/>
      <c r="L381" s="21" t="s">
        <v>791</v>
      </c>
      <c r="M381" s="6" t="s">
        <v>865</v>
      </c>
      <c r="N381" s="6"/>
      <c r="O381" s="6" t="s">
        <v>793</v>
      </c>
      <c r="P381" s="6"/>
      <c r="Q381" s="27"/>
      <c r="R381" s="28" t="s">
        <v>692</v>
      </c>
      <c r="S381" s="6"/>
      <c r="T381" s="1">
        <v>4.7610000000000005E-3</v>
      </c>
      <c r="U381" s="1">
        <v>0</v>
      </c>
      <c r="V381" s="1">
        <v>4.761E-2</v>
      </c>
      <c r="W381" s="1">
        <v>7.934999999999999E-2</v>
      </c>
      <c r="X381" s="1">
        <v>7.934999999999999E-2</v>
      </c>
      <c r="Y381" s="1">
        <f>AVERAGE(U381:X381)</f>
        <v>5.1577499999999998E-2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hidden="1" x14ac:dyDescent="0.3">
      <c r="A382" s="22" t="s">
        <v>921</v>
      </c>
      <c r="B382" s="2" t="s">
        <v>770</v>
      </c>
      <c r="C382" s="21">
        <v>1.5</v>
      </c>
      <c r="D382" s="23">
        <v>1200</v>
      </c>
      <c r="E382" s="23"/>
      <c r="F382" s="28"/>
      <c r="G382" s="3" t="s">
        <v>832</v>
      </c>
      <c r="H382" s="6"/>
      <c r="I382" s="6" t="s">
        <v>687</v>
      </c>
      <c r="J382" s="6">
        <v>69</v>
      </c>
      <c r="K382" s="21">
        <v>18</v>
      </c>
      <c r="L382" s="21" t="s">
        <v>194</v>
      </c>
      <c r="M382" s="6" t="s">
        <v>787</v>
      </c>
      <c r="N382" s="6" t="s">
        <v>833</v>
      </c>
      <c r="O382" s="6" t="s">
        <v>793</v>
      </c>
      <c r="P382" s="6"/>
      <c r="Q382" s="27"/>
      <c r="R382" s="28" t="s">
        <v>692</v>
      </c>
      <c r="S382" s="6" t="s">
        <v>55</v>
      </c>
      <c r="T382" s="1">
        <v>9.7930000000000003E-2</v>
      </c>
      <c r="U382" s="1">
        <v>0</v>
      </c>
      <c r="V382" s="1">
        <v>0</v>
      </c>
      <c r="W382" s="1">
        <v>9.7930000000000003E-2</v>
      </c>
      <c r="X382" s="1">
        <v>9.7930000000000003E-2</v>
      </c>
      <c r="Y382" s="1">
        <f>AVERAGE(U382:X382)</f>
        <v>4.8965000000000002E-2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hidden="1" x14ac:dyDescent="0.3">
      <c r="A383" s="22" t="s">
        <v>922</v>
      </c>
      <c r="B383" s="2" t="s">
        <v>49</v>
      </c>
      <c r="C383" s="21">
        <v>2.5</v>
      </c>
      <c r="D383" s="23">
        <v>1200</v>
      </c>
      <c r="E383" s="23"/>
      <c r="F383" s="28"/>
      <c r="G383" s="3" t="s">
        <v>760</v>
      </c>
      <c r="H383" s="6"/>
      <c r="I383" s="6"/>
      <c r="J383" s="6">
        <v>30</v>
      </c>
      <c r="K383" s="21"/>
      <c r="L383" s="21" t="s">
        <v>791</v>
      </c>
      <c r="M383" s="6" t="s">
        <v>297</v>
      </c>
      <c r="N383" s="6"/>
      <c r="O383" s="6" t="s">
        <v>793</v>
      </c>
      <c r="P383" s="6"/>
      <c r="Q383" s="27"/>
      <c r="R383" s="28" t="s">
        <v>692</v>
      </c>
      <c r="S383" s="6"/>
      <c r="T383" s="1">
        <v>0</v>
      </c>
      <c r="U383" s="1">
        <v>0</v>
      </c>
      <c r="V383" s="1">
        <v>0</v>
      </c>
      <c r="W383" s="1">
        <v>0.17408000000000001</v>
      </c>
      <c r="X383" s="1">
        <v>2.1760000000000002E-2</v>
      </c>
      <c r="Y383" s="1">
        <f>AVERAGE(U383:X383)</f>
        <v>4.8960000000000004E-2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hidden="1" x14ac:dyDescent="0.3">
      <c r="A384" s="22" t="s">
        <v>1312</v>
      </c>
      <c r="B384" s="2"/>
      <c r="C384" s="21">
        <v>4</v>
      </c>
      <c r="D384" s="23"/>
      <c r="E384" s="23"/>
      <c r="F384" s="23"/>
      <c r="G384" s="3" t="s">
        <v>1262</v>
      </c>
      <c r="H384" s="6"/>
      <c r="I384" s="6"/>
      <c r="J384" s="6"/>
      <c r="K384" s="21"/>
      <c r="L384" s="21" t="s">
        <v>1259</v>
      </c>
      <c r="M384" s="6"/>
      <c r="N384" s="6"/>
      <c r="O384" s="6"/>
      <c r="P384" s="6"/>
      <c r="Q384" s="27"/>
      <c r="R384" s="27" t="s">
        <v>146</v>
      </c>
      <c r="S384" s="6"/>
      <c r="T384" s="1">
        <v>5.4259200000000007E-2</v>
      </c>
      <c r="U384" s="1">
        <v>2.2608E-2</v>
      </c>
      <c r="V384" s="1">
        <v>1.8086400000000002E-2</v>
      </c>
      <c r="W384" s="1">
        <v>7.6867200000000011E-2</v>
      </c>
      <c r="X384" s="1">
        <v>6.7823999999999995E-2</v>
      </c>
      <c r="Y384" s="1">
        <f>AVERAGE(U384:X384)</f>
        <v>4.6346400000000003E-2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hidden="1" x14ac:dyDescent="0.3">
      <c r="A385" s="22" t="s">
        <v>880</v>
      </c>
      <c r="B385" s="2"/>
      <c r="C385" s="21">
        <v>4.75</v>
      </c>
      <c r="D385" s="23"/>
      <c r="E385" s="23"/>
      <c r="F385" s="23"/>
      <c r="G385" s="3" t="s">
        <v>1295</v>
      </c>
      <c r="H385" s="4"/>
      <c r="I385" s="6"/>
      <c r="J385" s="4"/>
      <c r="K385" s="5"/>
      <c r="L385" s="5" t="s">
        <v>1266</v>
      </c>
      <c r="M385" s="4"/>
      <c r="N385" s="4"/>
      <c r="O385" s="4"/>
      <c r="P385" s="4"/>
      <c r="Q385" s="24"/>
      <c r="R385" s="27" t="s">
        <v>146</v>
      </c>
      <c r="S385" s="6"/>
      <c r="T385" s="1">
        <v>4.1339999999999995E-2</v>
      </c>
      <c r="U385" s="1">
        <v>5.1515999999999999E-2</v>
      </c>
      <c r="V385" s="1">
        <v>5.8512000000000002E-2</v>
      </c>
      <c r="W385" s="1">
        <v>4.5791999999999999E-2</v>
      </c>
      <c r="X385" s="1">
        <v>0</v>
      </c>
      <c r="Y385" s="1">
        <f>AVERAGE(U385:X385)</f>
        <v>3.8955000000000004E-2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385</v>
      </c>
      <c r="B386" s="2" t="s">
        <v>62</v>
      </c>
      <c r="C386" s="21">
        <v>1</v>
      </c>
      <c r="D386" s="23">
        <v>112</v>
      </c>
      <c r="E386" s="23" t="s">
        <v>41</v>
      </c>
      <c r="F386" s="23"/>
      <c r="G386" s="3" t="s">
        <v>386</v>
      </c>
      <c r="H386" s="12" t="s">
        <v>41</v>
      </c>
      <c r="I386" s="10"/>
      <c r="J386" s="4"/>
      <c r="K386" s="5"/>
      <c r="L386" s="5" t="s">
        <v>296</v>
      </c>
      <c r="M386" s="4" t="s">
        <v>115</v>
      </c>
      <c r="N386" s="4"/>
      <c r="O386" s="12" t="s">
        <v>793</v>
      </c>
      <c r="P386" s="12" t="s">
        <v>47</v>
      </c>
      <c r="Q386" s="30" t="s">
        <v>47</v>
      </c>
      <c r="R386" s="27" t="s">
        <v>47</v>
      </c>
      <c r="S386" s="10" t="s">
        <v>47</v>
      </c>
      <c r="T386" s="13">
        <v>0</v>
      </c>
      <c r="U386" s="13">
        <v>3.44E-2</v>
      </c>
      <c r="V386" s="13">
        <v>4.5751999999999994E-2</v>
      </c>
      <c r="W386" s="13">
        <v>3.44E-2</v>
      </c>
      <c r="X386" s="13">
        <v>3.44E-2</v>
      </c>
      <c r="Y386" s="1">
        <f>AVERAGE(U386:X386)</f>
        <v>3.7238E-2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hidden="1" x14ac:dyDescent="0.3">
      <c r="A387" s="22" t="s">
        <v>1313</v>
      </c>
      <c r="B387" s="2"/>
      <c r="C387" s="21">
        <v>2</v>
      </c>
      <c r="D387" s="23"/>
      <c r="E387" s="23"/>
      <c r="F387" s="23"/>
      <c r="G387" s="3" t="s">
        <v>1310</v>
      </c>
      <c r="H387" s="4"/>
      <c r="I387" s="6"/>
      <c r="J387" s="4"/>
      <c r="K387" s="5"/>
      <c r="L387" s="5" t="s">
        <v>1266</v>
      </c>
      <c r="M387" s="4"/>
      <c r="N387" s="4"/>
      <c r="O387" s="4"/>
      <c r="P387" s="4"/>
      <c r="Q387" s="24"/>
      <c r="R387" s="27" t="s">
        <v>146</v>
      </c>
      <c r="S387" s="6"/>
      <c r="T387" s="1">
        <v>0</v>
      </c>
      <c r="U387" s="1">
        <v>7.4195999999999998E-2</v>
      </c>
      <c r="V387" s="1">
        <v>0</v>
      </c>
      <c r="W387" s="1">
        <v>0</v>
      </c>
      <c r="X387" s="1">
        <v>7.4195999999999998E-2</v>
      </c>
      <c r="Y387" s="1">
        <f>AVERAGE(U387:X387)</f>
        <v>3.7097999999999999E-2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hidden="1" x14ac:dyDescent="0.3">
      <c r="A388" s="22" t="s">
        <v>1314</v>
      </c>
      <c r="B388" s="2"/>
      <c r="C388" s="21">
        <v>3</v>
      </c>
      <c r="D388" s="23"/>
      <c r="E388" s="23"/>
      <c r="F388" s="23"/>
      <c r="G388" s="3" t="s">
        <v>1300</v>
      </c>
      <c r="H388" s="6"/>
      <c r="I388" s="6"/>
      <c r="J388" s="6"/>
      <c r="K388" s="21"/>
      <c r="L388" s="5" t="s">
        <v>1315</v>
      </c>
      <c r="M388" s="4"/>
      <c r="N388" s="6"/>
      <c r="O388" s="6"/>
      <c r="P388" s="6"/>
      <c r="Q388" s="27"/>
      <c r="R388" s="27" t="s">
        <v>146</v>
      </c>
      <c r="S388" s="6"/>
      <c r="T388" s="1">
        <v>3.5699999999999996E-2</v>
      </c>
      <c r="U388" s="1">
        <v>3.5699999999999996E-2</v>
      </c>
      <c r="V388" s="1">
        <v>3.5699999999999996E-2</v>
      </c>
      <c r="W388" s="1">
        <v>3.5699999999999996E-2</v>
      </c>
      <c r="X388" s="1">
        <v>3.5699999999999996E-2</v>
      </c>
      <c r="Y388" s="1">
        <f>AVERAGE(U388:X388)</f>
        <v>3.5699999999999996E-2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hidden="1" x14ac:dyDescent="0.3">
      <c r="A389" s="22" t="s">
        <v>81</v>
      </c>
      <c r="B389" s="2"/>
      <c r="C389" s="21">
        <v>1</v>
      </c>
      <c r="D389" s="23"/>
      <c r="E389" s="23"/>
      <c r="F389" s="23" t="s">
        <v>82</v>
      </c>
      <c r="G389" s="3" t="s">
        <v>1316</v>
      </c>
      <c r="H389" s="4"/>
      <c r="I389" s="4"/>
      <c r="J389" s="4"/>
      <c r="K389" s="5"/>
      <c r="L389" s="5" t="s">
        <v>1315</v>
      </c>
      <c r="M389" s="4"/>
      <c r="N389" s="6"/>
      <c r="O389" s="4"/>
      <c r="P389" s="4"/>
      <c r="Q389" s="24"/>
      <c r="R389" s="27" t="s">
        <v>146</v>
      </c>
      <c r="S389" s="4"/>
      <c r="T389" s="1">
        <v>3.5197437499999998E-2</v>
      </c>
      <c r="U389" s="1">
        <v>1.7598718749999999E-2</v>
      </c>
      <c r="V389" s="1">
        <v>5.2796156250000004E-2</v>
      </c>
      <c r="W389" s="1">
        <v>3.5197437499999998E-2</v>
      </c>
      <c r="X389" s="1">
        <v>3.5197437499999998E-2</v>
      </c>
      <c r="Y389" s="1">
        <f>AVERAGE(U389:X389)</f>
        <v>3.5197437499999998E-2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387</v>
      </c>
      <c r="B390" s="2" t="s">
        <v>40</v>
      </c>
      <c r="C390" s="21">
        <v>1.2</v>
      </c>
      <c r="D390" s="23">
        <v>1400</v>
      </c>
      <c r="E390" s="23" t="s">
        <v>41</v>
      </c>
      <c r="F390" s="23"/>
      <c r="G390" s="3" t="s">
        <v>388</v>
      </c>
      <c r="H390" s="12" t="s">
        <v>41</v>
      </c>
      <c r="I390" s="12"/>
      <c r="J390" s="4"/>
      <c r="K390" s="5"/>
      <c r="L390" s="5" t="s">
        <v>296</v>
      </c>
      <c r="M390" s="4" t="s">
        <v>164</v>
      </c>
      <c r="N390" s="4" t="s">
        <v>145</v>
      </c>
      <c r="O390" s="12" t="s">
        <v>793</v>
      </c>
      <c r="P390" s="12" t="s">
        <v>47</v>
      </c>
      <c r="Q390" s="30" t="s">
        <v>47</v>
      </c>
      <c r="R390" s="27" t="s">
        <v>47</v>
      </c>
      <c r="S390" s="10" t="s">
        <v>47</v>
      </c>
      <c r="T390" s="13">
        <v>0</v>
      </c>
      <c r="U390" s="13">
        <v>0</v>
      </c>
      <c r="V390" s="13">
        <v>0</v>
      </c>
      <c r="W390" s="13">
        <v>0</v>
      </c>
      <c r="X390" s="13">
        <v>0.136347</v>
      </c>
      <c r="Y390" s="1">
        <f>AVERAGE(U390:X390)</f>
        <v>3.4086749999999999E-2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389</v>
      </c>
      <c r="B391" s="2" t="s">
        <v>62</v>
      </c>
      <c r="C391" s="21">
        <v>1.2</v>
      </c>
      <c r="D391" s="23">
        <v>600</v>
      </c>
      <c r="E391" s="23" t="s">
        <v>41</v>
      </c>
      <c r="F391" s="23"/>
      <c r="G391" s="3"/>
      <c r="H391" s="12" t="s">
        <v>41</v>
      </c>
      <c r="I391" s="12"/>
      <c r="J391" s="4"/>
      <c r="K391" s="5"/>
      <c r="L391" s="21" t="s">
        <v>296</v>
      </c>
      <c r="M391" s="4"/>
      <c r="N391" s="4"/>
      <c r="O391" s="12" t="s">
        <v>793</v>
      </c>
      <c r="P391" s="16"/>
      <c r="Q391" s="30"/>
      <c r="R391" s="27" t="s">
        <v>47</v>
      </c>
      <c r="S391" s="10" t="s">
        <v>47</v>
      </c>
      <c r="T391" s="13">
        <v>5.5839999999999994E-2</v>
      </c>
      <c r="U391" s="13">
        <v>4.4671999999999996E-2</v>
      </c>
      <c r="V391" s="13">
        <v>2.2335999999999998E-2</v>
      </c>
      <c r="W391" s="13">
        <v>2.2335999999999998E-2</v>
      </c>
      <c r="X391" s="13">
        <v>2.2335999999999998E-2</v>
      </c>
      <c r="Y391" s="1">
        <f>AVERAGE(U391:X391)</f>
        <v>2.7919999999999997E-2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390</v>
      </c>
      <c r="B392" s="2" t="s">
        <v>62</v>
      </c>
      <c r="C392" s="21">
        <v>1</v>
      </c>
      <c r="D392" s="23">
        <v>100</v>
      </c>
      <c r="E392" s="23" t="s">
        <v>41</v>
      </c>
      <c r="F392" s="23"/>
      <c r="G392" s="3" t="s">
        <v>391</v>
      </c>
      <c r="H392" s="10" t="s">
        <v>41</v>
      </c>
      <c r="I392" s="10"/>
      <c r="J392" s="6"/>
      <c r="K392" s="21"/>
      <c r="L392" s="21" t="s">
        <v>296</v>
      </c>
      <c r="M392" s="6" t="s">
        <v>115</v>
      </c>
      <c r="N392" s="6"/>
      <c r="O392" s="12" t="s">
        <v>793</v>
      </c>
      <c r="P392" s="10" t="s">
        <v>47</v>
      </c>
      <c r="Q392" s="29" t="s">
        <v>47</v>
      </c>
      <c r="R392" s="27" t="s">
        <v>47</v>
      </c>
      <c r="S392" s="10" t="s">
        <v>47</v>
      </c>
      <c r="T392" s="13">
        <v>1.7523E-2</v>
      </c>
      <c r="U392" s="13">
        <v>2.3599999999999999E-2</v>
      </c>
      <c r="V392" s="13">
        <v>3.1387999999999999E-2</v>
      </c>
      <c r="W392" s="13">
        <v>2.3599999999999999E-2</v>
      </c>
      <c r="X392" s="13">
        <v>2.3599999999999999E-2</v>
      </c>
      <c r="Y392" s="1">
        <f>AVERAGE(U392:X392)</f>
        <v>2.5546999999999997E-2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hidden="1" x14ac:dyDescent="0.3">
      <c r="A393" s="22" t="s">
        <v>586</v>
      </c>
      <c r="B393" s="2"/>
      <c r="C393" s="21">
        <v>2.5</v>
      </c>
      <c r="D393" s="23"/>
      <c r="E393" s="23"/>
      <c r="F393" s="23"/>
      <c r="G393" s="3" t="s">
        <v>1258</v>
      </c>
      <c r="H393" s="4"/>
      <c r="I393" s="6"/>
      <c r="J393" s="4"/>
      <c r="K393" s="5"/>
      <c r="L393" s="5" t="s">
        <v>1259</v>
      </c>
      <c r="M393" s="4"/>
      <c r="N393" s="4"/>
      <c r="O393" s="4"/>
      <c r="P393" s="4"/>
      <c r="Q393" s="24"/>
      <c r="R393" s="27" t="s">
        <v>146</v>
      </c>
      <c r="S393" s="6"/>
      <c r="T393" s="1">
        <v>1.2114920570264765E-2</v>
      </c>
      <c r="U393" s="1">
        <v>2.7949800407331974E-2</v>
      </c>
      <c r="V393" s="1">
        <v>1.8839800407331974E-2</v>
      </c>
      <c r="W393" s="1">
        <v>1.7928700610997963E-2</v>
      </c>
      <c r="X393" s="1">
        <v>3.6255600814663953E-2</v>
      </c>
      <c r="Y393" s="1">
        <f>AVERAGE(U393:X393)</f>
        <v>2.5243475560081469E-2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hidden="1" x14ac:dyDescent="0.3">
      <c r="A394" s="22" t="s">
        <v>1317</v>
      </c>
      <c r="B394" s="2"/>
      <c r="C394" s="21">
        <v>4</v>
      </c>
      <c r="D394" s="23"/>
      <c r="E394" s="23"/>
      <c r="F394" s="23"/>
      <c r="G394" s="3" t="s">
        <v>1258</v>
      </c>
      <c r="H394" s="4"/>
      <c r="I394" s="6"/>
      <c r="J394" s="4"/>
      <c r="K394" s="5"/>
      <c r="L394" s="5" t="s">
        <v>1266</v>
      </c>
      <c r="M394" s="4"/>
      <c r="N394" s="4"/>
      <c r="O394" s="4"/>
      <c r="P394" s="4"/>
      <c r="Q394" s="24"/>
      <c r="R394" s="27" t="s">
        <v>146</v>
      </c>
      <c r="S394" s="6"/>
      <c r="T394" s="1">
        <v>3.755E-2</v>
      </c>
      <c r="U394" s="1"/>
      <c r="V394" s="1">
        <v>3.755E-2</v>
      </c>
      <c r="W394" s="1">
        <v>3.755E-2</v>
      </c>
      <c r="X394" s="1">
        <v>0</v>
      </c>
      <c r="Y394" s="1">
        <f>AVERAGE(U394:X394)</f>
        <v>2.5033333333333335E-2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hidden="1" x14ac:dyDescent="0.3">
      <c r="A395" s="22" t="s">
        <v>1318</v>
      </c>
      <c r="B395" s="2"/>
      <c r="C395" s="21">
        <v>4</v>
      </c>
      <c r="D395" s="23"/>
      <c r="E395" s="23"/>
      <c r="F395" s="23"/>
      <c r="G395" s="3" t="s">
        <v>1262</v>
      </c>
      <c r="H395" s="6"/>
      <c r="I395" s="6"/>
      <c r="J395" s="6"/>
      <c r="K395" s="21"/>
      <c r="L395" s="21" t="s">
        <v>1259</v>
      </c>
      <c r="M395" s="6"/>
      <c r="N395" s="6"/>
      <c r="O395" s="6"/>
      <c r="P395" s="6"/>
      <c r="Q395" s="27"/>
      <c r="R395" s="27" t="s">
        <v>146</v>
      </c>
      <c r="S395" s="6"/>
      <c r="T395" s="1">
        <v>0</v>
      </c>
      <c r="U395" s="1">
        <v>9.6570000000000003E-2</v>
      </c>
      <c r="V395" s="1">
        <v>0</v>
      </c>
      <c r="W395" s="1">
        <v>0</v>
      </c>
      <c r="X395" s="1">
        <v>0</v>
      </c>
      <c r="Y395" s="1">
        <f>AVERAGE(U395:X395)</f>
        <v>2.4142500000000001E-2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392</v>
      </c>
      <c r="B396" s="2" t="s">
        <v>78</v>
      </c>
      <c r="C396" s="21">
        <v>2.65</v>
      </c>
      <c r="D396" s="23">
        <v>1200</v>
      </c>
      <c r="E396" s="23">
        <v>2000</v>
      </c>
      <c r="F396" s="23"/>
      <c r="G396" s="3" t="s">
        <v>393</v>
      </c>
      <c r="H396" s="10" t="s">
        <v>41</v>
      </c>
      <c r="I396" s="10"/>
      <c r="J396" s="6"/>
      <c r="K396" s="21"/>
      <c r="L396" s="21" t="s">
        <v>296</v>
      </c>
      <c r="M396" s="6" t="s">
        <v>93</v>
      </c>
      <c r="N396" s="6"/>
      <c r="O396" s="12" t="s">
        <v>793</v>
      </c>
      <c r="P396" s="10" t="s">
        <v>47</v>
      </c>
      <c r="Q396" s="29" t="s">
        <v>47</v>
      </c>
      <c r="R396" s="27" t="s">
        <v>47</v>
      </c>
      <c r="S396" s="10" t="s">
        <v>47</v>
      </c>
      <c r="T396" s="13">
        <v>0</v>
      </c>
      <c r="U396" s="13">
        <v>9.597E-2</v>
      </c>
      <c r="V396" s="13">
        <v>0</v>
      </c>
      <c r="W396" s="13">
        <v>0</v>
      </c>
      <c r="X396" s="13">
        <v>0</v>
      </c>
      <c r="Y396" s="1">
        <f>AVERAGE(U396:X396)</f>
        <v>2.39925E-2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hidden="1" x14ac:dyDescent="0.3">
      <c r="A397" s="22" t="s">
        <v>1319</v>
      </c>
      <c r="B397" s="2"/>
      <c r="C397" s="21">
        <v>6</v>
      </c>
      <c r="D397" s="23"/>
      <c r="E397" s="23"/>
      <c r="F397" s="23"/>
      <c r="G397" s="3" t="s">
        <v>1280</v>
      </c>
      <c r="H397" s="6"/>
      <c r="I397" s="6"/>
      <c r="J397" s="6"/>
      <c r="K397" s="21"/>
      <c r="L397" s="21" t="s">
        <v>1259</v>
      </c>
      <c r="M397" s="6"/>
      <c r="N397" s="6"/>
      <c r="O397" s="6"/>
      <c r="P397" s="6"/>
      <c r="Q397" s="27"/>
      <c r="R397" s="27" t="s">
        <v>146</v>
      </c>
      <c r="S397" s="6"/>
      <c r="T397" s="1">
        <v>1.4749999999999999E-2</v>
      </c>
      <c r="U397" s="1">
        <v>0</v>
      </c>
      <c r="V397" s="1">
        <v>0</v>
      </c>
      <c r="W397" s="1">
        <v>4.7200000000000006E-2</v>
      </c>
      <c r="X397" s="1">
        <v>4.1300000000000003E-2</v>
      </c>
      <c r="Y397" s="1">
        <f>AVERAGE(U397:X397)</f>
        <v>2.2125000000000002E-2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hidden="1" x14ac:dyDescent="0.3">
      <c r="A398" s="22" t="s">
        <v>1320</v>
      </c>
      <c r="B398" s="2"/>
      <c r="C398" s="21">
        <v>1.2</v>
      </c>
      <c r="D398" s="23"/>
      <c r="E398" s="23"/>
      <c r="F398" s="23"/>
      <c r="G398" s="3" t="s">
        <v>1321</v>
      </c>
      <c r="H398" s="4"/>
      <c r="I398" s="6"/>
      <c r="J398" s="4"/>
      <c r="K398" s="5"/>
      <c r="L398" s="5" t="s">
        <v>1315</v>
      </c>
      <c r="M398" s="4"/>
      <c r="N398" s="4"/>
      <c r="O398" s="4"/>
      <c r="P398" s="4"/>
      <c r="Q398" s="24"/>
      <c r="R398" s="27" t="s">
        <v>146</v>
      </c>
      <c r="S398" s="6"/>
      <c r="T398" s="1">
        <v>2.1245E-2</v>
      </c>
      <c r="U398" s="1">
        <v>2.4279999999999999E-2</v>
      </c>
      <c r="V398" s="1">
        <v>2.1245E-2</v>
      </c>
      <c r="W398" s="1">
        <v>2.1245E-2</v>
      </c>
      <c r="X398" s="1">
        <v>1.821E-2</v>
      </c>
      <c r="Y398" s="1">
        <f>AVERAGE(U398:X398)</f>
        <v>2.1245E-2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hidden="1" x14ac:dyDescent="0.3">
      <c r="A399" s="19" t="s">
        <v>1235</v>
      </c>
      <c r="B399" s="21" t="s">
        <v>40</v>
      </c>
      <c r="C399" s="21">
        <v>1</v>
      </c>
      <c r="D399" s="23">
        <v>1400</v>
      </c>
      <c r="E399" s="23"/>
      <c r="F399" s="23"/>
      <c r="G399" s="20" t="s">
        <v>1236</v>
      </c>
      <c r="H399" s="6"/>
      <c r="I399" s="6" t="s">
        <v>1084</v>
      </c>
      <c r="J399" s="6">
        <v>69</v>
      </c>
      <c r="K399" s="21">
        <v>32</v>
      </c>
      <c r="L399" s="21" t="s">
        <v>703</v>
      </c>
      <c r="M399" s="6" t="s">
        <v>164</v>
      </c>
      <c r="N399" s="6" t="s">
        <v>1150</v>
      </c>
      <c r="O399" s="6"/>
      <c r="P399" s="6"/>
      <c r="Q399" s="27"/>
      <c r="R399" s="28" t="s">
        <v>108</v>
      </c>
      <c r="S399" s="6" t="s">
        <v>71</v>
      </c>
      <c r="T399" s="1">
        <v>6.8399999999999997E-3</v>
      </c>
      <c r="U399" s="1">
        <v>1.98E-3</v>
      </c>
      <c r="V399" s="1">
        <v>7.6590000000000005E-2</v>
      </c>
      <c r="W399" s="1">
        <v>0</v>
      </c>
      <c r="X399" s="1">
        <v>4.7400000000000003E-3</v>
      </c>
      <c r="Y399" s="1">
        <f>AVERAGE(U399:X399)</f>
        <v>2.0827499999999999E-2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hidden="1" x14ac:dyDescent="0.3">
      <c r="A400" s="22" t="s">
        <v>1322</v>
      </c>
      <c r="B400" s="2"/>
      <c r="C400" s="21">
        <v>3.75</v>
      </c>
      <c r="D400" s="23"/>
      <c r="E400" s="23"/>
      <c r="F400" s="23"/>
      <c r="G400" s="3" t="s">
        <v>1323</v>
      </c>
      <c r="H400" s="4"/>
      <c r="I400" s="6"/>
      <c r="J400" s="4"/>
      <c r="K400" s="5"/>
      <c r="L400" s="5" t="s">
        <v>1266</v>
      </c>
      <c r="M400" s="4"/>
      <c r="N400" s="4"/>
      <c r="O400" s="4"/>
      <c r="P400" s="4"/>
      <c r="Q400" s="24"/>
      <c r="R400" s="27" t="s">
        <v>146</v>
      </c>
      <c r="S400" s="4"/>
      <c r="T400" s="1">
        <v>2.2354101562499999E-2</v>
      </c>
      <c r="U400" s="1">
        <v>1.6765576171875001E-2</v>
      </c>
      <c r="V400" s="1">
        <v>2.7942626953125001E-2</v>
      </c>
      <c r="W400" s="1">
        <v>1.2294755859374999E-2</v>
      </c>
      <c r="X400" s="1">
        <v>1.7883281250000001E-2</v>
      </c>
      <c r="Y400" s="1">
        <f>AVERAGE(U400:X400)</f>
        <v>1.872156005859375E-2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22" t="s">
        <v>394</v>
      </c>
      <c r="B401" s="2" t="s">
        <v>68</v>
      </c>
      <c r="C401" s="21">
        <v>1.5</v>
      </c>
      <c r="D401" s="23">
        <v>1100</v>
      </c>
      <c r="E401" s="23" t="s">
        <v>41</v>
      </c>
      <c r="F401" s="23"/>
      <c r="G401" s="3" t="s">
        <v>395</v>
      </c>
      <c r="H401" s="12" t="s">
        <v>41</v>
      </c>
      <c r="I401" s="12"/>
      <c r="J401" s="4"/>
      <c r="K401" s="5"/>
      <c r="L401" s="5" t="s">
        <v>296</v>
      </c>
      <c r="M401" s="4" t="s">
        <v>119</v>
      </c>
      <c r="N401" s="4"/>
      <c r="O401" s="12" t="s">
        <v>793</v>
      </c>
      <c r="P401" s="12" t="s">
        <v>47</v>
      </c>
      <c r="Q401" s="30" t="s">
        <v>47</v>
      </c>
      <c r="R401" s="27" t="s">
        <v>47</v>
      </c>
      <c r="S401" s="12" t="s">
        <v>47</v>
      </c>
      <c r="T401" s="13">
        <v>0</v>
      </c>
      <c r="U401" s="13">
        <v>0</v>
      </c>
      <c r="V401" s="13">
        <v>1.3672E-2</v>
      </c>
      <c r="W401" s="13">
        <v>2.5635000000000002E-2</v>
      </c>
      <c r="X401" s="13">
        <v>3.4180000000000002E-2</v>
      </c>
      <c r="Y401" s="1">
        <f>AVERAGE(U401:X401)</f>
        <v>1.8371749999999999E-2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hidden="1" x14ac:dyDescent="0.3">
      <c r="A402" s="3" t="s">
        <v>923</v>
      </c>
      <c r="B402" s="2" t="s">
        <v>49</v>
      </c>
      <c r="C402" s="21">
        <v>4.25</v>
      </c>
      <c r="D402" s="23" t="s">
        <v>829</v>
      </c>
      <c r="E402" s="23"/>
      <c r="F402" s="28"/>
      <c r="G402" s="3" t="s">
        <v>854</v>
      </c>
      <c r="H402" s="4"/>
      <c r="I402" s="4"/>
      <c r="J402" s="4">
        <v>30</v>
      </c>
      <c r="K402" s="5"/>
      <c r="L402" s="5" t="s">
        <v>791</v>
      </c>
      <c r="M402" s="4" t="s">
        <v>119</v>
      </c>
      <c r="N402" s="4"/>
      <c r="O402" s="4" t="s">
        <v>793</v>
      </c>
      <c r="P402" s="4"/>
      <c r="Q402" s="24"/>
      <c r="R402" s="25" t="s">
        <v>692</v>
      </c>
      <c r="S402" s="4"/>
      <c r="T402" s="1">
        <v>0</v>
      </c>
      <c r="U402" s="1">
        <v>5.1029999999999992E-2</v>
      </c>
      <c r="V402" s="1">
        <v>5.1029999999999999E-3</v>
      </c>
      <c r="W402" s="1">
        <v>0</v>
      </c>
      <c r="X402" s="1">
        <v>1.7009999999999997E-2</v>
      </c>
      <c r="Y402" s="1">
        <f>AVERAGE(U402:X402)</f>
        <v>1.8285749999999996E-2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396</v>
      </c>
      <c r="B403" s="2" t="s">
        <v>49</v>
      </c>
      <c r="C403" s="21">
        <v>4.75</v>
      </c>
      <c r="D403" s="23">
        <v>1050</v>
      </c>
      <c r="E403" s="23" t="s">
        <v>41</v>
      </c>
      <c r="F403" s="23"/>
      <c r="G403" s="3"/>
      <c r="H403" s="12" t="s">
        <v>41</v>
      </c>
      <c r="I403" s="12"/>
      <c r="J403" s="4"/>
      <c r="K403" s="5"/>
      <c r="L403" s="21" t="s">
        <v>296</v>
      </c>
      <c r="M403" s="4"/>
      <c r="N403" s="4"/>
      <c r="O403" s="12" t="s">
        <v>793</v>
      </c>
      <c r="P403" s="16"/>
      <c r="Q403" s="30"/>
      <c r="R403" s="27" t="s">
        <v>47</v>
      </c>
      <c r="S403" s="10" t="s">
        <v>47</v>
      </c>
      <c r="T403" s="13">
        <v>0</v>
      </c>
      <c r="U403" s="13">
        <v>6.0503999999999995E-2</v>
      </c>
      <c r="V403" s="13">
        <v>0</v>
      </c>
      <c r="W403" s="13">
        <v>0</v>
      </c>
      <c r="X403" s="13">
        <v>0</v>
      </c>
      <c r="Y403" s="1">
        <f>AVERAGE(U403:X403)</f>
        <v>1.5125999999999999E-2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397</v>
      </c>
      <c r="B404" s="2" t="s">
        <v>229</v>
      </c>
      <c r="C404" s="21">
        <v>2</v>
      </c>
      <c r="D404" s="23">
        <v>1200</v>
      </c>
      <c r="E404" s="23">
        <v>2000</v>
      </c>
      <c r="F404" s="23"/>
      <c r="G404" s="3" t="s">
        <v>398</v>
      </c>
      <c r="H404" s="12" t="s">
        <v>41</v>
      </c>
      <c r="I404" s="12"/>
      <c r="J404" s="4"/>
      <c r="K404" s="5"/>
      <c r="L404" s="5" t="s">
        <v>296</v>
      </c>
      <c r="M404" s="4"/>
      <c r="N404" s="4" t="s">
        <v>399</v>
      </c>
      <c r="O404" s="12" t="s">
        <v>793</v>
      </c>
      <c r="P404" s="16" t="s">
        <v>47</v>
      </c>
      <c r="Q404" s="30" t="s">
        <v>47</v>
      </c>
      <c r="R404" s="27" t="s">
        <v>47</v>
      </c>
      <c r="S404" s="10" t="s">
        <v>47</v>
      </c>
      <c r="T404" s="13">
        <v>8.0999999999999996E-3</v>
      </c>
      <c r="U404" s="13">
        <v>6.4800000000000005E-3</v>
      </c>
      <c r="V404" s="13">
        <v>1.6199999999999999E-2</v>
      </c>
      <c r="W404" s="13">
        <v>1.6199999999999999E-2</v>
      </c>
      <c r="X404" s="13">
        <v>1.6199999999999999E-2</v>
      </c>
      <c r="Y404" s="1">
        <f>AVERAGE(U404:X404)</f>
        <v>1.3769999999999999E-2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hidden="1" x14ac:dyDescent="0.3">
      <c r="A405" s="3" t="s">
        <v>924</v>
      </c>
      <c r="B405" s="2" t="s">
        <v>49</v>
      </c>
      <c r="C405" s="21">
        <v>5</v>
      </c>
      <c r="D405" s="23">
        <v>1200</v>
      </c>
      <c r="E405" s="23"/>
      <c r="F405" s="28"/>
      <c r="G405" s="3" t="s">
        <v>784</v>
      </c>
      <c r="H405" s="6"/>
      <c r="I405" s="6"/>
      <c r="J405" s="6">
        <v>30</v>
      </c>
      <c r="K405" s="21"/>
      <c r="L405" s="21" t="s">
        <v>791</v>
      </c>
      <c r="M405" s="4" t="s">
        <v>704</v>
      </c>
      <c r="N405" s="6"/>
      <c r="O405" s="6" t="s">
        <v>793</v>
      </c>
      <c r="P405" s="6"/>
      <c r="Q405" s="27"/>
      <c r="R405" s="28" t="s">
        <v>692</v>
      </c>
      <c r="S405" s="6"/>
      <c r="T405" s="1">
        <v>0</v>
      </c>
      <c r="U405" s="1">
        <v>0</v>
      </c>
      <c r="V405" s="1">
        <v>1.5522000000000003E-2</v>
      </c>
      <c r="W405" s="1">
        <v>3.1044000000000006E-2</v>
      </c>
      <c r="X405" s="1">
        <v>0</v>
      </c>
      <c r="Y405" s="1">
        <f>AVERAGE(U405:X405)</f>
        <v>1.1641500000000003E-2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hidden="1" x14ac:dyDescent="0.3">
      <c r="A406" s="22" t="s">
        <v>1324</v>
      </c>
      <c r="B406" s="2"/>
      <c r="C406" s="21">
        <v>4</v>
      </c>
      <c r="D406" s="23"/>
      <c r="E406" s="23"/>
      <c r="F406" s="23"/>
      <c r="G406" s="3" t="s">
        <v>1262</v>
      </c>
      <c r="H406" s="6"/>
      <c r="I406" s="6"/>
      <c r="J406" s="6"/>
      <c r="K406" s="21"/>
      <c r="L406" s="21" t="s">
        <v>1259</v>
      </c>
      <c r="M406" s="4"/>
      <c r="N406" s="6"/>
      <c r="O406" s="6"/>
      <c r="P406" s="6"/>
      <c r="Q406" s="27"/>
      <c r="R406" s="27" t="s">
        <v>146</v>
      </c>
      <c r="S406" s="6"/>
      <c r="T406" s="1">
        <v>1.3626044004850509E-2</v>
      </c>
      <c r="U406" s="1">
        <v>9.378130303109404E-3</v>
      </c>
      <c r="V406" s="1">
        <v>8.9369788532958072E-3</v>
      </c>
      <c r="W406" s="1">
        <v>1.4508346904477701E-2</v>
      </c>
      <c r="X406" s="1">
        <v>1.2246661011060775E-2</v>
      </c>
      <c r="Y406" s="1">
        <f>AVERAGE(U406:X406)</f>
        <v>1.1267529267985922E-2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hidden="1" x14ac:dyDescent="0.3">
      <c r="A407" s="22" t="s">
        <v>1325</v>
      </c>
      <c r="B407" s="2"/>
      <c r="C407" s="21">
        <v>8</v>
      </c>
      <c r="D407" s="23"/>
      <c r="E407" s="23"/>
      <c r="F407" s="23"/>
      <c r="G407" s="3" t="s">
        <v>1280</v>
      </c>
      <c r="H407" s="4"/>
      <c r="I407" s="4"/>
      <c r="J407" s="4"/>
      <c r="K407" s="5"/>
      <c r="L407" s="5" t="s">
        <v>1259</v>
      </c>
      <c r="M407" s="4"/>
      <c r="N407" s="4"/>
      <c r="O407" s="4"/>
      <c r="P407" s="4"/>
      <c r="Q407" s="24"/>
      <c r="R407" s="27" t="s">
        <v>146</v>
      </c>
      <c r="S407" s="4"/>
      <c r="T407" s="1">
        <v>1.4234999999999999E-2</v>
      </c>
      <c r="U407" s="1">
        <v>8.7600000000000004E-3</v>
      </c>
      <c r="V407" s="1">
        <v>1.2045E-2</v>
      </c>
      <c r="W407" s="1">
        <v>9.8550000000000009E-3</v>
      </c>
      <c r="X407" s="1">
        <v>9.8550000000000009E-3</v>
      </c>
      <c r="Y407" s="1">
        <f>AVERAGE(U407:X407)</f>
        <v>1.0128750000000001E-2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hidden="1" x14ac:dyDescent="0.3">
      <c r="A408" s="22" t="s">
        <v>1326</v>
      </c>
      <c r="B408" s="2"/>
      <c r="C408" s="21">
        <v>4</v>
      </c>
      <c r="D408" s="23"/>
      <c r="E408" s="23"/>
      <c r="F408" s="23"/>
      <c r="G408" s="3" t="s">
        <v>1262</v>
      </c>
      <c r="H408" s="4"/>
      <c r="I408" s="4"/>
      <c r="J408" s="4"/>
      <c r="K408" s="5"/>
      <c r="L408" s="5" t="s">
        <v>1259</v>
      </c>
      <c r="M408" s="4"/>
      <c r="N408" s="4"/>
      <c r="O408" s="4"/>
      <c r="P408" s="4"/>
      <c r="Q408" s="24"/>
      <c r="R408" s="27" t="s">
        <v>146</v>
      </c>
      <c r="S408" s="4"/>
      <c r="T408" s="1">
        <v>0</v>
      </c>
      <c r="U408" s="1">
        <v>1.4884799999999998E-2</v>
      </c>
      <c r="V408" s="1">
        <v>0</v>
      </c>
      <c r="W408" s="1">
        <v>0</v>
      </c>
      <c r="X408" s="1">
        <v>2.4162399999999997E-2</v>
      </c>
      <c r="Y408" s="1">
        <f>AVERAGE(U408:X408)</f>
        <v>9.7617999999999993E-3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15" t="s">
        <v>400</v>
      </c>
      <c r="B409" s="8" t="s">
        <v>62</v>
      </c>
      <c r="C409" s="11">
        <v>1</v>
      </c>
      <c r="D409" s="18">
        <v>350</v>
      </c>
      <c r="E409" s="18" t="s">
        <v>41</v>
      </c>
      <c r="F409" s="23"/>
      <c r="G409" s="9" t="s">
        <v>401</v>
      </c>
      <c r="H409" s="12" t="s">
        <v>41</v>
      </c>
      <c r="I409" s="10"/>
      <c r="J409" s="12"/>
      <c r="K409" s="14"/>
      <c r="L409" s="14" t="s">
        <v>296</v>
      </c>
      <c r="M409" s="12" t="s">
        <v>164</v>
      </c>
      <c r="N409" s="12" t="s">
        <v>382</v>
      </c>
      <c r="O409" s="12" t="s">
        <v>793</v>
      </c>
      <c r="P409" s="12" t="s">
        <v>47</v>
      </c>
      <c r="Q409" s="30" t="s">
        <v>47</v>
      </c>
      <c r="R409" s="29" t="s">
        <v>47</v>
      </c>
      <c r="S409" s="12" t="s">
        <v>47</v>
      </c>
      <c r="T409" s="13">
        <v>1.4579999999999999E-2</v>
      </c>
      <c r="U409" s="13">
        <v>3.3534000000000001E-2</v>
      </c>
      <c r="V409" s="13">
        <v>0</v>
      </c>
      <c r="W409" s="13">
        <v>0</v>
      </c>
      <c r="X409" s="13">
        <v>0</v>
      </c>
      <c r="Y409" s="1">
        <f>AVERAGE(U409:X409)</f>
        <v>8.3835000000000003E-3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hidden="1" x14ac:dyDescent="0.3">
      <c r="A410" s="22" t="s">
        <v>1327</v>
      </c>
      <c r="B410" s="2"/>
      <c r="C410" s="21">
        <v>2</v>
      </c>
      <c r="D410" s="23"/>
      <c r="E410" s="23"/>
      <c r="F410" s="23"/>
      <c r="G410" s="3" t="s">
        <v>1280</v>
      </c>
      <c r="H410" s="4"/>
      <c r="I410" s="4"/>
      <c r="J410" s="4"/>
      <c r="K410" s="5"/>
      <c r="L410" s="5" t="s">
        <v>1259</v>
      </c>
      <c r="M410" s="4"/>
      <c r="N410" s="4"/>
      <c r="O410" s="4"/>
      <c r="P410" s="4"/>
      <c r="Q410" s="24"/>
      <c r="R410" s="27" t="s">
        <v>146</v>
      </c>
      <c r="S410" s="4"/>
      <c r="T410" s="1">
        <v>0</v>
      </c>
      <c r="U410" s="1">
        <v>4.2785032258064511E-3</v>
      </c>
      <c r="V410" s="1">
        <v>2.6964000000000002E-2</v>
      </c>
      <c r="W410" s="1">
        <v>0</v>
      </c>
      <c r="X410" s="1">
        <v>0</v>
      </c>
      <c r="Y410" s="1">
        <f>AVERAGE(U410:X410)</f>
        <v>7.8106258064516137E-3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hidden="1" x14ac:dyDescent="0.3">
      <c r="A411" s="19" t="s">
        <v>1237</v>
      </c>
      <c r="B411" s="21" t="s">
        <v>40</v>
      </c>
      <c r="C411" s="21">
        <v>1.5</v>
      </c>
      <c r="D411" s="23">
        <v>1100</v>
      </c>
      <c r="E411" s="23"/>
      <c r="F411" s="23"/>
      <c r="G411" s="20" t="s">
        <v>1238</v>
      </c>
      <c r="H411" s="6"/>
      <c r="I411" s="6" t="s">
        <v>702</v>
      </c>
      <c r="J411" s="6">
        <v>60</v>
      </c>
      <c r="K411" s="21">
        <v>24</v>
      </c>
      <c r="L411" s="21" t="s">
        <v>296</v>
      </c>
      <c r="M411" s="6" t="s">
        <v>164</v>
      </c>
      <c r="N411" s="6" t="s">
        <v>1150</v>
      </c>
      <c r="O411" s="6"/>
      <c r="P411" s="6"/>
      <c r="Q411" s="27"/>
      <c r="R411" s="28" t="s">
        <v>108</v>
      </c>
      <c r="S411" s="6" t="s">
        <v>71</v>
      </c>
      <c r="T411" s="1">
        <v>3.1920000000000004E-2</v>
      </c>
      <c r="U411" s="1">
        <v>8.7780000000000011E-3</v>
      </c>
      <c r="V411" s="1">
        <v>0</v>
      </c>
      <c r="W411" s="1">
        <v>0</v>
      </c>
      <c r="X411" s="1">
        <v>2.1014000000000001E-2</v>
      </c>
      <c r="Y411" s="1">
        <f>AVERAGE(U411:X411)</f>
        <v>7.4480000000000006E-3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hidden="1" x14ac:dyDescent="0.3">
      <c r="A412" s="22" t="s">
        <v>1328</v>
      </c>
      <c r="B412" s="2"/>
      <c r="C412" s="21">
        <v>1</v>
      </c>
      <c r="D412" s="23"/>
      <c r="E412" s="23"/>
      <c r="F412" s="23"/>
      <c r="G412" s="3" t="s">
        <v>1296</v>
      </c>
      <c r="H412" s="6"/>
      <c r="I412" s="6"/>
      <c r="J412" s="6"/>
      <c r="K412" s="21"/>
      <c r="L412" s="21" t="s">
        <v>1315</v>
      </c>
      <c r="M412" s="6"/>
      <c r="N412" s="6"/>
      <c r="O412" s="6"/>
      <c r="P412" s="6"/>
      <c r="Q412" s="27"/>
      <c r="R412" s="27" t="s">
        <v>146</v>
      </c>
      <c r="S412" s="6"/>
      <c r="T412" s="1">
        <v>2.862E-3</v>
      </c>
      <c r="U412" s="1">
        <v>2.862E-3</v>
      </c>
      <c r="V412" s="1">
        <v>5.7239999999999999E-3</v>
      </c>
      <c r="W412" s="1">
        <v>6.8247000000000013E-3</v>
      </c>
      <c r="X412" s="1">
        <v>5.7239999999999999E-3</v>
      </c>
      <c r="Y412" s="1">
        <f>AVERAGE(U412:X412)</f>
        <v>5.2836749999999998E-3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15" t="s">
        <v>402</v>
      </c>
      <c r="B413" s="8" t="s">
        <v>78</v>
      </c>
      <c r="C413" s="11">
        <v>1.06</v>
      </c>
      <c r="D413" s="18">
        <v>1000</v>
      </c>
      <c r="E413" s="18">
        <v>1520</v>
      </c>
      <c r="F413" s="23"/>
      <c r="G413" s="9"/>
      <c r="H413" s="12" t="s">
        <v>41</v>
      </c>
      <c r="I413" s="12"/>
      <c r="J413" s="12"/>
      <c r="K413" s="14"/>
      <c r="L413" s="14" t="s">
        <v>296</v>
      </c>
      <c r="M413" s="12"/>
      <c r="N413" s="12"/>
      <c r="O413" s="12"/>
      <c r="P413" s="12" t="s">
        <v>47</v>
      </c>
      <c r="Q413" s="30" t="s">
        <v>47</v>
      </c>
      <c r="R413" s="29" t="s">
        <v>47</v>
      </c>
      <c r="S413" s="10" t="s">
        <v>47</v>
      </c>
      <c r="T413" s="13">
        <v>6.6299999999999996E-4</v>
      </c>
      <c r="U413" s="13">
        <v>2.4480000000000001E-3</v>
      </c>
      <c r="V413" s="13">
        <v>7.3439999999999998E-3</v>
      </c>
      <c r="W413" s="13">
        <v>7.3439999999999998E-3</v>
      </c>
      <c r="X413" s="13">
        <v>2.4480000000000001E-3</v>
      </c>
      <c r="Y413" s="1">
        <f>AVERAGE(U413:X413)</f>
        <v>4.8959999999999993E-3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hidden="1" x14ac:dyDescent="0.3">
      <c r="A414" s="19" t="s">
        <v>1239</v>
      </c>
      <c r="B414" s="21" t="s">
        <v>40</v>
      </c>
      <c r="C414" s="21">
        <v>2</v>
      </c>
      <c r="D414" s="23">
        <v>1200</v>
      </c>
      <c r="E414" s="23"/>
      <c r="F414" s="23"/>
      <c r="G414" s="20" t="s">
        <v>1240</v>
      </c>
      <c r="H414" s="6"/>
      <c r="I414" s="6" t="s">
        <v>1084</v>
      </c>
      <c r="J414" s="6">
        <v>69</v>
      </c>
      <c r="K414" s="21">
        <v>20</v>
      </c>
      <c r="L414" s="21" t="s">
        <v>703</v>
      </c>
      <c r="M414" s="6" t="s">
        <v>164</v>
      </c>
      <c r="N414" s="6" t="s">
        <v>1150</v>
      </c>
      <c r="O414" s="6"/>
      <c r="P414" s="6"/>
      <c r="Q414" s="27"/>
      <c r="R414" s="28" t="s">
        <v>108</v>
      </c>
      <c r="S414" s="6" t="s">
        <v>71</v>
      </c>
      <c r="T414" s="1">
        <v>3.5519999999999996E-2</v>
      </c>
      <c r="U414" s="1">
        <v>4.9500000000000004E-3</v>
      </c>
      <c r="V414" s="1">
        <v>0</v>
      </c>
      <c r="W414" s="1">
        <v>0</v>
      </c>
      <c r="X414" s="1">
        <v>1.1849999999999999E-2</v>
      </c>
      <c r="Y414" s="1">
        <f>AVERAGE(U414:X414)</f>
        <v>4.1999999999999997E-3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15" t="s">
        <v>403</v>
      </c>
      <c r="B415" s="8" t="s">
        <v>62</v>
      </c>
      <c r="C415" s="11">
        <v>1.5</v>
      </c>
      <c r="D415" s="18">
        <v>212</v>
      </c>
      <c r="E415" s="18" t="s">
        <v>41</v>
      </c>
      <c r="F415" s="23"/>
      <c r="G415" s="9"/>
      <c r="H415" s="12" t="s">
        <v>41</v>
      </c>
      <c r="I415" s="12"/>
      <c r="J415" s="12"/>
      <c r="K415" s="14"/>
      <c r="L415" s="14" t="s">
        <v>296</v>
      </c>
      <c r="M415" s="12"/>
      <c r="N415" s="12"/>
      <c r="O415" s="12"/>
      <c r="P415" s="16" t="s">
        <v>47</v>
      </c>
      <c r="Q415" s="30" t="s">
        <v>47</v>
      </c>
      <c r="R415" s="29" t="s">
        <v>47</v>
      </c>
      <c r="S415" s="12" t="s">
        <v>47</v>
      </c>
      <c r="T415" s="13">
        <v>4.4279999999999996E-3</v>
      </c>
      <c r="U415" s="13">
        <v>0</v>
      </c>
      <c r="V415" s="13">
        <v>1.9680000000000001E-3</v>
      </c>
      <c r="W415" s="13">
        <v>4.9199999999999999E-3</v>
      </c>
      <c r="X415" s="13">
        <v>8.6099999999999996E-3</v>
      </c>
      <c r="Y415" s="1">
        <f>AVERAGE(U415:X415)</f>
        <v>3.8744999999999999E-3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15" t="s">
        <v>404</v>
      </c>
      <c r="B416" s="8" t="s">
        <v>49</v>
      </c>
      <c r="C416" s="11">
        <v>8</v>
      </c>
      <c r="D416" s="18">
        <v>1200</v>
      </c>
      <c r="E416" s="18" t="s">
        <v>41</v>
      </c>
      <c r="F416" s="23"/>
      <c r="G416" s="9"/>
      <c r="H416" s="12" t="s">
        <v>41</v>
      </c>
      <c r="I416" s="12"/>
      <c r="J416" s="12"/>
      <c r="K416" s="14"/>
      <c r="L416" s="11" t="s">
        <v>296</v>
      </c>
      <c r="M416" s="12"/>
      <c r="N416" s="12"/>
      <c r="O416" s="12"/>
      <c r="P416" s="16"/>
      <c r="Q416" s="30"/>
      <c r="R416" s="29" t="s">
        <v>47</v>
      </c>
      <c r="S416" s="10" t="s">
        <v>47</v>
      </c>
      <c r="T416" s="13">
        <v>0</v>
      </c>
      <c r="U416" s="13">
        <v>1.3887999999999999E-2</v>
      </c>
      <c r="V416" s="13">
        <v>0</v>
      </c>
      <c r="W416" s="13">
        <v>0</v>
      </c>
      <c r="X416" s="13">
        <v>0</v>
      </c>
      <c r="Y416" s="1">
        <f>AVERAGE(U416:X416)</f>
        <v>3.4719999999999998E-3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hidden="1" x14ac:dyDescent="0.3">
      <c r="A417" s="22" t="s">
        <v>1329</v>
      </c>
      <c r="B417" s="2"/>
      <c r="C417" s="21">
        <v>4</v>
      </c>
      <c r="D417" s="23"/>
      <c r="E417" s="23"/>
      <c r="F417" s="23"/>
      <c r="G417" s="3" t="s">
        <v>1262</v>
      </c>
      <c r="H417" s="6"/>
      <c r="I417" s="6"/>
      <c r="J417" s="6"/>
      <c r="K417" s="21"/>
      <c r="L417" s="21" t="s">
        <v>1259</v>
      </c>
      <c r="M417" s="6"/>
      <c r="N417" s="6"/>
      <c r="O417" s="6"/>
      <c r="P417" s="6"/>
      <c r="Q417" s="27"/>
      <c r="R417" s="27" t="s">
        <v>146</v>
      </c>
      <c r="S417" s="6"/>
      <c r="T417" s="1">
        <v>0</v>
      </c>
      <c r="U417" s="1">
        <v>3.392E-3</v>
      </c>
      <c r="V417" s="1">
        <v>3.392E-3</v>
      </c>
      <c r="W417" s="1">
        <v>3.392E-3</v>
      </c>
      <c r="X417" s="1">
        <v>0</v>
      </c>
      <c r="Y417" s="1">
        <f>AVERAGE(U417:X417)</f>
        <v>2.5440000000000003E-3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15" t="s">
        <v>405</v>
      </c>
      <c r="B418" s="8" t="s">
        <v>229</v>
      </c>
      <c r="C418" s="11">
        <v>4.75</v>
      </c>
      <c r="D418" s="18">
        <v>1200</v>
      </c>
      <c r="E418" s="18">
        <v>1390</v>
      </c>
      <c r="F418" s="23"/>
      <c r="G418" s="9"/>
      <c r="H418" s="12" t="s">
        <v>41</v>
      </c>
      <c r="I418" s="12"/>
      <c r="J418" s="12"/>
      <c r="K418" s="14"/>
      <c r="L418" s="11" t="s">
        <v>296</v>
      </c>
      <c r="M418" s="12"/>
      <c r="N418" s="12"/>
      <c r="O418" s="12"/>
      <c r="P418" s="16"/>
      <c r="Q418" s="30"/>
      <c r="R418" s="29" t="s">
        <v>47</v>
      </c>
      <c r="S418" s="10" t="s">
        <v>47</v>
      </c>
      <c r="T418" s="13">
        <v>0</v>
      </c>
      <c r="U418" s="13">
        <v>9.7140000000000004E-3</v>
      </c>
      <c r="V418" s="13">
        <v>0</v>
      </c>
      <c r="W418" s="13">
        <v>0</v>
      </c>
      <c r="X418" s="13">
        <v>0</v>
      </c>
      <c r="Y418" s="1">
        <f>AVERAGE(U418:X418)</f>
        <v>2.4285000000000001E-3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hidden="1" x14ac:dyDescent="0.3">
      <c r="A419" s="22" t="s">
        <v>900</v>
      </c>
      <c r="B419" s="2"/>
      <c r="C419" s="21">
        <v>2</v>
      </c>
      <c r="D419" s="23"/>
      <c r="E419" s="23"/>
      <c r="F419" s="23"/>
      <c r="G419" s="3" t="s">
        <v>1262</v>
      </c>
      <c r="H419" s="4"/>
      <c r="I419" s="4"/>
      <c r="J419" s="4"/>
      <c r="K419" s="5"/>
      <c r="L419" s="5" t="s">
        <v>1266</v>
      </c>
      <c r="M419" s="4"/>
      <c r="N419" s="4"/>
      <c r="O419" s="4"/>
      <c r="P419" s="4"/>
      <c r="Q419" s="24"/>
      <c r="R419" s="27" t="s">
        <v>146</v>
      </c>
      <c r="S419" s="4"/>
      <c r="T419" s="1">
        <v>0</v>
      </c>
      <c r="U419" s="1">
        <v>0</v>
      </c>
      <c r="V419" s="1">
        <v>0</v>
      </c>
      <c r="W419" s="1">
        <v>1.7759999999999998E-3</v>
      </c>
      <c r="X419" s="1">
        <v>5.3280000000000003E-3</v>
      </c>
      <c r="Y419" s="1">
        <f>AVERAGE(U419:X419)</f>
        <v>1.776E-3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hidden="1" x14ac:dyDescent="0.3">
      <c r="A420" s="22" t="s">
        <v>925</v>
      </c>
      <c r="B420" s="2" t="s">
        <v>770</v>
      </c>
      <c r="C420" s="21">
        <v>0.9</v>
      </c>
      <c r="D420" s="23">
        <v>1200</v>
      </c>
      <c r="E420" s="23"/>
      <c r="F420" s="28"/>
      <c r="G420" s="3" t="s">
        <v>920</v>
      </c>
      <c r="H420" s="4"/>
      <c r="I420" s="4"/>
      <c r="J420" s="4">
        <v>30</v>
      </c>
      <c r="K420" s="5"/>
      <c r="L420" s="5" t="s">
        <v>791</v>
      </c>
      <c r="M420" s="4" t="s">
        <v>865</v>
      </c>
      <c r="N420" s="4"/>
      <c r="O420" s="4" t="s">
        <v>793</v>
      </c>
      <c r="P420" s="4"/>
      <c r="Q420" s="24"/>
      <c r="R420" s="25" t="s">
        <v>692</v>
      </c>
      <c r="S420" s="4"/>
      <c r="T420" s="1">
        <v>0</v>
      </c>
      <c r="U420" s="1">
        <v>0</v>
      </c>
      <c r="V420" s="1">
        <v>0</v>
      </c>
      <c r="W420" s="1">
        <v>2.3800000000000002E-3</v>
      </c>
      <c r="X420" s="1">
        <v>2.3800000000000002E-3</v>
      </c>
      <c r="Y420" s="1">
        <f>AVERAGE(U420:X420)</f>
        <v>1.1900000000000001E-3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hidden="1" x14ac:dyDescent="0.3">
      <c r="A421" s="22" t="s">
        <v>926</v>
      </c>
      <c r="B421" s="2" t="s">
        <v>927</v>
      </c>
      <c r="C421" s="21">
        <v>1.5</v>
      </c>
      <c r="D421" s="23" t="s">
        <v>859</v>
      </c>
      <c r="E421" s="23"/>
      <c r="F421" s="28"/>
      <c r="G421" s="3" t="s">
        <v>928</v>
      </c>
      <c r="H421" s="6"/>
      <c r="I421" s="6"/>
      <c r="J421" s="6">
        <v>30</v>
      </c>
      <c r="K421" s="21"/>
      <c r="L421" s="21" t="s">
        <v>791</v>
      </c>
      <c r="M421" s="6" t="s">
        <v>865</v>
      </c>
      <c r="N421" s="6"/>
      <c r="O421" s="6" t="s">
        <v>793</v>
      </c>
      <c r="P421" s="6"/>
      <c r="Q421" s="27"/>
      <c r="R421" s="28" t="s">
        <v>692</v>
      </c>
      <c r="S421" s="6"/>
      <c r="T421" s="1">
        <v>0</v>
      </c>
      <c r="U421" s="1">
        <v>0</v>
      </c>
      <c r="V421" s="1">
        <v>0</v>
      </c>
      <c r="W421" s="1">
        <v>1.374E-3</v>
      </c>
      <c r="X421" s="1">
        <v>0</v>
      </c>
      <c r="Y421" s="1">
        <f>AVERAGE(U421:X421)</f>
        <v>3.435E-4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hidden="1" x14ac:dyDescent="0.3">
      <c r="A422" s="22" t="s">
        <v>929</v>
      </c>
      <c r="B422" s="2" t="s">
        <v>49</v>
      </c>
      <c r="C422" s="21">
        <v>2</v>
      </c>
      <c r="D422" s="23">
        <v>1100</v>
      </c>
      <c r="E422" s="23"/>
      <c r="F422" s="28"/>
      <c r="G422" s="3" t="s">
        <v>708</v>
      </c>
      <c r="H422" s="4"/>
      <c r="I422" s="6" t="s">
        <v>687</v>
      </c>
      <c r="J422" s="4">
        <v>69</v>
      </c>
      <c r="K422" s="5">
        <v>13</v>
      </c>
      <c r="L422" s="5" t="s">
        <v>703</v>
      </c>
      <c r="M422" s="4" t="s">
        <v>908</v>
      </c>
      <c r="N422" s="4"/>
      <c r="O422" s="4" t="s">
        <v>793</v>
      </c>
      <c r="P422" s="4"/>
      <c r="Q422" s="24"/>
      <c r="R422" s="25" t="s">
        <v>692</v>
      </c>
      <c r="S422" s="6" t="s">
        <v>55</v>
      </c>
      <c r="T422" s="1">
        <v>0</v>
      </c>
      <c r="U422" s="1">
        <v>0</v>
      </c>
      <c r="V422" s="1">
        <v>0</v>
      </c>
      <c r="W422" s="1">
        <v>1.0799999999999998E-4</v>
      </c>
      <c r="X422" s="1">
        <v>0</v>
      </c>
      <c r="Y422" s="1">
        <f>AVERAGE(U422:X422)</f>
        <v>2.6999999999999996E-5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15" t="s">
        <v>406</v>
      </c>
      <c r="B423" s="8" t="s">
        <v>68</v>
      </c>
      <c r="C423" s="11">
        <v>1.9</v>
      </c>
      <c r="D423" s="18">
        <v>1100</v>
      </c>
      <c r="E423" s="18" t="s">
        <v>41</v>
      </c>
      <c r="F423" s="23"/>
      <c r="G423" s="9" t="s">
        <v>407</v>
      </c>
      <c r="H423" s="10" t="s">
        <v>41</v>
      </c>
      <c r="I423" s="10"/>
      <c r="J423" s="10"/>
      <c r="K423" s="11"/>
      <c r="L423" s="11" t="s">
        <v>296</v>
      </c>
      <c r="M423" s="10" t="s">
        <v>155</v>
      </c>
      <c r="N423" s="10" t="s">
        <v>408</v>
      </c>
      <c r="O423" s="12"/>
      <c r="P423" s="10" t="s">
        <v>47</v>
      </c>
      <c r="Q423" s="29" t="s">
        <v>47</v>
      </c>
      <c r="R423" s="29" t="s">
        <v>47</v>
      </c>
      <c r="S423" s="10" t="s">
        <v>47</v>
      </c>
      <c r="T423" s="13">
        <v>5.4002620000000006</v>
      </c>
      <c r="U423" s="13">
        <v>0</v>
      </c>
      <c r="V423" s="13">
        <v>0</v>
      </c>
      <c r="W423" s="13">
        <v>0</v>
      </c>
      <c r="X423" s="13">
        <v>0</v>
      </c>
      <c r="Y423" s="1">
        <f>AVERAGE(U423:X423)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15" t="s">
        <v>409</v>
      </c>
      <c r="B424" s="8" t="s">
        <v>68</v>
      </c>
      <c r="C424" s="11">
        <v>1.9</v>
      </c>
      <c r="D424" s="18">
        <v>1100</v>
      </c>
      <c r="E424" s="18" t="s">
        <v>41</v>
      </c>
      <c r="F424" s="23"/>
      <c r="G424" s="9" t="s">
        <v>395</v>
      </c>
      <c r="H424" s="10" t="s">
        <v>41</v>
      </c>
      <c r="I424" s="10"/>
      <c r="J424" s="10"/>
      <c r="K424" s="11"/>
      <c r="L424" s="11" t="s">
        <v>296</v>
      </c>
      <c r="M424" s="10" t="s">
        <v>93</v>
      </c>
      <c r="N424" s="10"/>
      <c r="O424" s="12"/>
      <c r="P424" s="10"/>
      <c r="Q424" s="29"/>
      <c r="R424" s="29" t="s">
        <v>47</v>
      </c>
      <c r="S424" s="10" t="s">
        <v>47</v>
      </c>
      <c r="T424" s="13">
        <v>2.1865000000000001</v>
      </c>
      <c r="U424" s="13">
        <v>0</v>
      </c>
      <c r="V424" s="13">
        <v>0</v>
      </c>
      <c r="W424" s="13">
        <v>0</v>
      </c>
      <c r="X424" s="13">
        <v>0</v>
      </c>
      <c r="Y424" s="1">
        <f>AVERAGE(U424:X424)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15" t="s">
        <v>410</v>
      </c>
      <c r="B425" s="8" t="s">
        <v>49</v>
      </c>
      <c r="C425" s="11">
        <v>1.9</v>
      </c>
      <c r="D425" s="18">
        <v>1000</v>
      </c>
      <c r="E425" s="18" t="s">
        <v>41</v>
      </c>
      <c r="F425" s="23"/>
      <c r="G425" s="9"/>
      <c r="H425" s="12" t="s">
        <v>41</v>
      </c>
      <c r="I425" s="12"/>
      <c r="J425" s="12"/>
      <c r="K425" s="14"/>
      <c r="L425" s="11" t="s">
        <v>248</v>
      </c>
      <c r="M425" s="12"/>
      <c r="N425" s="12"/>
      <c r="O425" s="12"/>
      <c r="P425" s="16" t="s">
        <v>47</v>
      </c>
      <c r="Q425" s="30" t="s">
        <v>47</v>
      </c>
      <c r="R425" s="29" t="s">
        <v>47</v>
      </c>
      <c r="S425" s="10" t="s">
        <v>47</v>
      </c>
      <c r="T425" s="13">
        <v>1.1277999999999999</v>
      </c>
      <c r="U425" s="13">
        <v>0</v>
      </c>
      <c r="V425" s="13">
        <v>0</v>
      </c>
      <c r="W425" s="13">
        <v>0</v>
      </c>
      <c r="X425" s="13">
        <v>0</v>
      </c>
      <c r="Y425" s="1">
        <f>AVERAGE(U425:X425)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15" t="s">
        <v>411</v>
      </c>
      <c r="B426" s="8" t="s">
        <v>78</v>
      </c>
      <c r="C426" s="11">
        <v>0.85</v>
      </c>
      <c r="D426" s="18">
        <v>1200</v>
      </c>
      <c r="E426" s="18">
        <v>1760</v>
      </c>
      <c r="F426" s="23"/>
      <c r="G426" s="9"/>
      <c r="H426" s="12" t="s">
        <v>41</v>
      </c>
      <c r="I426" s="12"/>
      <c r="J426" s="12"/>
      <c r="K426" s="14"/>
      <c r="L426" s="11" t="s">
        <v>296</v>
      </c>
      <c r="M426" s="12"/>
      <c r="N426" s="12"/>
      <c r="O426" s="12"/>
      <c r="P426" s="16" t="s">
        <v>47</v>
      </c>
      <c r="Q426" s="30" t="s">
        <v>47</v>
      </c>
      <c r="R426" s="29" t="s">
        <v>47</v>
      </c>
      <c r="S426" s="10" t="s">
        <v>47</v>
      </c>
      <c r="T426" s="13">
        <v>0.94341000000000008</v>
      </c>
      <c r="U426" s="13">
        <v>0</v>
      </c>
      <c r="V426" s="13">
        <v>0</v>
      </c>
      <c r="W426" s="13">
        <v>0</v>
      </c>
      <c r="X426" s="13">
        <v>0</v>
      </c>
      <c r="Y426" s="1">
        <f>AVERAGE(U426:X426)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15" t="s">
        <v>412</v>
      </c>
      <c r="B427" s="8" t="s">
        <v>158</v>
      </c>
      <c r="C427" s="11">
        <v>1</v>
      </c>
      <c r="D427" s="18">
        <v>470</v>
      </c>
      <c r="E427" s="18" t="s">
        <v>41</v>
      </c>
      <c r="F427" s="23"/>
      <c r="G427" s="9" t="s">
        <v>413</v>
      </c>
      <c r="H427" s="12" t="s">
        <v>41</v>
      </c>
      <c r="I427" s="10"/>
      <c r="J427" s="12"/>
      <c r="K427" s="14"/>
      <c r="L427" s="14" t="s">
        <v>296</v>
      </c>
      <c r="M427" s="12" t="s">
        <v>164</v>
      </c>
      <c r="N427" s="12" t="s">
        <v>145</v>
      </c>
      <c r="O427" s="12"/>
      <c r="P427" s="12" t="s">
        <v>47</v>
      </c>
      <c r="Q427" s="30" t="s">
        <v>47</v>
      </c>
      <c r="R427" s="29" t="s">
        <v>47</v>
      </c>
      <c r="S427" s="12" t="s">
        <v>47</v>
      </c>
      <c r="T427" s="13">
        <v>0.31219999999999998</v>
      </c>
      <c r="U427" s="13">
        <v>0</v>
      </c>
      <c r="V427" s="13">
        <v>0</v>
      </c>
      <c r="W427" s="13">
        <v>0</v>
      </c>
      <c r="X427" s="13">
        <v>0</v>
      </c>
      <c r="Y427" s="1">
        <f>AVERAGE(U427:X427)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15" t="s">
        <v>414</v>
      </c>
      <c r="B428" s="8" t="s">
        <v>229</v>
      </c>
      <c r="C428" s="11">
        <v>6</v>
      </c>
      <c r="D428" s="18">
        <v>1220</v>
      </c>
      <c r="E428" s="18">
        <v>1750</v>
      </c>
      <c r="F428" s="23"/>
      <c r="G428" s="9" t="s">
        <v>415</v>
      </c>
      <c r="H428" s="10" t="s">
        <v>41</v>
      </c>
      <c r="I428" s="10"/>
      <c r="J428" s="10"/>
      <c r="K428" s="11"/>
      <c r="L428" s="11" t="s">
        <v>106</v>
      </c>
      <c r="M428" s="12" t="s">
        <v>119</v>
      </c>
      <c r="N428" s="10"/>
      <c r="O428" s="12"/>
      <c r="P428" s="10" t="s">
        <v>47</v>
      </c>
      <c r="Q428" s="29" t="s">
        <v>47</v>
      </c>
      <c r="R428" s="29" t="s">
        <v>47</v>
      </c>
      <c r="S428" s="10" t="s">
        <v>47</v>
      </c>
      <c r="T428" s="13">
        <v>0.10458000000000001</v>
      </c>
      <c r="U428" s="13">
        <v>0</v>
      </c>
      <c r="V428" s="13">
        <v>0</v>
      </c>
      <c r="W428" s="13">
        <v>0</v>
      </c>
      <c r="X428" s="13">
        <v>0</v>
      </c>
      <c r="Y428" s="1">
        <f>AVERAGE(U428:X428)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15" t="s">
        <v>416</v>
      </c>
      <c r="B429" s="8" t="s">
        <v>68</v>
      </c>
      <c r="C429" s="11">
        <v>1.9</v>
      </c>
      <c r="D429" s="18">
        <v>1200</v>
      </c>
      <c r="E429" s="18" t="s">
        <v>41</v>
      </c>
      <c r="F429" s="23"/>
      <c r="G429" s="9" t="s">
        <v>395</v>
      </c>
      <c r="H429" s="10" t="s">
        <v>41</v>
      </c>
      <c r="I429" s="10"/>
      <c r="J429" s="10"/>
      <c r="K429" s="11"/>
      <c r="L429" s="11" t="s">
        <v>417</v>
      </c>
      <c r="M429" s="10" t="s">
        <v>93</v>
      </c>
      <c r="N429" s="10"/>
      <c r="O429" s="12"/>
      <c r="P429" s="10"/>
      <c r="Q429" s="29"/>
      <c r="R429" s="29" t="s">
        <v>47</v>
      </c>
      <c r="S429" s="10" t="s">
        <v>47</v>
      </c>
      <c r="T429" s="13">
        <v>8.7859999999999994E-2</v>
      </c>
      <c r="U429" s="13">
        <v>0</v>
      </c>
      <c r="V429" s="13">
        <v>0</v>
      </c>
      <c r="W429" s="13">
        <v>0</v>
      </c>
      <c r="X429" s="13">
        <v>0</v>
      </c>
      <c r="Y429" s="1">
        <f>AVERAGE(U429:X429)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15" t="s">
        <v>418</v>
      </c>
      <c r="B430" s="8" t="s">
        <v>62</v>
      </c>
      <c r="C430" s="11">
        <v>0.8</v>
      </c>
      <c r="D430" s="18">
        <v>506</v>
      </c>
      <c r="E430" s="18" t="s">
        <v>41</v>
      </c>
      <c r="F430" s="23"/>
      <c r="G430" s="9" t="s">
        <v>419</v>
      </c>
      <c r="H430" s="10" t="s">
        <v>41</v>
      </c>
      <c r="I430" s="10"/>
      <c r="J430" s="10"/>
      <c r="K430" s="11"/>
      <c r="L430" s="11" t="s">
        <v>296</v>
      </c>
      <c r="M430" s="10" t="s">
        <v>164</v>
      </c>
      <c r="N430" s="10" t="s">
        <v>420</v>
      </c>
      <c r="O430" s="12"/>
      <c r="P430" s="10"/>
      <c r="Q430" s="29"/>
      <c r="R430" s="29" t="s">
        <v>47</v>
      </c>
      <c r="S430" s="10" t="s">
        <v>47</v>
      </c>
      <c r="T430" s="13">
        <v>7.3037999999999992E-2</v>
      </c>
      <c r="U430" s="13">
        <v>0</v>
      </c>
      <c r="V430" s="13">
        <v>0</v>
      </c>
      <c r="W430" s="13">
        <v>0</v>
      </c>
      <c r="X430" s="13">
        <v>0</v>
      </c>
      <c r="Y430" s="1">
        <f>AVERAGE(U430:X430)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15" t="s">
        <v>421</v>
      </c>
      <c r="B431" s="8" t="s">
        <v>78</v>
      </c>
      <c r="C431" s="11">
        <v>0.8</v>
      </c>
      <c r="D431" s="18">
        <v>1200</v>
      </c>
      <c r="E431" s="18">
        <v>490</v>
      </c>
      <c r="F431" s="23"/>
      <c r="G431" s="9" t="s">
        <v>422</v>
      </c>
      <c r="H431" s="10" t="s">
        <v>41</v>
      </c>
      <c r="I431" s="10"/>
      <c r="J431" s="10"/>
      <c r="K431" s="11"/>
      <c r="L431" s="11" t="s">
        <v>296</v>
      </c>
      <c r="M431" s="10" t="s">
        <v>164</v>
      </c>
      <c r="N431" s="10" t="s">
        <v>420</v>
      </c>
      <c r="O431" s="12"/>
      <c r="P431" s="10" t="s">
        <v>47</v>
      </c>
      <c r="Q431" s="29" t="s">
        <v>47</v>
      </c>
      <c r="R431" s="29" t="s">
        <v>47</v>
      </c>
      <c r="S431" s="10" t="s">
        <v>47</v>
      </c>
      <c r="T431" s="13">
        <v>5.6040000000000006E-2</v>
      </c>
      <c r="U431" s="13">
        <v>0</v>
      </c>
      <c r="V431" s="13">
        <v>0</v>
      </c>
      <c r="W431" s="13">
        <v>0</v>
      </c>
      <c r="X431" s="13">
        <v>0</v>
      </c>
      <c r="Y431" s="1">
        <f>AVERAGE(U431:X431)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15" t="s">
        <v>423</v>
      </c>
      <c r="B432" s="8" t="s">
        <v>68</v>
      </c>
      <c r="C432" s="11">
        <v>1</v>
      </c>
      <c r="D432" s="18">
        <v>920</v>
      </c>
      <c r="E432" s="18" t="s">
        <v>41</v>
      </c>
      <c r="F432" s="23"/>
      <c r="G432" s="9" t="s">
        <v>424</v>
      </c>
      <c r="H432" s="12" t="s">
        <v>41</v>
      </c>
      <c r="I432" s="12"/>
      <c r="J432" s="12"/>
      <c r="K432" s="14"/>
      <c r="L432" s="14" t="s">
        <v>296</v>
      </c>
      <c r="M432" s="12" t="s">
        <v>195</v>
      </c>
      <c r="N432" s="12" t="s">
        <v>425</v>
      </c>
      <c r="O432" s="12"/>
      <c r="P432" s="12"/>
      <c r="Q432" s="30"/>
      <c r="R432" s="29" t="s">
        <v>47</v>
      </c>
      <c r="S432" s="12" t="s">
        <v>47</v>
      </c>
      <c r="T432" s="13">
        <v>4.9474999999999998E-2</v>
      </c>
      <c r="U432" s="13">
        <v>0</v>
      </c>
      <c r="V432" s="13">
        <v>0</v>
      </c>
      <c r="W432" s="13">
        <v>0</v>
      </c>
      <c r="X432" s="13">
        <v>0</v>
      </c>
      <c r="Y432" s="1">
        <f>AVERAGE(U432:X432)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15" t="s">
        <v>426</v>
      </c>
      <c r="B433" s="8" t="s">
        <v>158</v>
      </c>
      <c r="C433" s="11">
        <v>1.5</v>
      </c>
      <c r="D433" s="18">
        <v>50</v>
      </c>
      <c r="E433" s="18" t="s">
        <v>41</v>
      </c>
      <c r="F433" s="23"/>
      <c r="G433" s="9" t="s">
        <v>427</v>
      </c>
      <c r="H433" s="10" t="s">
        <v>41</v>
      </c>
      <c r="I433" s="10"/>
      <c r="J433" s="10"/>
      <c r="K433" s="11"/>
      <c r="L433" s="11" t="s">
        <v>296</v>
      </c>
      <c r="M433" s="10" t="s">
        <v>164</v>
      </c>
      <c r="N433" s="10" t="s">
        <v>145</v>
      </c>
      <c r="O433" s="12"/>
      <c r="P433" s="10" t="s">
        <v>47</v>
      </c>
      <c r="Q433" s="29" t="s">
        <v>47</v>
      </c>
      <c r="R433" s="29" t="s">
        <v>47</v>
      </c>
      <c r="S433" s="10" t="s">
        <v>47</v>
      </c>
      <c r="T433" s="13">
        <v>1.37E-2</v>
      </c>
      <c r="U433" s="13">
        <v>0</v>
      </c>
      <c r="V433" s="13">
        <v>0</v>
      </c>
      <c r="W433" s="13">
        <v>0</v>
      </c>
      <c r="X433" s="13">
        <v>0</v>
      </c>
      <c r="Y433" s="1">
        <f>AVERAGE(U433:X433)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15" t="s">
        <v>428</v>
      </c>
      <c r="B434" s="8" t="s">
        <v>68</v>
      </c>
      <c r="C434" s="11">
        <v>0.9</v>
      </c>
      <c r="D434" s="18">
        <v>1500</v>
      </c>
      <c r="E434" s="18" t="s">
        <v>41</v>
      </c>
      <c r="F434" s="23"/>
      <c r="G434" s="9" t="s">
        <v>369</v>
      </c>
      <c r="H434" s="12" t="s">
        <v>41</v>
      </c>
      <c r="I434" s="10"/>
      <c r="J434" s="12"/>
      <c r="K434" s="14"/>
      <c r="L434" s="14" t="s">
        <v>296</v>
      </c>
      <c r="M434" s="12" t="s">
        <v>164</v>
      </c>
      <c r="N434" s="12" t="s">
        <v>429</v>
      </c>
      <c r="O434" s="12"/>
      <c r="P434" s="12" t="s">
        <v>47</v>
      </c>
      <c r="Q434" s="30" t="s">
        <v>47</v>
      </c>
      <c r="R434" s="29" t="s">
        <v>47</v>
      </c>
      <c r="S434" s="10" t="s">
        <v>47</v>
      </c>
      <c r="T434" s="13">
        <v>1.1865000000000002E-2</v>
      </c>
      <c r="U434" s="13">
        <v>0</v>
      </c>
      <c r="V434" s="13">
        <v>0</v>
      </c>
      <c r="W434" s="13">
        <v>0</v>
      </c>
      <c r="X434" s="13">
        <v>0</v>
      </c>
      <c r="Y434" s="1">
        <f>AVERAGE(U434:X434)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15" t="s">
        <v>430</v>
      </c>
      <c r="B435" s="8" t="s">
        <v>357</v>
      </c>
      <c r="C435" s="11">
        <v>2</v>
      </c>
      <c r="D435" s="18">
        <v>1110</v>
      </c>
      <c r="E435" s="18">
        <v>320</v>
      </c>
      <c r="F435" s="23"/>
      <c r="G435" s="9"/>
      <c r="H435" s="10" t="s">
        <v>41</v>
      </c>
      <c r="I435" s="10"/>
      <c r="J435" s="10"/>
      <c r="K435" s="11"/>
      <c r="L435" s="11" t="s">
        <v>296</v>
      </c>
      <c r="M435" s="10" t="s">
        <v>115</v>
      </c>
      <c r="N435" s="10" t="s">
        <v>431</v>
      </c>
      <c r="O435" s="12"/>
      <c r="P435" s="10"/>
      <c r="Q435" s="29"/>
      <c r="R435" s="29" t="s">
        <v>47</v>
      </c>
      <c r="S435" s="10" t="s">
        <v>47</v>
      </c>
      <c r="T435" s="13">
        <v>0</v>
      </c>
      <c r="U435" s="13">
        <v>0</v>
      </c>
      <c r="V435" s="13">
        <v>0</v>
      </c>
      <c r="W435" s="13">
        <v>0</v>
      </c>
      <c r="X435" s="13">
        <v>0</v>
      </c>
      <c r="Y435" s="1">
        <f>AVERAGE(U435:X435)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15" t="s">
        <v>432</v>
      </c>
      <c r="B436" s="8" t="s">
        <v>192</v>
      </c>
      <c r="C436" s="11">
        <v>0.7</v>
      </c>
      <c r="D436" s="18">
        <v>197</v>
      </c>
      <c r="E436" s="18">
        <v>775</v>
      </c>
      <c r="F436" s="23"/>
      <c r="G436" s="9" t="s">
        <v>433</v>
      </c>
      <c r="H436" s="10" t="s">
        <v>41</v>
      </c>
      <c r="I436" s="10"/>
      <c r="J436" s="10"/>
      <c r="K436" s="11"/>
      <c r="L436" s="11" t="s">
        <v>248</v>
      </c>
      <c r="M436" s="10" t="s">
        <v>164</v>
      </c>
      <c r="N436" s="10" t="s">
        <v>434</v>
      </c>
      <c r="O436" s="12"/>
      <c r="P436" s="10" t="s">
        <v>47</v>
      </c>
      <c r="Q436" s="29" t="s">
        <v>47</v>
      </c>
      <c r="R436" s="29" t="s">
        <v>47</v>
      </c>
      <c r="S436" s="10" t="s">
        <v>47</v>
      </c>
      <c r="T436" s="13">
        <v>0</v>
      </c>
      <c r="U436" s="13">
        <v>0</v>
      </c>
      <c r="V436" s="13">
        <v>0</v>
      </c>
      <c r="W436" s="13">
        <v>0</v>
      </c>
      <c r="X436" s="13">
        <v>0</v>
      </c>
      <c r="Y436" s="1">
        <f>AVERAGE(U436:X436)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15" t="s">
        <v>435</v>
      </c>
      <c r="B437" s="8" t="s">
        <v>250</v>
      </c>
      <c r="C437" s="11">
        <v>0.9</v>
      </c>
      <c r="D437" s="18">
        <v>1250</v>
      </c>
      <c r="E437" s="18" t="s">
        <v>41</v>
      </c>
      <c r="F437" s="23"/>
      <c r="G437" s="9" t="s">
        <v>436</v>
      </c>
      <c r="H437" s="10" t="s">
        <v>41</v>
      </c>
      <c r="I437" s="10"/>
      <c r="J437" s="10"/>
      <c r="K437" s="11"/>
      <c r="L437" s="11" t="s">
        <v>296</v>
      </c>
      <c r="M437" s="12" t="s">
        <v>195</v>
      </c>
      <c r="N437" s="10" t="s">
        <v>314</v>
      </c>
      <c r="O437" s="12"/>
      <c r="P437" s="10"/>
      <c r="Q437" s="29"/>
      <c r="R437" s="29" t="s">
        <v>47</v>
      </c>
      <c r="S437" s="10" t="s">
        <v>47</v>
      </c>
      <c r="T437" s="13">
        <v>0</v>
      </c>
      <c r="U437" s="13">
        <v>0</v>
      </c>
      <c r="V437" s="13">
        <v>0</v>
      </c>
      <c r="W437" s="13">
        <v>0</v>
      </c>
      <c r="X437" s="13">
        <v>0</v>
      </c>
      <c r="Y437" s="1">
        <f>AVERAGE(U437:X437)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15" t="s">
        <v>437</v>
      </c>
      <c r="B438" s="8" t="s">
        <v>68</v>
      </c>
      <c r="C438" s="11">
        <v>0.6</v>
      </c>
      <c r="D438" s="18">
        <v>1600</v>
      </c>
      <c r="E438" s="18" t="s">
        <v>41</v>
      </c>
      <c r="F438" s="23"/>
      <c r="G438" s="9" t="s">
        <v>438</v>
      </c>
      <c r="H438" s="12" t="s">
        <v>41</v>
      </c>
      <c r="I438" s="10"/>
      <c r="J438" s="12"/>
      <c r="K438" s="14"/>
      <c r="L438" s="14" t="s">
        <v>296</v>
      </c>
      <c r="M438" s="12" t="s">
        <v>195</v>
      </c>
      <c r="N438" s="12" t="s">
        <v>377</v>
      </c>
      <c r="O438" s="12"/>
      <c r="P438" s="12"/>
      <c r="Q438" s="30"/>
      <c r="R438" s="29" t="s">
        <v>47</v>
      </c>
      <c r="S438" s="10" t="s">
        <v>47</v>
      </c>
      <c r="T438" s="13">
        <v>0</v>
      </c>
      <c r="U438" s="13">
        <v>0</v>
      </c>
      <c r="V438" s="13">
        <v>0</v>
      </c>
      <c r="W438" s="13">
        <v>0</v>
      </c>
      <c r="X438" s="13">
        <v>0</v>
      </c>
      <c r="Y438" s="1">
        <f>AVERAGE(U438:X438)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15" t="s">
        <v>439</v>
      </c>
      <c r="B439" s="8" t="s">
        <v>68</v>
      </c>
      <c r="C439" s="11">
        <v>0.6</v>
      </c>
      <c r="D439" s="18">
        <v>1300</v>
      </c>
      <c r="E439" s="18" t="s">
        <v>41</v>
      </c>
      <c r="F439" s="23"/>
      <c r="G439" s="9" t="s">
        <v>440</v>
      </c>
      <c r="H439" s="10" t="s">
        <v>41</v>
      </c>
      <c r="I439" s="10"/>
      <c r="J439" s="10"/>
      <c r="K439" s="11"/>
      <c r="L439" s="11" t="s">
        <v>52</v>
      </c>
      <c r="M439" s="12" t="s">
        <v>84</v>
      </c>
      <c r="N439" s="10" t="s">
        <v>429</v>
      </c>
      <c r="O439" s="12"/>
      <c r="P439" s="10"/>
      <c r="Q439" s="29"/>
      <c r="R439" s="29" t="s">
        <v>47</v>
      </c>
      <c r="S439" s="10" t="s">
        <v>47</v>
      </c>
      <c r="T439" s="13">
        <v>0</v>
      </c>
      <c r="U439" s="13">
        <v>0</v>
      </c>
      <c r="V439" s="13">
        <v>0</v>
      </c>
      <c r="W439" s="13">
        <v>0</v>
      </c>
      <c r="X439" s="13">
        <v>0</v>
      </c>
      <c r="Y439" s="1">
        <f>AVERAGE(U439:X439)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15" t="s">
        <v>441</v>
      </c>
      <c r="B440" s="8" t="s">
        <v>68</v>
      </c>
      <c r="C440" s="11">
        <v>0.6</v>
      </c>
      <c r="D440" s="18">
        <v>1000</v>
      </c>
      <c r="E440" s="18" t="s">
        <v>41</v>
      </c>
      <c r="F440" s="23"/>
      <c r="G440" s="9" t="s">
        <v>442</v>
      </c>
      <c r="H440" s="10" t="s">
        <v>41</v>
      </c>
      <c r="I440" s="10"/>
      <c r="J440" s="10"/>
      <c r="K440" s="11"/>
      <c r="L440" s="11" t="s">
        <v>296</v>
      </c>
      <c r="M440" s="10" t="s">
        <v>195</v>
      </c>
      <c r="N440" s="10" t="s">
        <v>443</v>
      </c>
      <c r="O440" s="12"/>
      <c r="P440" s="10"/>
      <c r="Q440" s="29"/>
      <c r="R440" s="29" t="s">
        <v>47</v>
      </c>
      <c r="S440" s="10" t="s">
        <v>47</v>
      </c>
      <c r="T440" s="13">
        <v>0</v>
      </c>
      <c r="U440" s="13">
        <v>0</v>
      </c>
      <c r="V440" s="13">
        <v>0</v>
      </c>
      <c r="W440" s="13">
        <v>0</v>
      </c>
      <c r="X440" s="13">
        <v>0</v>
      </c>
      <c r="Y440" s="1">
        <f>AVERAGE(U440:X440)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15" t="s">
        <v>444</v>
      </c>
      <c r="B441" s="8" t="s">
        <v>68</v>
      </c>
      <c r="C441" s="11">
        <v>0.7</v>
      </c>
      <c r="D441" s="18">
        <v>1500</v>
      </c>
      <c r="E441" s="18" t="s">
        <v>41</v>
      </c>
      <c r="F441" s="23"/>
      <c r="G441" s="9" t="s">
        <v>445</v>
      </c>
      <c r="H441" s="12" t="s">
        <v>41</v>
      </c>
      <c r="I441" s="10"/>
      <c r="J441" s="12"/>
      <c r="K441" s="14"/>
      <c r="L441" s="14" t="s">
        <v>52</v>
      </c>
      <c r="M441" s="12" t="s">
        <v>84</v>
      </c>
      <c r="N441" s="12" t="s">
        <v>420</v>
      </c>
      <c r="O441" s="12"/>
      <c r="P441" s="12"/>
      <c r="Q441" s="30"/>
      <c r="R441" s="29" t="s">
        <v>47</v>
      </c>
      <c r="S441" s="10" t="s">
        <v>55</v>
      </c>
      <c r="T441" s="13">
        <v>0</v>
      </c>
      <c r="U441" s="13">
        <v>0</v>
      </c>
      <c r="V441" s="13">
        <v>0</v>
      </c>
      <c r="W441" s="13">
        <v>0</v>
      </c>
      <c r="X441" s="13">
        <v>0</v>
      </c>
      <c r="Y441" s="1">
        <f>AVERAGE(U441:X441)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15" t="s">
        <v>446</v>
      </c>
      <c r="B442" s="8" t="s">
        <v>68</v>
      </c>
      <c r="C442" s="11">
        <v>0.7</v>
      </c>
      <c r="D442" s="18">
        <v>1400</v>
      </c>
      <c r="E442" s="18" t="s">
        <v>41</v>
      </c>
      <c r="F442" s="23"/>
      <c r="G442" s="9" t="s">
        <v>447</v>
      </c>
      <c r="H442" s="10" t="s">
        <v>41</v>
      </c>
      <c r="I442" s="10"/>
      <c r="J442" s="10"/>
      <c r="K442" s="11"/>
      <c r="L442" s="11" t="s">
        <v>296</v>
      </c>
      <c r="M442" s="10" t="s">
        <v>195</v>
      </c>
      <c r="N442" s="10" t="s">
        <v>377</v>
      </c>
      <c r="O442" s="12"/>
      <c r="P442" s="10"/>
      <c r="Q442" s="29"/>
      <c r="R442" s="29" t="s">
        <v>47</v>
      </c>
      <c r="S442" s="10" t="s">
        <v>47</v>
      </c>
      <c r="T442" s="13">
        <v>0</v>
      </c>
      <c r="U442" s="13">
        <v>0</v>
      </c>
      <c r="V442" s="13">
        <v>0</v>
      </c>
      <c r="W442" s="13">
        <v>0</v>
      </c>
      <c r="X442" s="13">
        <v>0</v>
      </c>
      <c r="Y442" s="1">
        <f>AVERAGE(U442:X442)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15" t="s">
        <v>448</v>
      </c>
      <c r="B443" s="8" t="s">
        <v>68</v>
      </c>
      <c r="C443" s="11">
        <v>0.7</v>
      </c>
      <c r="D443" s="18">
        <v>900</v>
      </c>
      <c r="E443" s="18" t="s">
        <v>41</v>
      </c>
      <c r="F443" s="23"/>
      <c r="G443" s="9" t="s">
        <v>449</v>
      </c>
      <c r="H443" s="12" t="s">
        <v>41</v>
      </c>
      <c r="I443" s="10"/>
      <c r="J443" s="12"/>
      <c r="K443" s="14"/>
      <c r="L443" s="14" t="s">
        <v>296</v>
      </c>
      <c r="M443" s="12" t="s">
        <v>195</v>
      </c>
      <c r="N443" s="12" t="s">
        <v>377</v>
      </c>
      <c r="O443" s="12"/>
      <c r="P443" s="12"/>
      <c r="Q443" s="30"/>
      <c r="R443" s="29" t="s">
        <v>47</v>
      </c>
      <c r="S443" s="10" t="s">
        <v>47</v>
      </c>
      <c r="T443" s="13">
        <v>0</v>
      </c>
      <c r="U443" s="13">
        <v>0</v>
      </c>
      <c r="V443" s="13">
        <v>0</v>
      </c>
      <c r="W443" s="13">
        <v>0</v>
      </c>
      <c r="X443" s="13">
        <v>0</v>
      </c>
      <c r="Y443" s="1">
        <f>AVERAGE(U443:X443)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15" t="s">
        <v>450</v>
      </c>
      <c r="B444" s="8" t="s">
        <v>68</v>
      </c>
      <c r="C444" s="11">
        <v>0.7</v>
      </c>
      <c r="D444" s="18">
        <v>1300</v>
      </c>
      <c r="E444" s="18" t="s">
        <v>41</v>
      </c>
      <c r="F444" s="23"/>
      <c r="G444" s="9" t="s">
        <v>451</v>
      </c>
      <c r="H444" s="12" t="s">
        <v>41</v>
      </c>
      <c r="I444" s="12"/>
      <c r="J444" s="12"/>
      <c r="K444" s="14"/>
      <c r="L444" s="14" t="s">
        <v>52</v>
      </c>
      <c r="M444" s="12" t="s">
        <v>195</v>
      </c>
      <c r="N444" s="10" t="s">
        <v>425</v>
      </c>
      <c r="O444" s="12"/>
      <c r="P444" s="12"/>
      <c r="Q444" s="30"/>
      <c r="R444" s="29" t="s">
        <v>47</v>
      </c>
      <c r="S444" s="12" t="s">
        <v>47</v>
      </c>
      <c r="T444" s="13">
        <v>0</v>
      </c>
      <c r="U444" s="13">
        <v>0</v>
      </c>
      <c r="V444" s="13">
        <v>0</v>
      </c>
      <c r="W444" s="13">
        <v>0</v>
      </c>
      <c r="X444" s="13">
        <v>0</v>
      </c>
      <c r="Y444" s="1">
        <f>AVERAGE(U444:X444)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15" t="s">
        <v>452</v>
      </c>
      <c r="B445" s="8" t="s">
        <v>68</v>
      </c>
      <c r="C445" s="11">
        <v>0.8</v>
      </c>
      <c r="D445" s="18">
        <v>1150</v>
      </c>
      <c r="E445" s="18" t="s">
        <v>41</v>
      </c>
      <c r="F445" s="23"/>
      <c r="G445" s="9" t="s">
        <v>453</v>
      </c>
      <c r="H445" s="12" t="s">
        <v>41</v>
      </c>
      <c r="I445" s="12"/>
      <c r="J445" s="12"/>
      <c r="K445" s="14"/>
      <c r="L445" s="14" t="s">
        <v>296</v>
      </c>
      <c r="M445" s="12" t="s">
        <v>195</v>
      </c>
      <c r="N445" s="12" t="s">
        <v>314</v>
      </c>
      <c r="O445" s="12"/>
      <c r="P445" s="12"/>
      <c r="Q445" s="30"/>
      <c r="R445" s="29" t="s">
        <v>47</v>
      </c>
      <c r="S445" s="12" t="s">
        <v>47</v>
      </c>
      <c r="T445" s="13">
        <v>0</v>
      </c>
      <c r="U445" s="13">
        <v>0</v>
      </c>
      <c r="V445" s="13">
        <v>0</v>
      </c>
      <c r="W445" s="13">
        <v>0</v>
      </c>
      <c r="X445" s="13">
        <v>0</v>
      </c>
      <c r="Y445" s="1">
        <f>AVERAGE(U445:X445)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15" t="s">
        <v>454</v>
      </c>
      <c r="B446" s="8" t="s">
        <v>68</v>
      </c>
      <c r="C446" s="11">
        <v>0.8</v>
      </c>
      <c r="D446" s="18">
        <v>1400</v>
      </c>
      <c r="E446" s="18" t="s">
        <v>41</v>
      </c>
      <c r="F446" s="23"/>
      <c r="G446" s="9" t="s">
        <v>455</v>
      </c>
      <c r="H446" s="10" t="s">
        <v>41</v>
      </c>
      <c r="I446" s="10"/>
      <c r="J446" s="10"/>
      <c r="K446" s="11"/>
      <c r="L446" s="11" t="s">
        <v>52</v>
      </c>
      <c r="M446" s="10" t="s">
        <v>164</v>
      </c>
      <c r="N446" s="10" t="s">
        <v>456</v>
      </c>
      <c r="O446" s="12"/>
      <c r="P446" s="10" t="s">
        <v>47</v>
      </c>
      <c r="Q446" s="29" t="s">
        <v>47</v>
      </c>
      <c r="R446" s="29" t="s">
        <v>47</v>
      </c>
      <c r="S446" s="10" t="s">
        <v>55</v>
      </c>
      <c r="T446" s="13">
        <v>0</v>
      </c>
      <c r="U446" s="13">
        <v>0</v>
      </c>
      <c r="V446" s="13">
        <v>0</v>
      </c>
      <c r="W446" s="13">
        <v>0</v>
      </c>
      <c r="X446" s="13">
        <v>0</v>
      </c>
      <c r="Y446" s="1">
        <f>AVERAGE(U446:X446)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15" t="s">
        <v>457</v>
      </c>
      <c r="B447" s="8" t="s">
        <v>68</v>
      </c>
      <c r="C447" s="11">
        <v>0.8</v>
      </c>
      <c r="D447" s="18">
        <v>1400</v>
      </c>
      <c r="E447" s="18" t="s">
        <v>41</v>
      </c>
      <c r="F447" s="23"/>
      <c r="G447" s="9" t="s">
        <v>458</v>
      </c>
      <c r="H447" s="12" t="s">
        <v>41</v>
      </c>
      <c r="I447" s="12"/>
      <c r="J447" s="12"/>
      <c r="K447" s="14"/>
      <c r="L447" s="14" t="s">
        <v>296</v>
      </c>
      <c r="M447" s="12" t="s">
        <v>195</v>
      </c>
      <c r="N447" s="12" t="s">
        <v>314</v>
      </c>
      <c r="O447" s="12"/>
      <c r="P447" s="12"/>
      <c r="Q447" s="30"/>
      <c r="R447" s="29" t="s">
        <v>47</v>
      </c>
      <c r="S447" s="12" t="s">
        <v>47</v>
      </c>
      <c r="T447" s="13">
        <v>0</v>
      </c>
      <c r="U447" s="13">
        <v>0</v>
      </c>
      <c r="V447" s="13">
        <v>0</v>
      </c>
      <c r="W447" s="13">
        <v>0</v>
      </c>
      <c r="X447" s="13">
        <v>0</v>
      </c>
      <c r="Y447" s="1">
        <f>AVERAGE(U447:X447)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15" t="s">
        <v>459</v>
      </c>
      <c r="B448" s="8" t="s">
        <v>68</v>
      </c>
      <c r="C448" s="11">
        <v>0.8</v>
      </c>
      <c r="D448" s="18">
        <v>930</v>
      </c>
      <c r="E448" s="18" t="s">
        <v>41</v>
      </c>
      <c r="F448" s="23"/>
      <c r="G448" s="9" t="s">
        <v>460</v>
      </c>
      <c r="H448" s="12" t="s">
        <v>41</v>
      </c>
      <c r="I448" s="10"/>
      <c r="J448" s="12"/>
      <c r="K448" s="14"/>
      <c r="L448" s="14" t="s">
        <v>296</v>
      </c>
      <c r="M448" s="12" t="s">
        <v>195</v>
      </c>
      <c r="N448" s="12" t="s">
        <v>314</v>
      </c>
      <c r="O448" s="12"/>
      <c r="P448" s="12"/>
      <c r="Q448" s="30"/>
      <c r="R448" s="29" t="s">
        <v>47</v>
      </c>
      <c r="S448" s="10" t="s">
        <v>47</v>
      </c>
      <c r="T448" s="13">
        <v>0</v>
      </c>
      <c r="U448" s="13">
        <v>0</v>
      </c>
      <c r="V448" s="13">
        <v>0</v>
      </c>
      <c r="W448" s="13">
        <v>0</v>
      </c>
      <c r="X448" s="13">
        <v>0</v>
      </c>
      <c r="Y448" s="1">
        <f>AVERAGE(U448:X448)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15" t="s">
        <v>461</v>
      </c>
      <c r="B449" s="8" t="s">
        <v>68</v>
      </c>
      <c r="C449" s="11">
        <v>0.9</v>
      </c>
      <c r="D449" s="18">
        <v>1300</v>
      </c>
      <c r="E449" s="18" t="s">
        <v>41</v>
      </c>
      <c r="F449" s="23"/>
      <c r="G449" s="9" t="s">
        <v>462</v>
      </c>
      <c r="H449" s="10" t="s">
        <v>41</v>
      </c>
      <c r="I449" s="10"/>
      <c r="J449" s="10"/>
      <c r="K449" s="11"/>
      <c r="L449" s="11" t="s">
        <v>296</v>
      </c>
      <c r="M449" s="10" t="s">
        <v>195</v>
      </c>
      <c r="N449" s="10" t="s">
        <v>314</v>
      </c>
      <c r="O449" s="12"/>
      <c r="P449" s="10"/>
      <c r="Q449" s="29"/>
      <c r="R449" s="29" t="s">
        <v>47</v>
      </c>
      <c r="S449" s="10" t="s">
        <v>47</v>
      </c>
      <c r="T449" s="13">
        <v>0</v>
      </c>
      <c r="U449" s="13">
        <v>0</v>
      </c>
      <c r="V449" s="13">
        <v>0</v>
      </c>
      <c r="W449" s="13">
        <v>0</v>
      </c>
      <c r="X449" s="13">
        <v>0</v>
      </c>
      <c r="Y449" s="1">
        <f>AVERAGE(U449:X449)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15" t="s">
        <v>463</v>
      </c>
      <c r="B450" s="8" t="s">
        <v>68</v>
      </c>
      <c r="C450" s="11">
        <v>1</v>
      </c>
      <c r="D450" s="18">
        <v>1300</v>
      </c>
      <c r="E450" s="18" t="s">
        <v>41</v>
      </c>
      <c r="F450" s="23"/>
      <c r="G450" s="9" t="s">
        <v>464</v>
      </c>
      <c r="H450" s="12" t="s">
        <v>41</v>
      </c>
      <c r="I450" s="10"/>
      <c r="J450" s="12"/>
      <c r="K450" s="14"/>
      <c r="L450" s="14" t="s">
        <v>296</v>
      </c>
      <c r="M450" s="12" t="s">
        <v>164</v>
      </c>
      <c r="N450" s="12" t="s">
        <v>382</v>
      </c>
      <c r="O450" s="12"/>
      <c r="P450" s="12"/>
      <c r="Q450" s="30"/>
      <c r="R450" s="29" t="s">
        <v>47</v>
      </c>
      <c r="S450" s="10" t="s">
        <v>47</v>
      </c>
      <c r="T450" s="13">
        <v>0</v>
      </c>
      <c r="U450" s="13">
        <v>0</v>
      </c>
      <c r="V450" s="13">
        <v>0</v>
      </c>
      <c r="W450" s="13">
        <v>0</v>
      </c>
      <c r="X450" s="13">
        <v>0</v>
      </c>
      <c r="Y450" s="1">
        <f>AVERAGE(U450:X450)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15" t="s">
        <v>465</v>
      </c>
      <c r="B451" s="8" t="s">
        <v>68</v>
      </c>
      <c r="C451" s="11">
        <v>1</v>
      </c>
      <c r="D451" s="18">
        <v>1200</v>
      </c>
      <c r="E451" s="18" t="s">
        <v>41</v>
      </c>
      <c r="F451" s="23"/>
      <c r="G451" s="9" t="s">
        <v>466</v>
      </c>
      <c r="H451" s="10" t="s">
        <v>41</v>
      </c>
      <c r="I451" s="10"/>
      <c r="J451" s="10"/>
      <c r="K451" s="11"/>
      <c r="L451" s="11" t="s">
        <v>296</v>
      </c>
      <c r="M451" s="10" t="s">
        <v>195</v>
      </c>
      <c r="N451" s="10" t="s">
        <v>425</v>
      </c>
      <c r="O451" s="12"/>
      <c r="P451" s="10"/>
      <c r="Q451" s="29"/>
      <c r="R451" s="29" t="s">
        <v>47</v>
      </c>
      <c r="S451" s="10" t="s">
        <v>47</v>
      </c>
      <c r="T451" s="13">
        <v>0</v>
      </c>
      <c r="U451" s="13">
        <v>0</v>
      </c>
      <c r="V451" s="13">
        <v>0</v>
      </c>
      <c r="W451" s="13">
        <v>0</v>
      </c>
      <c r="X451" s="13">
        <v>0</v>
      </c>
      <c r="Y451" s="1">
        <f>AVERAGE(U451:X451)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15" t="s">
        <v>467</v>
      </c>
      <c r="B452" s="8" t="s">
        <v>68</v>
      </c>
      <c r="C452" s="11">
        <v>1.2</v>
      </c>
      <c r="D452" s="18">
        <v>1000</v>
      </c>
      <c r="E452" s="18" t="s">
        <v>41</v>
      </c>
      <c r="F452" s="23"/>
      <c r="G452" s="9" t="s">
        <v>468</v>
      </c>
      <c r="H452" s="10" t="s">
        <v>41</v>
      </c>
      <c r="I452" s="10"/>
      <c r="J452" s="10"/>
      <c r="K452" s="11"/>
      <c r="L452" s="11" t="s">
        <v>52</v>
      </c>
      <c r="M452" s="12" t="s">
        <v>84</v>
      </c>
      <c r="N452" s="10" t="s">
        <v>456</v>
      </c>
      <c r="O452" s="12"/>
      <c r="P452" s="10"/>
      <c r="Q452" s="29"/>
      <c r="R452" s="29" t="s">
        <v>47</v>
      </c>
      <c r="S452" s="10" t="s">
        <v>47</v>
      </c>
      <c r="T452" s="13">
        <v>0</v>
      </c>
      <c r="U452" s="13">
        <v>0</v>
      </c>
      <c r="V452" s="13">
        <v>0</v>
      </c>
      <c r="W452" s="13">
        <v>0</v>
      </c>
      <c r="X452" s="13">
        <v>0</v>
      </c>
      <c r="Y452" s="1">
        <f>AVERAGE(U452:X452)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15" t="s">
        <v>469</v>
      </c>
      <c r="B453" s="8" t="s">
        <v>68</v>
      </c>
      <c r="C453" s="11">
        <v>1.3</v>
      </c>
      <c r="D453" s="18">
        <v>950</v>
      </c>
      <c r="E453" s="18" t="s">
        <v>41</v>
      </c>
      <c r="F453" s="23"/>
      <c r="G453" s="9" t="s">
        <v>470</v>
      </c>
      <c r="H453" s="10" t="s">
        <v>41</v>
      </c>
      <c r="I453" s="10"/>
      <c r="J453" s="10"/>
      <c r="K453" s="11"/>
      <c r="L453" s="11" t="s">
        <v>52</v>
      </c>
      <c r="M453" s="10" t="s">
        <v>164</v>
      </c>
      <c r="N453" s="10" t="s">
        <v>456</v>
      </c>
      <c r="O453" s="12"/>
      <c r="P453" s="10"/>
      <c r="Q453" s="29"/>
      <c r="R453" s="29" t="s">
        <v>47</v>
      </c>
      <c r="S453" s="10" t="s">
        <v>47</v>
      </c>
      <c r="T453" s="13">
        <v>0</v>
      </c>
      <c r="U453" s="13">
        <v>0</v>
      </c>
      <c r="V453" s="13">
        <v>0</v>
      </c>
      <c r="W453" s="13">
        <v>0</v>
      </c>
      <c r="X453" s="13">
        <v>0</v>
      </c>
      <c r="Y453" s="1">
        <f>AVERAGE(U453:X453)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15" t="s">
        <v>471</v>
      </c>
      <c r="B454" s="8" t="s">
        <v>68</v>
      </c>
      <c r="C454" s="11">
        <v>1.5</v>
      </c>
      <c r="D454" s="18">
        <v>900</v>
      </c>
      <c r="E454" s="18" t="s">
        <v>41</v>
      </c>
      <c r="F454" s="23"/>
      <c r="G454" s="9" t="s">
        <v>472</v>
      </c>
      <c r="H454" s="10" t="s">
        <v>41</v>
      </c>
      <c r="I454" s="10"/>
      <c r="J454" s="10"/>
      <c r="K454" s="11"/>
      <c r="L454" s="11" t="s">
        <v>296</v>
      </c>
      <c r="M454" s="10" t="s">
        <v>195</v>
      </c>
      <c r="N454" s="10" t="s">
        <v>314</v>
      </c>
      <c r="O454" s="12"/>
      <c r="P454" s="10"/>
      <c r="Q454" s="29"/>
      <c r="R454" s="29" t="s">
        <v>47</v>
      </c>
      <c r="S454" s="10" t="s">
        <v>47</v>
      </c>
      <c r="T454" s="13">
        <v>0</v>
      </c>
      <c r="U454" s="13">
        <v>0</v>
      </c>
      <c r="V454" s="13">
        <v>0</v>
      </c>
      <c r="W454" s="13">
        <v>0</v>
      </c>
      <c r="X454" s="13">
        <v>0</v>
      </c>
      <c r="Y454" s="1">
        <f>AVERAGE(U454:X454)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15" t="s">
        <v>473</v>
      </c>
      <c r="B455" s="8" t="s">
        <v>68</v>
      </c>
      <c r="C455" s="11">
        <v>1.5</v>
      </c>
      <c r="D455" s="18">
        <v>1300</v>
      </c>
      <c r="E455" s="18" t="s">
        <v>41</v>
      </c>
      <c r="F455" s="23"/>
      <c r="G455" s="9" t="s">
        <v>474</v>
      </c>
      <c r="H455" s="10" t="s">
        <v>41</v>
      </c>
      <c r="I455" s="10"/>
      <c r="J455" s="10"/>
      <c r="K455" s="11"/>
      <c r="L455" s="11" t="s">
        <v>296</v>
      </c>
      <c r="M455" s="10" t="s">
        <v>195</v>
      </c>
      <c r="N455" s="10" t="s">
        <v>425</v>
      </c>
      <c r="O455" s="12"/>
      <c r="P455" s="10"/>
      <c r="Q455" s="29"/>
      <c r="R455" s="29" t="s">
        <v>47</v>
      </c>
      <c r="S455" s="10" t="s">
        <v>47</v>
      </c>
      <c r="T455" s="13">
        <v>0</v>
      </c>
      <c r="U455" s="13">
        <v>0</v>
      </c>
      <c r="V455" s="13">
        <v>0</v>
      </c>
      <c r="W455" s="13">
        <v>0</v>
      </c>
      <c r="X455" s="13">
        <v>0</v>
      </c>
      <c r="Y455" s="1">
        <f>AVERAGE(U455:X455)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15" t="s">
        <v>475</v>
      </c>
      <c r="B456" s="8" t="s">
        <v>68</v>
      </c>
      <c r="C456" s="11">
        <v>1.5</v>
      </c>
      <c r="D456" s="18">
        <v>1200</v>
      </c>
      <c r="E456" s="18" t="s">
        <v>41</v>
      </c>
      <c r="F456" s="23"/>
      <c r="G456" s="9" t="s">
        <v>476</v>
      </c>
      <c r="H456" s="12" t="s">
        <v>41</v>
      </c>
      <c r="I456" s="12"/>
      <c r="J456" s="12"/>
      <c r="K456" s="14"/>
      <c r="L456" s="14" t="s">
        <v>296</v>
      </c>
      <c r="M456" s="12" t="s">
        <v>195</v>
      </c>
      <c r="N456" s="12" t="s">
        <v>425</v>
      </c>
      <c r="O456" s="12"/>
      <c r="P456" s="12"/>
      <c r="Q456" s="30"/>
      <c r="R456" s="29" t="s">
        <v>47</v>
      </c>
      <c r="S456" s="12" t="s">
        <v>47</v>
      </c>
      <c r="T456" s="13">
        <v>0</v>
      </c>
      <c r="U456" s="13">
        <v>0</v>
      </c>
      <c r="V456" s="13">
        <v>0</v>
      </c>
      <c r="W456" s="13">
        <v>0</v>
      </c>
      <c r="X456" s="13">
        <v>0</v>
      </c>
      <c r="Y456" s="1">
        <f>AVERAGE(U456:X456)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15" t="s">
        <v>477</v>
      </c>
      <c r="B457" s="8" t="s">
        <v>68</v>
      </c>
      <c r="C457" s="11">
        <v>1.5</v>
      </c>
      <c r="D457" s="18">
        <v>1050</v>
      </c>
      <c r="E457" s="18" t="s">
        <v>41</v>
      </c>
      <c r="F457" s="23"/>
      <c r="G457" s="9" t="s">
        <v>478</v>
      </c>
      <c r="H457" s="10" t="s">
        <v>41</v>
      </c>
      <c r="I457" s="10"/>
      <c r="J457" s="10"/>
      <c r="K457" s="11"/>
      <c r="L457" s="11" t="s">
        <v>296</v>
      </c>
      <c r="M457" s="10" t="s">
        <v>195</v>
      </c>
      <c r="N457" s="10" t="s">
        <v>425</v>
      </c>
      <c r="O457" s="12"/>
      <c r="P457" s="10"/>
      <c r="Q457" s="29"/>
      <c r="R457" s="29" t="s">
        <v>47</v>
      </c>
      <c r="S457" s="10" t="s">
        <v>47</v>
      </c>
      <c r="T457" s="13">
        <v>0</v>
      </c>
      <c r="U457" s="13">
        <v>0</v>
      </c>
      <c r="V457" s="13">
        <v>0</v>
      </c>
      <c r="W457" s="13">
        <v>0</v>
      </c>
      <c r="X457" s="13">
        <v>0</v>
      </c>
      <c r="Y457" s="1">
        <f>AVERAGE(U457:X457)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15" t="s">
        <v>479</v>
      </c>
      <c r="B458" s="8" t="s">
        <v>68</v>
      </c>
      <c r="C458" s="11">
        <v>1.75</v>
      </c>
      <c r="D458" s="18">
        <v>1000</v>
      </c>
      <c r="E458" s="18" t="s">
        <v>41</v>
      </c>
      <c r="F458" s="23"/>
      <c r="G458" s="9" t="s">
        <v>480</v>
      </c>
      <c r="H458" s="12" t="s">
        <v>41</v>
      </c>
      <c r="I458" s="10"/>
      <c r="J458" s="12"/>
      <c r="K458" s="14"/>
      <c r="L458" s="14" t="s">
        <v>296</v>
      </c>
      <c r="M458" s="12" t="s">
        <v>195</v>
      </c>
      <c r="N458" s="12" t="s">
        <v>443</v>
      </c>
      <c r="O458" s="12"/>
      <c r="P458" s="12"/>
      <c r="Q458" s="30"/>
      <c r="R458" s="29" t="s">
        <v>47</v>
      </c>
      <c r="S458" s="10" t="s">
        <v>47</v>
      </c>
      <c r="T458" s="13">
        <v>0</v>
      </c>
      <c r="U458" s="13">
        <v>0</v>
      </c>
      <c r="V458" s="13">
        <v>0</v>
      </c>
      <c r="W458" s="13">
        <v>0</v>
      </c>
      <c r="X458" s="13">
        <v>0</v>
      </c>
      <c r="Y458" s="1">
        <f>AVERAGE(U458:X458)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15" t="s">
        <v>481</v>
      </c>
      <c r="B459" s="8"/>
      <c r="C459" s="11"/>
      <c r="D459" s="18"/>
      <c r="E459" s="18"/>
      <c r="F459" s="23"/>
      <c r="G459" s="9" t="s">
        <v>237</v>
      </c>
      <c r="H459" s="10"/>
      <c r="I459" s="10"/>
      <c r="J459" s="10"/>
      <c r="K459" s="11"/>
      <c r="L459" s="11" t="s">
        <v>186</v>
      </c>
      <c r="M459" s="12"/>
      <c r="N459" s="10"/>
      <c r="O459" s="12"/>
      <c r="P459" s="10"/>
      <c r="Q459" s="29"/>
      <c r="R459" s="29" t="s">
        <v>47</v>
      </c>
      <c r="S459" s="30" t="s">
        <v>55</v>
      </c>
      <c r="T459" s="13">
        <v>0</v>
      </c>
      <c r="U459" s="13">
        <v>0</v>
      </c>
      <c r="V459" s="13">
        <v>0</v>
      </c>
      <c r="W459" s="13">
        <v>0</v>
      </c>
      <c r="X459" s="13">
        <v>0</v>
      </c>
      <c r="Y459" s="1">
        <f>AVERAGE(U459:X459)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15" t="s">
        <v>482</v>
      </c>
      <c r="B460" s="8" t="s">
        <v>49</v>
      </c>
      <c r="C460" s="11">
        <v>2</v>
      </c>
      <c r="D460" s="18">
        <v>1100</v>
      </c>
      <c r="E460" s="18" t="s">
        <v>41</v>
      </c>
      <c r="F460" s="23"/>
      <c r="G460" s="9" t="s">
        <v>483</v>
      </c>
      <c r="H460" s="12" t="s">
        <v>41</v>
      </c>
      <c r="I460" s="12"/>
      <c r="J460" s="12"/>
      <c r="K460" s="14"/>
      <c r="L460" s="14" t="s">
        <v>296</v>
      </c>
      <c r="M460" s="12" t="s">
        <v>93</v>
      </c>
      <c r="N460" s="12" t="s">
        <v>484</v>
      </c>
      <c r="O460" s="12"/>
      <c r="P460" s="12"/>
      <c r="Q460" s="30"/>
      <c r="R460" s="29" t="s">
        <v>47</v>
      </c>
      <c r="S460" s="10" t="s">
        <v>47</v>
      </c>
      <c r="T460" s="13">
        <v>0</v>
      </c>
      <c r="U460" s="13">
        <v>0</v>
      </c>
      <c r="V460" s="13">
        <v>0</v>
      </c>
      <c r="W460" s="13">
        <v>0</v>
      </c>
      <c r="X460" s="13">
        <v>0</v>
      </c>
      <c r="Y460" s="1">
        <f>AVERAGE(U460:X460)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15" t="s">
        <v>485</v>
      </c>
      <c r="B461" s="8" t="s">
        <v>49</v>
      </c>
      <c r="C461" s="11">
        <v>2</v>
      </c>
      <c r="D461" s="18">
        <v>1000</v>
      </c>
      <c r="E461" s="18" t="s">
        <v>41</v>
      </c>
      <c r="F461" s="23"/>
      <c r="G461" s="9" t="s">
        <v>486</v>
      </c>
      <c r="H461" s="12" t="s">
        <v>41</v>
      </c>
      <c r="I461" s="12"/>
      <c r="J461" s="12"/>
      <c r="K461" s="14"/>
      <c r="L461" s="14" t="s">
        <v>296</v>
      </c>
      <c r="M461" s="12" t="s">
        <v>164</v>
      </c>
      <c r="N461" s="12"/>
      <c r="O461" s="12"/>
      <c r="P461" s="12"/>
      <c r="Q461" s="30"/>
      <c r="R461" s="29" t="s">
        <v>47</v>
      </c>
      <c r="S461" s="12" t="s">
        <v>47</v>
      </c>
      <c r="T461" s="13">
        <v>0</v>
      </c>
      <c r="U461" s="13">
        <v>0</v>
      </c>
      <c r="V461" s="13">
        <v>0</v>
      </c>
      <c r="W461" s="13">
        <v>0</v>
      </c>
      <c r="X461" s="13">
        <v>0</v>
      </c>
      <c r="Y461" s="1">
        <f>AVERAGE(U461:X461)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15" t="s">
        <v>487</v>
      </c>
      <c r="B462" s="8" t="s">
        <v>49</v>
      </c>
      <c r="C462" s="11">
        <v>3.75</v>
      </c>
      <c r="D462" s="18">
        <v>1300</v>
      </c>
      <c r="E462" s="18" t="s">
        <v>41</v>
      </c>
      <c r="F462" s="23"/>
      <c r="G462" s="9" t="s">
        <v>58</v>
      </c>
      <c r="H462" s="12" t="s">
        <v>41</v>
      </c>
      <c r="I462" s="12"/>
      <c r="J462" s="12"/>
      <c r="K462" s="14"/>
      <c r="L462" s="14" t="s">
        <v>52</v>
      </c>
      <c r="M462" s="10" t="s">
        <v>75</v>
      </c>
      <c r="N462" s="12" t="s">
        <v>60</v>
      </c>
      <c r="O462" s="12"/>
      <c r="P462" s="12" t="s">
        <v>47</v>
      </c>
      <c r="Q462" s="30" t="s">
        <v>47</v>
      </c>
      <c r="R462" s="29" t="s">
        <v>47</v>
      </c>
      <c r="S462" s="12" t="s">
        <v>55</v>
      </c>
      <c r="T462" s="13">
        <v>0</v>
      </c>
      <c r="U462" s="13">
        <v>0</v>
      </c>
      <c r="V462" s="13">
        <v>0</v>
      </c>
      <c r="W462" s="13">
        <v>0</v>
      </c>
      <c r="X462" s="13">
        <v>0</v>
      </c>
      <c r="Y462" s="1">
        <f>AVERAGE(U462:X462)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15" t="s">
        <v>488</v>
      </c>
      <c r="B463" s="8" t="s">
        <v>49</v>
      </c>
      <c r="C463" s="11">
        <v>4.5</v>
      </c>
      <c r="D463" s="18">
        <v>1200</v>
      </c>
      <c r="E463" s="18" t="s">
        <v>41</v>
      </c>
      <c r="F463" s="23"/>
      <c r="G463" s="9" t="s">
        <v>489</v>
      </c>
      <c r="H463" s="12" t="s">
        <v>41</v>
      </c>
      <c r="I463" s="10"/>
      <c r="J463" s="12"/>
      <c r="K463" s="14"/>
      <c r="L463" s="14" t="s">
        <v>296</v>
      </c>
      <c r="M463" s="12" t="s">
        <v>490</v>
      </c>
      <c r="N463" s="12" t="s">
        <v>491</v>
      </c>
      <c r="O463" s="12"/>
      <c r="P463" s="12"/>
      <c r="Q463" s="30"/>
      <c r="R463" s="29" t="s">
        <v>47</v>
      </c>
      <c r="S463" s="10" t="s">
        <v>47</v>
      </c>
      <c r="T463" s="13">
        <v>0</v>
      </c>
      <c r="U463" s="13">
        <v>0</v>
      </c>
      <c r="V463" s="13">
        <v>0</v>
      </c>
      <c r="W463" s="13">
        <v>0</v>
      </c>
      <c r="X463" s="13">
        <v>0</v>
      </c>
      <c r="Y463" s="1">
        <f>AVERAGE(U463:X463)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15" t="s">
        <v>492</v>
      </c>
      <c r="B464" s="8" t="s">
        <v>49</v>
      </c>
      <c r="C464" s="11">
        <v>5.75</v>
      </c>
      <c r="D464" s="18">
        <v>1150</v>
      </c>
      <c r="E464" s="18" t="s">
        <v>41</v>
      </c>
      <c r="F464" s="23" t="s">
        <v>493</v>
      </c>
      <c r="G464" s="9" t="s">
        <v>58</v>
      </c>
      <c r="H464" s="10" t="s">
        <v>41</v>
      </c>
      <c r="I464" s="10"/>
      <c r="J464" s="10"/>
      <c r="K464" s="11"/>
      <c r="L464" s="11" t="s">
        <v>52</v>
      </c>
      <c r="M464" s="10" t="s">
        <v>494</v>
      </c>
      <c r="N464" s="10" t="s">
        <v>60</v>
      </c>
      <c r="O464" s="12"/>
      <c r="P464" s="10" t="s">
        <v>47</v>
      </c>
      <c r="Q464" s="29" t="s">
        <v>47</v>
      </c>
      <c r="R464" s="29" t="s">
        <v>47</v>
      </c>
      <c r="S464" s="10" t="s">
        <v>55</v>
      </c>
      <c r="T464" s="13">
        <v>0</v>
      </c>
      <c r="U464" s="13">
        <v>0</v>
      </c>
      <c r="V464" s="13">
        <v>0</v>
      </c>
      <c r="W464" s="13">
        <v>0</v>
      </c>
      <c r="X464" s="13">
        <v>0</v>
      </c>
      <c r="Y464" s="1">
        <f>AVERAGE(U464:X464)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15" t="s">
        <v>495</v>
      </c>
      <c r="B465" s="8" t="s">
        <v>49</v>
      </c>
      <c r="C465" s="11">
        <v>5.75</v>
      </c>
      <c r="D465" s="18">
        <v>1150</v>
      </c>
      <c r="E465" s="18" t="s">
        <v>41</v>
      </c>
      <c r="F465" s="23" t="s">
        <v>50</v>
      </c>
      <c r="G465" s="9" t="s">
        <v>496</v>
      </c>
      <c r="H465" s="12" t="s">
        <v>41</v>
      </c>
      <c r="I465" s="10"/>
      <c r="J465" s="12"/>
      <c r="K465" s="14"/>
      <c r="L465" s="14" t="s">
        <v>74</v>
      </c>
      <c r="M465" s="10" t="s">
        <v>497</v>
      </c>
      <c r="N465" s="12" t="s">
        <v>107</v>
      </c>
      <c r="O465" s="12"/>
      <c r="P465" s="12" t="s">
        <v>47</v>
      </c>
      <c r="Q465" s="30" t="s">
        <v>47</v>
      </c>
      <c r="R465" s="29" t="s">
        <v>47</v>
      </c>
      <c r="S465" s="10" t="s">
        <v>55</v>
      </c>
      <c r="T465" s="13">
        <v>0</v>
      </c>
      <c r="U465" s="13">
        <v>0</v>
      </c>
      <c r="V465" s="13">
        <v>0</v>
      </c>
      <c r="W465" s="13">
        <v>0</v>
      </c>
      <c r="X465" s="13">
        <v>0</v>
      </c>
      <c r="Y465" s="1">
        <f>AVERAGE(U465:X465)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15" t="s">
        <v>498</v>
      </c>
      <c r="B466" s="8" t="s">
        <v>49</v>
      </c>
      <c r="C466" s="11">
        <v>8</v>
      </c>
      <c r="D466" s="18">
        <v>1200</v>
      </c>
      <c r="E466" s="18" t="s">
        <v>41</v>
      </c>
      <c r="F466" s="23"/>
      <c r="G466" s="9" t="s">
        <v>499</v>
      </c>
      <c r="H466" s="10" t="s">
        <v>41</v>
      </c>
      <c r="I466" s="10"/>
      <c r="J466" s="10"/>
      <c r="K466" s="11"/>
      <c r="L466" s="11" t="s">
        <v>52</v>
      </c>
      <c r="M466" s="10" t="s">
        <v>155</v>
      </c>
      <c r="N466" s="10" t="s">
        <v>94</v>
      </c>
      <c r="O466" s="12"/>
      <c r="P466" s="10" t="s">
        <v>47</v>
      </c>
      <c r="Q466" s="29" t="s">
        <v>47</v>
      </c>
      <c r="R466" s="29" t="s">
        <v>47</v>
      </c>
      <c r="S466" s="10" t="s">
        <v>55</v>
      </c>
      <c r="T466" s="13">
        <v>0</v>
      </c>
      <c r="U466" s="13">
        <v>0</v>
      </c>
      <c r="V466" s="13">
        <v>0</v>
      </c>
      <c r="W466" s="13">
        <v>0</v>
      </c>
      <c r="X466" s="13">
        <v>0</v>
      </c>
      <c r="Y466" s="1">
        <f>AVERAGE(U466:X466)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15" t="s">
        <v>500</v>
      </c>
      <c r="B467" s="8" t="s">
        <v>49</v>
      </c>
      <c r="C467" s="11">
        <v>8</v>
      </c>
      <c r="D467" s="18">
        <v>1300</v>
      </c>
      <c r="E467" s="18" t="s">
        <v>41</v>
      </c>
      <c r="F467" s="23"/>
      <c r="G467" s="9" t="s">
        <v>110</v>
      </c>
      <c r="H467" s="12" t="s">
        <v>41</v>
      </c>
      <c r="I467" s="12"/>
      <c r="J467" s="12"/>
      <c r="K467" s="14"/>
      <c r="L467" s="14" t="s">
        <v>52</v>
      </c>
      <c r="M467" s="12" t="s">
        <v>155</v>
      </c>
      <c r="N467" s="12" t="s">
        <v>94</v>
      </c>
      <c r="O467" s="12"/>
      <c r="P467" s="12"/>
      <c r="Q467" s="30"/>
      <c r="R467" s="29" t="s">
        <v>47</v>
      </c>
      <c r="S467" s="12" t="s">
        <v>55</v>
      </c>
      <c r="T467" s="13">
        <v>0</v>
      </c>
      <c r="U467" s="13">
        <v>0</v>
      </c>
      <c r="V467" s="13">
        <v>0</v>
      </c>
      <c r="W467" s="13">
        <v>0</v>
      </c>
      <c r="X467" s="13">
        <v>0</v>
      </c>
      <c r="Y467" s="1">
        <f>AVERAGE(U467:X467)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15" t="s">
        <v>501</v>
      </c>
      <c r="B468" s="8" t="s">
        <v>40</v>
      </c>
      <c r="C468" s="11">
        <v>0.6</v>
      </c>
      <c r="D468" s="18">
        <v>1400</v>
      </c>
      <c r="E468" s="18" t="s">
        <v>41</v>
      </c>
      <c r="F468" s="23"/>
      <c r="G468" s="9" t="s">
        <v>502</v>
      </c>
      <c r="H468" s="12" t="s">
        <v>41</v>
      </c>
      <c r="I468" s="10"/>
      <c r="J468" s="12"/>
      <c r="K468" s="14"/>
      <c r="L468" s="14" t="s">
        <v>296</v>
      </c>
      <c r="M468" s="12" t="s">
        <v>115</v>
      </c>
      <c r="N468" s="12" t="s">
        <v>429</v>
      </c>
      <c r="O468" s="12"/>
      <c r="P468" s="12"/>
      <c r="Q468" s="30"/>
      <c r="R468" s="29" t="s">
        <v>47</v>
      </c>
      <c r="S468" s="10" t="s">
        <v>47</v>
      </c>
      <c r="T468" s="13">
        <v>0</v>
      </c>
      <c r="U468" s="13">
        <v>0</v>
      </c>
      <c r="V468" s="13">
        <v>0</v>
      </c>
      <c r="W468" s="13">
        <v>0</v>
      </c>
      <c r="X468" s="13">
        <v>0</v>
      </c>
      <c r="Y468" s="1">
        <f>AVERAGE(U468:X468)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15" t="s">
        <v>503</v>
      </c>
      <c r="B469" s="8" t="s">
        <v>40</v>
      </c>
      <c r="C469" s="11">
        <v>0.6</v>
      </c>
      <c r="D469" s="18">
        <v>1000</v>
      </c>
      <c r="E469" s="18" t="s">
        <v>41</v>
      </c>
      <c r="F469" s="23"/>
      <c r="G469" s="9" t="s">
        <v>504</v>
      </c>
      <c r="H469" s="10" t="s">
        <v>41</v>
      </c>
      <c r="I469" s="10"/>
      <c r="J469" s="10"/>
      <c r="K469" s="11"/>
      <c r="L469" s="11" t="s">
        <v>296</v>
      </c>
      <c r="M469" s="10" t="s">
        <v>195</v>
      </c>
      <c r="N469" s="10" t="s">
        <v>505</v>
      </c>
      <c r="O469" s="12"/>
      <c r="P469" s="10"/>
      <c r="Q469" s="29"/>
      <c r="R469" s="29" t="s">
        <v>47</v>
      </c>
      <c r="S469" s="10" t="s">
        <v>47</v>
      </c>
      <c r="T469" s="13">
        <v>0</v>
      </c>
      <c r="U469" s="13">
        <v>0</v>
      </c>
      <c r="V469" s="13">
        <v>0</v>
      </c>
      <c r="W469" s="13">
        <v>0</v>
      </c>
      <c r="X469" s="13">
        <v>0</v>
      </c>
      <c r="Y469" s="1">
        <f>AVERAGE(U469:X469)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15" t="s">
        <v>506</v>
      </c>
      <c r="B470" s="8" t="s">
        <v>40</v>
      </c>
      <c r="C470" s="11">
        <v>0.65</v>
      </c>
      <c r="D470" s="18">
        <v>950</v>
      </c>
      <c r="E470" s="18" t="s">
        <v>41</v>
      </c>
      <c r="F470" s="23"/>
      <c r="G470" s="9" t="s">
        <v>507</v>
      </c>
      <c r="H470" s="12" t="s">
        <v>41</v>
      </c>
      <c r="I470" s="10"/>
      <c r="J470" s="12"/>
      <c r="K470" s="14"/>
      <c r="L470" s="14" t="s">
        <v>52</v>
      </c>
      <c r="M470" s="12" t="s">
        <v>164</v>
      </c>
      <c r="N470" s="12" t="s">
        <v>85</v>
      </c>
      <c r="O470" s="12"/>
      <c r="P470" s="12"/>
      <c r="Q470" s="30"/>
      <c r="R470" s="29" t="s">
        <v>47</v>
      </c>
      <c r="S470" s="12" t="s">
        <v>47</v>
      </c>
      <c r="T470" s="13">
        <v>0</v>
      </c>
      <c r="U470" s="13">
        <v>0</v>
      </c>
      <c r="V470" s="13">
        <v>0</v>
      </c>
      <c r="W470" s="13">
        <v>0</v>
      </c>
      <c r="X470" s="13">
        <v>0</v>
      </c>
      <c r="Y470" s="1">
        <f>AVERAGE(U470:X470)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15" t="s">
        <v>508</v>
      </c>
      <c r="B471" s="8" t="s">
        <v>40</v>
      </c>
      <c r="C471" s="11">
        <v>0.65</v>
      </c>
      <c r="D471" s="18">
        <v>1000</v>
      </c>
      <c r="E471" s="18" t="s">
        <v>41</v>
      </c>
      <c r="F471" s="23"/>
      <c r="G471" s="9" t="s">
        <v>509</v>
      </c>
      <c r="H471" s="12" t="s">
        <v>41</v>
      </c>
      <c r="I471" s="10"/>
      <c r="J471" s="12"/>
      <c r="K471" s="14"/>
      <c r="L471" s="14" t="s">
        <v>52</v>
      </c>
      <c r="M471" s="12" t="s">
        <v>164</v>
      </c>
      <c r="N471" s="12" t="s">
        <v>510</v>
      </c>
      <c r="O471" s="12"/>
      <c r="P471" s="12"/>
      <c r="Q471" s="30"/>
      <c r="R471" s="29" t="s">
        <v>47</v>
      </c>
      <c r="S471" s="10" t="s">
        <v>47</v>
      </c>
      <c r="T471" s="13">
        <v>0</v>
      </c>
      <c r="U471" s="13">
        <v>0</v>
      </c>
      <c r="V471" s="13">
        <v>0</v>
      </c>
      <c r="W471" s="13">
        <v>0</v>
      </c>
      <c r="X471" s="13">
        <v>0</v>
      </c>
      <c r="Y471" s="1">
        <f>AVERAGE(U471:X471)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15" t="s">
        <v>511</v>
      </c>
      <c r="B472" s="8" t="s">
        <v>40</v>
      </c>
      <c r="C472" s="11">
        <v>0.65</v>
      </c>
      <c r="D472" s="18">
        <v>1150</v>
      </c>
      <c r="E472" s="18" t="s">
        <v>41</v>
      </c>
      <c r="F472" s="23"/>
      <c r="G472" s="9" t="s">
        <v>512</v>
      </c>
      <c r="H472" s="12" t="s">
        <v>41</v>
      </c>
      <c r="I472" s="10"/>
      <c r="J472" s="12"/>
      <c r="K472" s="14"/>
      <c r="L472" s="14" t="s">
        <v>52</v>
      </c>
      <c r="M472" s="12" t="s">
        <v>513</v>
      </c>
      <c r="N472" s="12" t="s">
        <v>85</v>
      </c>
      <c r="O472" s="12"/>
      <c r="P472" s="12"/>
      <c r="Q472" s="30"/>
      <c r="R472" s="29" t="s">
        <v>47</v>
      </c>
      <c r="S472" s="10" t="s">
        <v>47</v>
      </c>
      <c r="T472" s="13">
        <v>0</v>
      </c>
      <c r="U472" s="13">
        <v>0</v>
      </c>
      <c r="V472" s="13">
        <v>0</v>
      </c>
      <c r="W472" s="13">
        <v>0</v>
      </c>
      <c r="X472" s="13">
        <v>0</v>
      </c>
      <c r="Y472" s="1">
        <f>AVERAGE(U472:X472)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15" t="s">
        <v>514</v>
      </c>
      <c r="B473" s="8" t="s">
        <v>40</v>
      </c>
      <c r="C473" s="11">
        <v>0.65</v>
      </c>
      <c r="D473" s="18">
        <v>1000</v>
      </c>
      <c r="E473" s="18" t="s">
        <v>41</v>
      </c>
      <c r="F473" s="23"/>
      <c r="G473" s="9" t="s">
        <v>515</v>
      </c>
      <c r="H473" s="10" t="s">
        <v>41</v>
      </c>
      <c r="I473" s="10"/>
      <c r="J473" s="10"/>
      <c r="K473" s="11"/>
      <c r="L473" s="11" t="s">
        <v>52</v>
      </c>
      <c r="M473" s="12" t="s">
        <v>84</v>
      </c>
      <c r="N473" s="10"/>
      <c r="O473" s="12"/>
      <c r="P473" s="10"/>
      <c r="Q473" s="29"/>
      <c r="R473" s="29" t="s">
        <v>47</v>
      </c>
      <c r="S473" s="10" t="s">
        <v>47</v>
      </c>
      <c r="T473" s="13">
        <v>0</v>
      </c>
      <c r="U473" s="13">
        <v>0</v>
      </c>
      <c r="V473" s="13">
        <v>0</v>
      </c>
      <c r="W473" s="13">
        <v>0</v>
      </c>
      <c r="X473" s="13">
        <v>0</v>
      </c>
      <c r="Y473" s="1">
        <f>AVERAGE(U473:X473)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15" t="s">
        <v>516</v>
      </c>
      <c r="B474" s="8" t="s">
        <v>40</v>
      </c>
      <c r="C474" s="11">
        <v>0.7</v>
      </c>
      <c r="D474" s="18">
        <v>1450</v>
      </c>
      <c r="E474" s="18" t="s">
        <v>41</v>
      </c>
      <c r="F474" s="23"/>
      <c r="G474" s="9" t="s">
        <v>517</v>
      </c>
      <c r="H474" s="12" t="s">
        <v>41</v>
      </c>
      <c r="I474" s="10"/>
      <c r="J474" s="12"/>
      <c r="K474" s="14"/>
      <c r="L474" s="14" t="s">
        <v>52</v>
      </c>
      <c r="M474" s="12" t="s">
        <v>84</v>
      </c>
      <c r="N474" s="12" t="s">
        <v>420</v>
      </c>
      <c r="O474" s="12"/>
      <c r="P474" s="12"/>
      <c r="Q474" s="30"/>
      <c r="R474" s="29" t="s">
        <v>47</v>
      </c>
      <c r="S474" s="10" t="s">
        <v>47</v>
      </c>
      <c r="T474" s="13">
        <v>0</v>
      </c>
      <c r="U474" s="13">
        <v>0</v>
      </c>
      <c r="V474" s="13">
        <v>0</v>
      </c>
      <c r="W474" s="13">
        <v>0</v>
      </c>
      <c r="X474" s="13">
        <v>0</v>
      </c>
      <c r="Y474" s="1">
        <f>AVERAGE(U474:X474)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15" t="s">
        <v>518</v>
      </c>
      <c r="B475" s="8" t="s">
        <v>40</v>
      </c>
      <c r="C475" s="11">
        <v>0.7</v>
      </c>
      <c r="D475" s="18">
        <v>1500</v>
      </c>
      <c r="E475" s="18" t="s">
        <v>41</v>
      </c>
      <c r="F475" s="23"/>
      <c r="G475" s="9" t="s">
        <v>519</v>
      </c>
      <c r="H475" s="10" t="s">
        <v>41</v>
      </c>
      <c r="I475" s="10"/>
      <c r="J475" s="10"/>
      <c r="K475" s="11"/>
      <c r="L475" s="11" t="s">
        <v>52</v>
      </c>
      <c r="M475" s="10" t="s">
        <v>164</v>
      </c>
      <c r="N475" s="10"/>
      <c r="O475" s="12"/>
      <c r="P475" s="10"/>
      <c r="Q475" s="29"/>
      <c r="R475" s="29" t="s">
        <v>47</v>
      </c>
      <c r="S475" s="10" t="s">
        <v>47</v>
      </c>
      <c r="T475" s="13">
        <v>0</v>
      </c>
      <c r="U475" s="13">
        <v>0</v>
      </c>
      <c r="V475" s="13">
        <v>0</v>
      </c>
      <c r="W475" s="13">
        <v>0</v>
      </c>
      <c r="X475" s="13">
        <v>0</v>
      </c>
      <c r="Y475" s="1">
        <f>AVERAGE(U475:X475)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15" t="s">
        <v>520</v>
      </c>
      <c r="B476" s="8" t="s">
        <v>40</v>
      </c>
      <c r="C476" s="11">
        <v>0.75</v>
      </c>
      <c r="D476" s="18">
        <v>1400</v>
      </c>
      <c r="E476" s="18" t="s">
        <v>41</v>
      </c>
      <c r="F476" s="23"/>
      <c r="G476" s="9" t="s">
        <v>521</v>
      </c>
      <c r="H476" s="12" t="s">
        <v>41</v>
      </c>
      <c r="I476" s="10"/>
      <c r="J476" s="12"/>
      <c r="K476" s="14"/>
      <c r="L476" s="14" t="s">
        <v>296</v>
      </c>
      <c r="M476" s="12" t="s">
        <v>195</v>
      </c>
      <c r="N476" s="12" t="s">
        <v>377</v>
      </c>
      <c r="O476" s="12"/>
      <c r="P476" s="12"/>
      <c r="Q476" s="30"/>
      <c r="R476" s="29" t="s">
        <v>47</v>
      </c>
      <c r="S476" s="12" t="s">
        <v>47</v>
      </c>
      <c r="T476" s="13">
        <v>0</v>
      </c>
      <c r="U476" s="13">
        <v>0</v>
      </c>
      <c r="V476" s="13">
        <v>0</v>
      </c>
      <c r="W476" s="13">
        <v>0</v>
      </c>
      <c r="X476" s="13">
        <v>0</v>
      </c>
      <c r="Y476" s="1">
        <f>AVERAGE(U476:X476)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15" t="s">
        <v>522</v>
      </c>
      <c r="B477" s="8" t="s">
        <v>40</v>
      </c>
      <c r="C477" s="11">
        <v>0.8</v>
      </c>
      <c r="D477" s="18">
        <v>1300</v>
      </c>
      <c r="E477" s="18" t="s">
        <v>41</v>
      </c>
      <c r="F477" s="23"/>
      <c r="G477" s="9" t="s">
        <v>523</v>
      </c>
      <c r="H477" s="10" t="s">
        <v>41</v>
      </c>
      <c r="I477" s="10"/>
      <c r="J477" s="10"/>
      <c r="K477" s="11"/>
      <c r="L477" s="11" t="s">
        <v>52</v>
      </c>
      <c r="M477" s="10" t="s">
        <v>513</v>
      </c>
      <c r="N477" s="10" t="s">
        <v>524</v>
      </c>
      <c r="O477" s="12"/>
      <c r="P477" s="10"/>
      <c r="Q477" s="29"/>
      <c r="R477" s="29" t="s">
        <v>47</v>
      </c>
      <c r="S477" s="10" t="s">
        <v>47</v>
      </c>
      <c r="T477" s="13">
        <v>0</v>
      </c>
      <c r="U477" s="13">
        <v>0</v>
      </c>
      <c r="V477" s="13">
        <v>0</v>
      </c>
      <c r="W477" s="13">
        <v>0</v>
      </c>
      <c r="X477" s="13">
        <v>0</v>
      </c>
      <c r="Y477" s="1">
        <f>AVERAGE(U477:X477)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15" t="s">
        <v>525</v>
      </c>
      <c r="B478" s="8" t="s">
        <v>40</v>
      </c>
      <c r="C478" s="11">
        <v>0.9</v>
      </c>
      <c r="D478" s="18">
        <v>1400</v>
      </c>
      <c r="E478" s="18" t="s">
        <v>41</v>
      </c>
      <c r="F478" s="23"/>
      <c r="G478" s="9" t="s">
        <v>526</v>
      </c>
      <c r="H478" s="10" t="s">
        <v>41</v>
      </c>
      <c r="I478" s="10"/>
      <c r="J478" s="10"/>
      <c r="K478" s="11"/>
      <c r="L478" s="11" t="s">
        <v>296</v>
      </c>
      <c r="M478" s="10" t="s">
        <v>195</v>
      </c>
      <c r="N478" s="10" t="s">
        <v>527</v>
      </c>
      <c r="O478" s="12"/>
      <c r="P478" s="10"/>
      <c r="Q478" s="29"/>
      <c r="R478" s="29" t="s">
        <v>47</v>
      </c>
      <c r="S478" s="10" t="s">
        <v>47</v>
      </c>
      <c r="T478" s="13">
        <v>0</v>
      </c>
      <c r="U478" s="13">
        <v>0</v>
      </c>
      <c r="V478" s="13">
        <v>0</v>
      </c>
      <c r="W478" s="13">
        <v>0</v>
      </c>
      <c r="X478" s="13">
        <v>0</v>
      </c>
      <c r="Y478" s="1">
        <f>AVERAGE(U478:X478)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15" t="s">
        <v>528</v>
      </c>
      <c r="B479" s="8" t="s">
        <v>40</v>
      </c>
      <c r="C479" s="11">
        <v>0.93</v>
      </c>
      <c r="D479" s="18">
        <v>1450</v>
      </c>
      <c r="E479" s="18" t="s">
        <v>41</v>
      </c>
      <c r="F479" s="23"/>
      <c r="G479" s="9" t="s">
        <v>529</v>
      </c>
      <c r="H479" s="10" t="s">
        <v>41</v>
      </c>
      <c r="I479" s="10"/>
      <c r="J479" s="10"/>
      <c r="K479" s="11"/>
      <c r="L479" s="11" t="s">
        <v>296</v>
      </c>
      <c r="M479" s="10" t="s">
        <v>305</v>
      </c>
      <c r="N479" s="10" t="s">
        <v>530</v>
      </c>
      <c r="O479" s="12"/>
      <c r="P479" s="10"/>
      <c r="Q479" s="29"/>
      <c r="R479" s="29" t="s">
        <v>47</v>
      </c>
      <c r="S479" s="10" t="s">
        <v>47</v>
      </c>
      <c r="T479" s="13">
        <v>0</v>
      </c>
      <c r="U479" s="13">
        <v>0</v>
      </c>
      <c r="V479" s="13">
        <v>0</v>
      </c>
      <c r="W479" s="13">
        <v>0</v>
      </c>
      <c r="X479" s="13">
        <v>0</v>
      </c>
      <c r="Y479" s="1">
        <f>AVERAGE(U479:X479)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15" t="s">
        <v>531</v>
      </c>
      <c r="B480" s="8" t="s">
        <v>40</v>
      </c>
      <c r="C480" s="11">
        <v>0.94</v>
      </c>
      <c r="D480" s="18">
        <v>1200</v>
      </c>
      <c r="E480" s="18" t="s">
        <v>41</v>
      </c>
      <c r="F480" s="23"/>
      <c r="G480" s="9" t="s">
        <v>532</v>
      </c>
      <c r="H480" s="10" t="s">
        <v>41</v>
      </c>
      <c r="I480" s="10"/>
      <c r="J480" s="10"/>
      <c r="K480" s="11"/>
      <c r="L480" s="11" t="s">
        <v>296</v>
      </c>
      <c r="M480" s="10" t="s">
        <v>533</v>
      </c>
      <c r="N480" s="10" t="s">
        <v>534</v>
      </c>
      <c r="O480" s="12"/>
      <c r="P480" s="10"/>
      <c r="Q480" s="29"/>
      <c r="R480" s="29" t="s">
        <v>47</v>
      </c>
      <c r="S480" s="10" t="s">
        <v>47</v>
      </c>
      <c r="T480" s="13">
        <v>0</v>
      </c>
      <c r="U480" s="13">
        <v>0</v>
      </c>
      <c r="V480" s="13">
        <v>0</v>
      </c>
      <c r="W480" s="13">
        <v>0</v>
      </c>
      <c r="X480" s="13">
        <v>0</v>
      </c>
      <c r="Y480" s="1">
        <f>AVERAGE(U480:X480)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15" t="s">
        <v>535</v>
      </c>
      <c r="B481" s="8" t="s">
        <v>40</v>
      </c>
      <c r="C481" s="11">
        <v>1</v>
      </c>
      <c r="D481" s="18">
        <v>1100</v>
      </c>
      <c r="E481" s="18" t="s">
        <v>41</v>
      </c>
      <c r="F481" s="23"/>
      <c r="G481" s="9" t="s">
        <v>536</v>
      </c>
      <c r="H481" s="10" t="s">
        <v>41</v>
      </c>
      <c r="I481" s="10"/>
      <c r="J481" s="10"/>
      <c r="K481" s="11"/>
      <c r="L481" s="11" t="s">
        <v>296</v>
      </c>
      <c r="M481" s="10" t="s">
        <v>195</v>
      </c>
      <c r="N481" s="10" t="s">
        <v>425</v>
      </c>
      <c r="O481" s="12"/>
      <c r="P481" s="10"/>
      <c r="Q481" s="29"/>
      <c r="R481" s="29" t="s">
        <v>47</v>
      </c>
      <c r="S481" s="10" t="s">
        <v>47</v>
      </c>
      <c r="T481" s="13">
        <v>0</v>
      </c>
      <c r="U481" s="13">
        <v>0</v>
      </c>
      <c r="V481" s="13">
        <v>0</v>
      </c>
      <c r="W481" s="13">
        <v>0</v>
      </c>
      <c r="X481" s="13">
        <v>0</v>
      </c>
      <c r="Y481" s="1">
        <f>AVERAGE(U481:X481)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15" t="s">
        <v>537</v>
      </c>
      <c r="B482" s="8" t="s">
        <v>40</v>
      </c>
      <c r="C482" s="11">
        <v>1</v>
      </c>
      <c r="D482" s="18">
        <v>850</v>
      </c>
      <c r="E482" s="18" t="s">
        <v>41</v>
      </c>
      <c r="F482" s="23"/>
      <c r="G482" s="9" t="s">
        <v>538</v>
      </c>
      <c r="H482" s="12" t="s">
        <v>41</v>
      </c>
      <c r="I482" s="12"/>
      <c r="J482" s="12"/>
      <c r="K482" s="14"/>
      <c r="L482" s="14" t="s">
        <v>296</v>
      </c>
      <c r="M482" s="12" t="s">
        <v>195</v>
      </c>
      <c r="N482" s="12" t="s">
        <v>425</v>
      </c>
      <c r="O482" s="12"/>
      <c r="P482" s="12"/>
      <c r="Q482" s="30"/>
      <c r="R482" s="29" t="s">
        <v>47</v>
      </c>
      <c r="S482" s="12" t="s">
        <v>47</v>
      </c>
      <c r="T482" s="13">
        <v>0</v>
      </c>
      <c r="U482" s="13">
        <v>0</v>
      </c>
      <c r="V482" s="13">
        <v>0</v>
      </c>
      <c r="W482" s="13">
        <v>0</v>
      </c>
      <c r="X482" s="13">
        <v>0</v>
      </c>
      <c r="Y482" s="1">
        <f>AVERAGE(U482:X482)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15" t="s">
        <v>539</v>
      </c>
      <c r="B483" s="8" t="s">
        <v>40</v>
      </c>
      <c r="C483" s="11">
        <v>1</v>
      </c>
      <c r="D483" s="18">
        <v>1000</v>
      </c>
      <c r="E483" s="18" t="s">
        <v>41</v>
      </c>
      <c r="F483" s="23"/>
      <c r="G483" s="9" t="s">
        <v>540</v>
      </c>
      <c r="H483" s="10" t="s">
        <v>41</v>
      </c>
      <c r="I483" s="10"/>
      <c r="J483" s="10"/>
      <c r="K483" s="11"/>
      <c r="L483" s="11" t="s">
        <v>296</v>
      </c>
      <c r="M483" s="10" t="s">
        <v>195</v>
      </c>
      <c r="N483" s="10" t="s">
        <v>425</v>
      </c>
      <c r="O483" s="12"/>
      <c r="P483" s="10"/>
      <c r="Q483" s="29"/>
      <c r="R483" s="29" t="s">
        <v>47</v>
      </c>
      <c r="S483" s="10" t="s">
        <v>47</v>
      </c>
      <c r="T483" s="13">
        <v>0</v>
      </c>
      <c r="U483" s="13">
        <v>0</v>
      </c>
      <c r="V483" s="13">
        <v>0</v>
      </c>
      <c r="W483" s="13">
        <v>0</v>
      </c>
      <c r="X483" s="13">
        <v>0</v>
      </c>
      <c r="Y483" s="1">
        <f>AVERAGE(U483:X483)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15" t="s">
        <v>541</v>
      </c>
      <c r="B484" s="8" t="s">
        <v>40</v>
      </c>
      <c r="C484" s="11">
        <v>1</v>
      </c>
      <c r="D484" s="18">
        <v>1400</v>
      </c>
      <c r="E484" s="18" t="s">
        <v>41</v>
      </c>
      <c r="F484" s="23"/>
      <c r="G484" s="9" t="s">
        <v>542</v>
      </c>
      <c r="H484" s="10" t="s">
        <v>41</v>
      </c>
      <c r="I484" s="10"/>
      <c r="J484" s="10"/>
      <c r="K484" s="11"/>
      <c r="L484" s="11" t="s">
        <v>296</v>
      </c>
      <c r="M484" s="10" t="s">
        <v>195</v>
      </c>
      <c r="N484" s="10"/>
      <c r="O484" s="12"/>
      <c r="P484" s="10"/>
      <c r="Q484" s="29"/>
      <c r="R484" s="29" t="s">
        <v>47</v>
      </c>
      <c r="S484" s="10" t="s">
        <v>47</v>
      </c>
      <c r="T484" s="13">
        <v>0</v>
      </c>
      <c r="U484" s="13">
        <v>0</v>
      </c>
      <c r="V484" s="13">
        <v>0</v>
      </c>
      <c r="W484" s="13">
        <v>0</v>
      </c>
      <c r="X484" s="13">
        <v>0</v>
      </c>
      <c r="Y484" s="1">
        <f>AVERAGE(U484:X484)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15" t="s">
        <v>543</v>
      </c>
      <c r="B485" s="8" t="s">
        <v>40</v>
      </c>
      <c r="C485" s="11">
        <v>1</v>
      </c>
      <c r="D485" s="18">
        <v>1050</v>
      </c>
      <c r="E485" s="18" t="s">
        <v>41</v>
      </c>
      <c r="F485" s="23"/>
      <c r="G485" s="9" t="s">
        <v>544</v>
      </c>
      <c r="H485" s="10" t="s">
        <v>41</v>
      </c>
      <c r="I485" s="10"/>
      <c r="J485" s="10"/>
      <c r="K485" s="11"/>
      <c r="L485" s="14" t="s">
        <v>296</v>
      </c>
      <c r="M485" s="10" t="s">
        <v>545</v>
      </c>
      <c r="N485" s="10" t="s">
        <v>545</v>
      </c>
      <c r="O485" s="12"/>
      <c r="P485" s="10"/>
      <c r="Q485" s="29"/>
      <c r="R485" s="29" t="s">
        <v>47</v>
      </c>
      <c r="S485" s="10" t="s">
        <v>47</v>
      </c>
      <c r="T485" s="13">
        <v>0</v>
      </c>
      <c r="U485" s="13">
        <v>0</v>
      </c>
      <c r="V485" s="13">
        <v>0</v>
      </c>
      <c r="W485" s="13">
        <v>0</v>
      </c>
      <c r="X485" s="13">
        <v>0</v>
      </c>
      <c r="Y485" s="1">
        <f>AVERAGE(U485:X485)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15" t="s">
        <v>546</v>
      </c>
      <c r="B486" s="8" t="s">
        <v>40</v>
      </c>
      <c r="C486" s="11">
        <v>1.3</v>
      </c>
      <c r="D486" s="18">
        <v>1200</v>
      </c>
      <c r="E486" s="18" t="s">
        <v>41</v>
      </c>
      <c r="F486" s="23"/>
      <c r="G486" s="9" t="s">
        <v>244</v>
      </c>
      <c r="H486" s="10" t="s">
        <v>41</v>
      </c>
      <c r="I486" s="10"/>
      <c r="J486" s="10"/>
      <c r="K486" s="11"/>
      <c r="L486" s="11" t="s">
        <v>52</v>
      </c>
      <c r="M486" s="10" t="s">
        <v>164</v>
      </c>
      <c r="N486" s="10" t="s">
        <v>456</v>
      </c>
      <c r="O486" s="12"/>
      <c r="P486" s="10" t="s">
        <v>47</v>
      </c>
      <c r="Q486" s="29" t="s">
        <v>47</v>
      </c>
      <c r="R486" s="29" t="s">
        <v>47</v>
      </c>
      <c r="S486" s="10" t="s">
        <v>55</v>
      </c>
      <c r="T486" s="13">
        <v>0</v>
      </c>
      <c r="U486" s="13">
        <v>0</v>
      </c>
      <c r="V486" s="13">
        <v>0</v>
      </c>
      <c r="W486" s="13">
        <v>0</v>
      </c>
      <c r="X486" s="13">
        <v>0</v>
      </c>
      <c r="Y486" s="1">
        <f>AVERAGE(U486:X486)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15" t="s">
        <v>547</v>
      </c>
      <c r="B487" s="8" t="s">
        <v>40</v>
      </c>
      <c r="C487" s="11">
        <v>1.4</v>
      </c>
      <c r="D487" s="18">
        <v>1100</v>
      </c>
      <c r="E487" s="18" t="s">
        <v>41</v>
      </c>
      <c r="F487" s="23"/>
      <c r="G487" s="9" t="s">
        <v>512</v>
      </c>
      <c r="H487" s="12" t="s">
        <v>41</v>
      </c>
      <c r="I487" s="12"/>
      <c r="J487" s="12"/>
      <c r="K487" s="14"/>
      <c r="L487" s="14" t="s">
        <v>52</v>
      </c>
      <c r="M487" s="12" t="s">
        <v>513</v>
      </c>
      <c r="N487" s="12" t="s">
        <v>85</v>
      </c>
      <c r="O487" s="12"/>
      <c r="P487" s="12"/>
      <c r="Q487" s="30"/>
      <c r="R487" s="29" t="s">
        <v>47</v>
      </c>
      <c r="S487" s="12" t="s">
        <v>47</v>
      </c>
      <c r="T487" s="13">
        <v>0</v>
      </c>
      <c r="U487" s="13">
        <v>0</v>
      </c>
      <c r="V487" s="13">
        <v>0</v>
      </c>
      <c r="W487" s="13">
        <v>0</v>
      </c>
      <c r="X487" s="13">
        <v>0</v>
      </c>
      <c r="Y487" s="1">
        <f>AVERAGE(U487:X487)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15" t="s">
        <v>548</v>
      </c>
      <c r="B488" s="8" t="s">
        <v>40</v>
      </c>
      <c r="C488" s="11">
        <v>1.4</v>
      </c>
      <c r="D488" s="18">
        <v>1200</v>
      </c>
      <c r="E488" s="18" t="s">
        <v>41</v>
      </c>
      <c r="F488" s="23"/>
      <c r="G488" s="9" t="s">
        <v>512</v>
      </c>
      <c r="H488" s="10" t="s">
        <v>41</v>
      </c>
      <c r="I488" s="10"/>
      <c r="J488" s="10"/>
      <c r="K488" s="11"/>
      <c r="L488" s="11" t="s">
        <v>52</v>
      </c>
      <c r="M488" s="10" t="s">
        <v>549</v>
      </c>
      <c r="N488" s="10" t="s">
        <v>85</v>
      </c>
      <c r="O488" s="12"/>
      <c r="P488" s="10"/>
      <c r="Q488" s="29"/>
      <c r="R488" s="29" t="s">
        <v>47</v>
      </c>
      <c r="S488" s="10" t="s">
        <v>47</v>
      </c>
      <c r="T488" s="13">
        <v>0</v>
      </c>
      <c r="U488" s="13">
        <v>0</v>
      </c>
      <c r="V488" s="13">
        <v>0</v>
      </c>
      <c r="W488" s="13">
        <v>0</v>
      </c>
      <c r="X488" s="13">
        <v>0</v>
      </c>
      <c r="Y488" s="1">
        <f>AVERAGE(U488:X488)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15" t="s">
        <v>550</v>
      </c>
      <c r="B489" s="8" t="s">
        <v>40</v>
      </c>
      <c r="C489" s="11">
        <v>1.4</v>
      </c>
      <c r="D489" s="18">
        <v>1000</v>
      </c>
      <c r="E489" s="18" t="s">
        <v>41</v>
      </c>
      <c r="F489" s="23"/>
      <c r="G489" s="9" t="s">
        <v>144</v>
      </c>
      <c r="H489" s="10" t="s">
        <v>41</v>
      </c>
      <c r="I489" s="10"/>
      <c r="J489" s="10"/>
      <c r="K489" s="11"/>
      <c r="L489" s="11" t="s">
        <v>52</v>
      </c>
      <c r="M489" s="12" t="s">
        <v>84</v>
      </c>
      <c r="N489" s="10" t="s">
        <v>145</v>
      </c>
      <c r="O489" s="12"/>
      <c r="P489" s="10"/>
      <c r="Q489" s="29"/>
      <c r="R489" s="29" t="s">
        <v>47</v>
      </c>
      <c r="S489" s="10" t="s">
        <v>47</v>
      </c>
      <c r="T489" s="13">
        <v>0</v>
      </c>
      <c r="U489" s="13">
        <v>0</v>
      </c>
      <c r="V489" s="13">
        <v>0</v>
      </c>
      <c r="W489" s="13">
        <v>0</v>
      </c>
      <c r="X489" s="13">
        <v>0</v>
      </c>
      <c r="Y489" s="1">
        <f>AVERAGE(U489:X489)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15" t="s">
        <v>551</v>
      </c>
      <c r="B490" s="8" t="s">
        <v>40</v>
      </c>
      <c r="C490" s="11">
        <v>1.4</v>
      </c>
      <c r="D490" s="18">
        <v>1100</v>
      </c>
      <c r="E490" s="18" t="s">
        <v>41</v>
      </c>
      <c r="F490" s="23"/>
      <c r="G490" s="9" t="s">
        <v>369</v>
      </c>
      <c r="H490" s="12" t="s">
        <v>41</v>
      </c>
      <c r="I490" s="10"/>
      <c r="J490" s="12"/>
      <c r="K490" s="14"/>
      <c r="L490" s="14" t="s">
        <v>301</v>
      </c>
      <c r="M490" s="12" t="s">
        <v>164</v>
      </c>
      <c r="N490" s="12" t="s">
        <v>145</v>
      </c>
      <c r="O490" s="12"/>
      <c r="P490" s="12" t="s">
        <v>47</v>
      </c>
      <c r="Q490" s="30" t="s">
        <v>47</v>
      </c>
      <c r="R490" s="29" t="s">
        <v>47</v>
      </c>
      <c r="S490" s="10" t="s">
        <v>47</v>
      </c>
      <c r="T490" s="13">
        <v>0</v>
      </c>
      <c r="U490" s="13">
        <v>0</v>
      </c>
      <c r="V490" s="13">
        <v>0</v>
      </c>
      <c r="W490" s="13">
        <v>0</v>
      </c>
      <c r="X490" s="13">
        <v>0</v>
      </c>
      <c r="Y490" s="1">
        <f>AVERAGE(U490:X490)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15" t="s">
        <v>552</v>
      </c>
      <c r="B491" s="8" t="s">
        <v>40</v>
      </c>
      <c r="C491" s="11">
        <v>1.5</v>
      </c>
      <c r="D491" s="18">
        <v>1000</v>
      </c>
      <c r="E491" s="18" t="s">
        <v>41</v>
      </c>
      <c r="F491" s="23"/>
      <c r="G491" s="9" t="s">
        <v>553</v>
      </c>
      <c r="H491" s="12" t="s">
        <v>41</v>
      </c>
      <c r="I491" s="12"/>
      <c r="J491" s="12"/>
      <c r="K491" s="14"/>
      <c r="L491" s="14" t="s">
        <v>64</v>
      </c>
      <c r="M491" s="12" t="s">
        <v>554</v>
      </c>
      <c r="N491" s="12" t="s">
        <v>443</v>
      </c>
      <c r="O491" s="12"/>
      <c r="P491" s="12"/>
      <c r="Q491" s="30"/>
      <c r="R491" s="29" t="s">
        <v>47</v>
      </c>
      <c r="S491" s="12" t="s">
        <v>47</v>
      </c>
      <c r="T491" s="13">
        <v>0</v>
      </c>
      <c r="U491" s="13">
        <v>0</v>
      </c>
      <c r="V491" s="13">
        <v>0</v>
      </c>
      <c r="W491" s="13">
        <v>0</v>
      </c>
      <c r="X491" s="13">
        <v>0</v>
      </c>
      <c r="Y491" s="1">
        <f>AVERAGE(U491:X491)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15" t="s">
        <v>555</v>
      </c>
      <c r="B492" s="8" t="s">
        <v>40</v>
      </c>
      <c r="C492" s="11">
        <v>1.5</v>
      </c>
      <c r="D492" s="18">
        <v>1050</v>
      </c>
      <c r="E492" s="18" t="s">
        <v>41</v>
      </c>
      <c r="F492" s="23"/>
      <c r="G492" s="9" t="s">
        <v>556</v>
      </c>
      <c r="H492" s="10" t="s">
        <v>41</v>
      </c>
      <c r="I492" s="10"/>
      <c r="J492" s="10"/>
      <c r="K492" s="11"/>
      <c r="L492" s="11" t="s">
        <v>52</v>
      </c>
      <c r="M492" s="12" t="s">
        <v>84</v>
      </c>
      <c r="N492" s="10" t="s">
        <v>420</v>
      </c>
      <c r="O492" s="12"/>
      <c r="P492" s="10"/>
      <c r="Q492" s="29"/>
      <c r="R492" s="29" t="s">
        <v>47</v>
      </c>
      <c r="S492" s="10" t="s">
        <v>55</v>
      </c>
      <c r="T492" s="13">
        <v>0</v>
      </c>
      <c r="U492" s="13">
        <v>0</v>
      </c>
      <c r="V492" s="13">
        <v>0</v>
      </c>
      <c r="W492" s="13">
        <v>0</v>
      </c>
      <c r="X492" s="13">
        <v>0</v>
      </c>
      <c r="Y492" s="1">
        <f>AVERAGE(U492:X492)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15" t="s">
        <v>557</v>
      </c>
      <c r="B493" s="8" t="s">
        <v>40</v>
      </c>
      <c r="C493" s="11">
        <v>1.5</v>
      </c>
      <c r="D493" s="18">
        <v>1300</v>
      </c>
      <c r="E493" s="18" t="s">
        <v>41</v>
      </c>
      <c r="F493" s="23"/>
      <c r="G493" s="9" t="s">
        <v>558</v>
      </c>
      <c r="H493" s="10" t="s">
        <v>41</v>
      </c>
      <c r="I493" s="10"/>
      <c r="J493" s="10"/>
      <c r="K493" s="11"/>
      <c r="L493" s="11" t="s">
        <v>52</v>
      </c>
      <c r="M493" s="12" t="s">
        <v>84</v>
      </c>
      <c r="N493" s="10" t="s">
        <v>85</v>
      </c>
      <c r="O493" s="12"/>
      <c r="P493" s="10"/>
      <c r="Q493" s="29"/>
      <c r="R493" s="29" t="s">
        <v>47</v>
      </c>
      <c r="S493" s="10" t="s">
        <v>55</v>
      </c>
      <c r="T493" s="13">
        <v>0</v>
      </c>
      <c r="U493" s="13">
        <v>0</v>
      </c>
      <c r="V493" s="13">
        <v>0</v>
      </c>
      <c r="W493" s="13">
        <v>0</v>
      </c>
      <c r="X493" s="13">
        <v>0</v>
      </c>
      <c r="Y493" s="1">
        <f>AVERAGE(U493:X493)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15" t="s">
        <v>559</v>
      </c>
      <c r="B494" s="8" t="s">
        <v>40</v>
      </c>
      <c r="C494" s="11">
        <v>1.5</v>
      </c>
      <c r="D494" s="18">
        <v>1050</v>
      </c>
      <c r="E494" s="18" t="s">
        <v>41</v>
      </c>
      <c r="F494" s="23"/>
      <c r="G494" s="9" t="s">
        <v>560</v>
      </c>
      <c r="H494" s="12" t="s">
        <v>41</v>
      </c>
      <c r="I494" s="12"/>
      <c r="J494" s="12"/>
      <c r="K494" s="14"/>
      <c r="L494" s="14" t="s">
        <v>296</v>
      </c>
      <c r="M494" s="12" t="s">
        <v>195</v>
      </c>
      <c r="N494" s="12" t="s">
        <v>160</v>
      </c>
      <c r="O494" s="12"/>
      <c r="P494" s="12"/>
      <c r="Q494" s="30"/>
      <c r="R494" s="29" t="s">
        <v>47</v>
      </c>
      <c r="S494" s="12" t="s">
        <v>47</v>
      </c>
      <c r="T494" s="13">
        <v>0</v>
      </c>
      <c r="U494" s="13">
        <v>0</v>
      </c>
      <c r="V494" s="13">
        <v>0</v>
      </c>
      <c r="W494" s="13">
        <v>0</v>
      </c>
      <c r="X494" s="13">
        <v>0</v>
      </c>
      <c r="Y494" s="1">
        <f>AVERAGE(U494:X494)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15" t="s">
        <v>561</v>
      </c>
      <c r="B495" s="8" t="s">
        <v>40</v>
      </c>
      <c r="C495" s="11">
        <v>1.5</v>
      </c>
      <c r="D495" s="18">
        <v>1050</v>
      </c>
      <c r="E495" s="18" t="s">
        <v>41</v>
      </c>
      <c r="F495" s="23"/>
      <c r="G495" s="9" t="s">
        <v>562</v>
      </c>
      <c r="H495" s="12" t="s">
        <v>41</v>
      </c>
      <c r="I495" s="12"/>
      <c r="J495" s="12"/>
      <c r="K495" s="14"/>
      <c r="L495" s="14" t="s">
        <v>52</v>
      </c>
      <c r="M495" s="12" t="s">
        <v>75</v>
      </c>
      <c r="N495" s="12" t="s">
        <v>125</v>
      </c>
      <c r="O495" s="12"/>
      <c r="P495" s="12"/>
      <c r="Q495" s="30"/>
      <c r="R495" s="29" t="s">
        <v>47</v>
      </c>
      <c r="S495" s="12" t="s">
        <v>55</v>
      </c>
      <c r="T495" s="13">
        <v>0</v>
      </c>
      <c r="U495" s="13">
        <v>0</v>
      </c>
      <c r="V495" s="13">
        <v>0</v>
      </c>
      <c r="W495" s="13">
        <v>0</v>
      </c>
      <c r="X495" s="13">
        <v>0</v>
      </c>
      <c r="Y495" s="1">
        <f>AVERAGE(U495:X495)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15" t="s">
        <v>563</v>
      </c>
      <c r="B496" s="8" t="s">
        <v>40</v>
      </c>
      <c r="C496" s="11">
        <v>2</v>
      </c>
      <c r="D496" s="18">
        <v>1125</v>
      </c>
      <c r="E496" s="18" t="s">
        <v>41</v>
      </c>
      <c r="F496" s="23"/>
      <c r="G496" s="9" t="s">
        <v>564</v>
      </c>
      <c r="H496" s="12" t="s">
        <v>41</v>
      </c>
      <c r="I496" s="12"/>
      <c r="J496" s="12"/>
      <c r="K496" s="14"/>
      <c r="L496" s="14" t="s">
        <v>296</v>
      </c>
      <c r="M496" s="12" t="s">
        <v>195</v>
      </c>
      <c r="N496" s="12" t="s">
        <v>425</v>
      </c>
      <c r="O496" s="12"/>
      <c r="P496" s="12"/>
      <c r="Q496" s="30"/>
      <c r="R496" s="29" t="s">
        <v>47</v>
      </c>
      <c r="S496" s="12" t="s">
        <v>47</v>
      </c>
      <c r="T496" s="13">
        <v>0</v>
      </c>
      <c r="U496" s="13">
        <v>0</v>
      </c>
      <c r="V496" s="13">
        <v>0</v>
      </c>
      <c r="W496" s="13">
        <v>0</v>
      </c>
      <c r="X496" s="13">
        <v>0</v>
      </c>
      <c r="Y496" s="1">
        <f>AVERAGE(U496:X496)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15" t="s">
        <v>565</v>
      </c>
      <c r="B497" s="8" t="s">
        <v>78</v>
      </c>
      <c r="C497" s="11">
        <v>0.9</v>
      </c>
      <c r="D497" s="18">
        <v>1100</v>
      </c>
      <c r="E497" s="18">
        <v>246</v>
      </c>
      <c r="F497" s="23"/>
      <c r="G497" s="9" t="s">
        <v>566</v>
      </c>
      <c r="H497" s="12" t="s">
        <v>41</v>
      </c>
      <c r="I497" s="10"/>
      <c r="J497" s="12"/>
      <c r="K497" s="14"/>
      <c r="L497" s="14" t="s">
        <v>64</v>
      </c>
      <c r="M497" s="12" t="s">
        <v>195</v>
      </c>
      <c r="N497" s="12" t="s">
        <v>377</v>
      </c>
      <c r="O497" s="12"/>
      <c r="P497" s="12"/>
      <c r="Q497" s="30"/>
      <c r="R497" s="29" t="s">
        <v>47</v>
      </c>
      <c r="S497" s="10" t="s">
        <v>47</v>
      </c>
      <c r="T497" s="13">
        <v>0</v>
      </c>
      <c r="U497" s="13">
        <v>0</v>
      </c>
      <c r="V497" s="13">
        <v>0</v>
      </c>
      <c r="W497" s="13">
        <v>0</v>
      </c>
      <c r="X497" s="13">
        <v>0</v>
      </c>
      <c r="Y497" s="1">
        <f>AVERAGE(U497:X497)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5" t="s">
        <v>567</v>
      </c>
      <c r="B498" s="8" t="s">
        <v>78</v>
      </c>
      <c r="C498" s="11">
        <v>1.2</v>
      </c>
      <c r="D498" s="18">
        <v>300</v>
      </c>
      <c r="E498" s="18">
        <v>188</v>
      </c>
      <c r="F498" s="23"/>
      <c r="G498" s="9" t="s">
        <v>568</v>
      </c>
      <c r="H498" s="12" t="s">
        <v>41</v>
      </c>
      <c r="I498" s="12"/>
      <c r="J498" s="12"/>
      <c r="K498" s="14"/>
      <c r="L498" s="14" t="s">
        <v>64</v>
      </c>
      <c r="M498" s="12" t="s">
        <v>569</v>
      </c>
      <c r="N498" s="12" t="s">
        <v>443</v>
      </c>
      <c r="O498" s="12"/>
      <c r="P498" s="12"/>
      <c r="Q498" s="30"/>
      <c r="R498" s="29" t="s">
        <v>47</v>
      </c>
      <c r="S498" s="12" t="s">
        <v>47</v>
      </c>
      <c r="T498" s="13">
        <v>0</v>
      </c>
      <c r="U498" s="13">
        <v>0</v>
      </c>
      <c r="V498" s="13">
        <v>0</v>
      </c>
      <c r="W498" s="13">
        <v>0</v>
      </c>
      <c r="X498" s="13">
        <v>0</v>
      </c>
      <c r="Y498" s="1">
        <f>AVERAGE(U498:X498)</f>
        <v>0</v>
      </c>
      <c r="Z498" s="10"/>
      <c r="AA498" s="10"/>
      <c r="AB498" s="10"/>
      <c r="AC498" s="10"/>
      <c r="AD498" s="10"/>
      <c r="AE498" s="10"/>
      <c r="AF498" s="10"/>
      <c r="AG498" s="38">
        <f>COUNTIF(Z498:AF498,"X")/7</f>
        <v>0</v>
      </c>
      <c r="AH498" s="51" t="str">
        <f>IF(AG498=100%,Y498," ")</f>
        <v xml:space="preserve"> </v>
      </c>
      <c r="AI498" s="64"/>
      <c r="AJ498" s="1"/>
      <c r="AK498" s="65">
        <v>0</v>
      </c>
      <c r="AL498" s="1"/>
      <c r="AM498" s="1"/>
    </row>
    <row r="499" spans="1:39" s="26" customFormat="1" x14ac:dyDescent="0.3">
      <c r="A499" s="15" t="s">
        <v>570</v>
      </c>
      <c r="B499" s="8" t="s">
        <v>78</v>
      </c>
      <c r="C499" s="11">
        <v>1.5</v>
      </c>
      <c r="D499" s="18">
        <v>1200</v>
      </c>
      <c r="E499" s="18">
        <v>9295</v>
      </c>
      <c r="F499" s="23"/>
      <c r="G499" s="9" t="s">
        <v>571</v>
      </c>
      <c r="H499" s="10" t="s">
        <v>41</v>
      </c>
      <c r="I499" s="10"/>
      <c r="J499" s="10"/>
      <c r="K499" s="11"/>
      <c r="L499" s="11" t="s">
        <v>296</v>
      </c>
      <c r="M499" s="10" t="s">
        <v>572</v>
      </c>
      <c r="N499" s="10"/>
      <c r="O499" s="12"/>
      <c r="P499" s="10" t="s">
        <v>47</v>
      </c>
      <c r="Q499" s="29" t="s">
        <v>47</v>
      </c>
      <c r="R499" s="29" t="s">
        <v>47</v>
      </c>
      <c r="S499" s="10" t="s">
        <v>47</v>
      </c>
      <c r="T499" s="13">
        <v>0</v>
      </c>
      <c r="U499" s="13">
        <v>0</v>
      </c>
      <c r="V499" s="13">
        <v>0</v>
      </c>
      <c r="W499" s="13">
        <v>0</v>
      </c>
      <c r="X499" s="13">
        <v>0</v>
      </c>
      <c r="Y499" s="1">
        <f>AVERAGE(U499:X499)</f>
        <v>0</v>
      </c>
      <c r="Z499" s="10"/>
      <c r="AA499" s="10"/>
      <c r="AB499" s="10"/>
      <c r="AC499" s="10"/>
      <c r="AD499" s="10"/>
      <c r="AE499" s="10"/>
      <c r="AF499" s="10"/>
      <c r="AG499" s="38">
        <f>COUNTIF(Z499:AF499,"X")/7</f>
        <v>0</v>
      </c>
      <c r="AH499" s="51" t="str">
        <f>IF(AG499=100%,Y499," ")</f>
        <v xml:space="preserve"> 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5" t="s">
        <v>573</v>
      </c>
      <c r="B500" s="8" t="s">
        <v>78</v>
      </c>
      <c r="C500" s="11">
        <v>2</v>
      </c>
      <c r="D500" s="18">
        <v>1000</v>
      </c>
      <c r="E500" s="18">
        <v>2720</v>
      </c>
      <c r="F500" s="23"/>
      <c r="G500" s="9" t="s">
        <v>574</v>
      </c>
      <c r="H500" s="12" t="s">
        <v>41</v>
      </c>
      <c r="I500" s="12"/>
      <c r="J500" s="12"/>
      <c r="K500" s="14"/>
      <c r="L500" s="14" t="s">
        <v>106</v>
      </c>
      <c r="M500" s="12" t="s">
        <v>119</v>
      </c>
      <c r="N500" s="12"/>
      <c r="O500" s="12"/>
      <c r="P500" s="12"/>
      <c r="Q500" s="30"/>
      <c r="R500" s="29" t="s">
        <v>47</v>
      </c>
      <c r="S500" s="10" t="s">
        <v>47</v>
      </c>
      <c r="T500" s="13">
        <v>0</v>
      </c>
      <c r="U500" s="13">
        <v>0</v>
      </c>
      <c r="V500" s="13">
        <v>0</v>
      </c>
      <c r="W500" s="13">
        <v>0</v>
      </c>
      <c r="X500" s="13">
        <v>0</v>
      </c>
      <c r="Y500" s="1">
        <f>AVERAGE(U500:X500)</f>
        <v>0</v>
      </c>
      <c r="Z500" s="10"/>
      <c r="AA500" s="10"/>
      <c r="AB500" s="10"/>
      <c r="AC500" s="10"/>
      <c r="AD500" s="10"/>
      <c r="AE500" s="10"/>
      <c r="AF500" s="10"/>
      <c r="AG500" s="38">
        <f>COUNTIF(Z500:AF500,"X")/7</f>
        <v>0</v>
      </c>
      <c r="AH500" s="51" t="str">
        <f>IF(AG500=100%,Y500," ")</f>
        <v xml:space="preserve"> 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5" t="s">
        <v>575</v>
      </c>
      <c r="B501" s="8" t="s">
        <v>78</v>
      </c>
      <c r="C501" s="11">
        <v>2</v>
      </c>
      <c r="D501" s="18">
        <v>1200</v>
      </c>
      <c r="E501" s="18">
        <v>2000</v>
      </c>
      <c r="F501" s="23"/>
      <c r="G501" s="9" t="s">
        <v>576</v>
      </c>
      <c r="H501" s="10" t="s">
        <v>41</v>
      </c>
      <c r="I501" s="10"/>
      <c r="J501" s="10"/>
      <c r="K501" s="11"/>
      <c r="L501" s="11" t="s">
        <v>296</v>
      </c>
      <c r="M501" s="10" t="s">
        <v>93</v>
      </c>
      <c r="N501" s="10" t="s">
        <v>577</v>
      </c>
      <c r="O501" s="12"/>
      <c r="P501" s="10"/>
      <c r="Q501" s="29"/>
      <c r="R501" s="29" t="s">
        <v>47</v>
      </c>
      <c r="S501" s="10" t="s">
        <v>47</v>
      </c>
      <c r="T501" s="13">
        <v>0</v>
      </c>
      <c r="U501" s="13">
        <v>0</v>
      </c>
      <c r="V501" s="13">
        <v>0</v>
      </c>
      <c r="W501" s="13">
        <v>0</v>
      </c>
      <c r="X501" s="13">
        <v>0</v>
      </c>
      <c r="Y501" s="1">
        <f>AVERAGE(U501:X501)</f>
        <v>0</v>
      </c>
      <c r="Z501" s="10"/>
      <c r="AA501" s="10"/>
      <c r="AB501" s="10"/>
      <c r="AC501" s="10"/>
      <c r="AD501" s="10"/>
      <c r="AE501" s="10"/>
      <c r="AF501" s="10"/>
      <c r="AG501" s="38">
        <f>COUNTIF(Z501:AF501,"X")/7</f>
        <v>0</v>
      </c>
      <c r="AH501" s="51" t="str">
        <f>IF(AG501=100%,Y501," ")</f>
        <v xml:space="preserve"> 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5" t="s">
        <v>578</v>
      </c>
      <c r="B502" s="8" t="s">
        <v>229</v>
      </c>
      <c r="C502" s="11">
        <v>2</v>
      </c>
      <c r="D502" s="18">
        <v>1200</v>
      </c>
      <c r="E502" s="18">
        <v>2000</v>
      </c>
      <c r="F502" s="23"/>
      <c r="G502" s="9" t="s">
        <v>579</v>
      </c>
      <c r="H502" s="10" t="s">
        <v>41</v>
      </c>
      <c r="I502" s="10"/>
      <c r="J502" s="10"/>
      <c r="K502" s="11"/>
      <c r="L502" s="11" t="s">
        <v>296</v>
      </c>
      <c r="M502" s="10" t="s">
        <v>93</v>
      </c>
      <c r="N502" s="10"/>
      <c r="O502" s="12"/>
      <c r="P502" s="10"/>
      <c r="Q502" s="29"/>
      <c r="R502" s="29" t="s">
        <v>47</v>
      </c>
      <c r="S502" s="10" t="s">
        <v>47</v>
      </c>
      <c r="T502" s="13">
        <v>0</v>
      </c>
      <c r="U502" s="13">
        <v>0</v>
      </c>
      <c r="V502" s="13">
        <v>0</v>
      </c>
      <c r="W502" s="13">
        <v>0</v>
      </c>
      <c r="X502" s="13">
        <v>0</v>
      </c>
      <c r="Y502" s="1">
        <f>AVERAGE(U502:X502)</f>
        <v>0</v>
      </c>
      <c r="Z502" s="10"/>
      <c r="AA502" s="10"/>
      <c r="AB502" s="10"/>
      <c r="AC502" s="10"/>
      <c r="AD502" s="10"/>
      <c r="AE502" s="10"/>
      <c r="AF502" s="10"/>
      <c r="AG502" s="38">
        <f>COUNTIF(Z502:AF502,"X")/7</f>
        <v>0</v>
      </c>
      <c r="AH502" s="51" t="str">
        <f>IF(AG502=100%,Y502," ")</f>
        <v xml:space="preserve"> 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5" t="s">
        <v>580</v>
      </c>
      <c r="B503" s="8" t="s">
        <v>229</v>
      </c>
      <c r="C503" s="11">
        <v>2</v>
      </c>
      <c r="D503" s="18">
        <v>1100</v>
      </c>
      <c r="E503" s="18">
        <v>1775</v>
      </c>
      <c r="F503" s="23"/>
      <c r="G503" s="9" t="s">
        <v>581</v>
      </c>
      <c r="H503" s="10">
        <v>34015160</v>
      </c>
      <c r="I503" s="10"/>
      <c r="J503" s="10"/>
      <c r="K503" s="11"/>
      <c r="L503" s="11" t="s">
        <v>64</v>
      </c>
      <c r="M503" s="10" t="s">
        <v>164</v>
      </c>
      <c r="N503" s="10"/>
      <c r="O503" s="12"/>
      <c r="P503" s="10"/>
      <c r="Q503" s="29"/>
      <c r="R503" s="29" t="s">
        <v>47</v>
      </c>
      <c r="S503" s="10" t="s">
        <v>47</v>
      </c>
      <c r="T503" s="13">
        <v>0</v>
      </c>
      <c r="U503" s="13">
        <v>0</v>
      </c>
      <c r="V503" s="13">
        <v>0</v>
      </c>
      <c r="W503" s="13">
        <v>0</v>
      </c>
      <c r="X503" s="13">
        <v>0</v>
      </c>
      <c r="Y503" s="1">
        <f>AVERAGE(U503:X503)</f>
        <v>0</v>
      </c>
      <c r="Z503" s="10"/>
      <c r="AA503" s="10"/>
      <c r="AB503" s="10"/>
      <c r="AC503" s="10"/>
      <c r="AD503" s="10"/>
      <c r="AE503" s="10"/>
      <c r="AF503" s="10"/>
      <c r="AG503" s="38">
        <f>COUNTIF(Z503:AF503,"X")/7</f>
        <v>0</v>
      </c>
      <c r="AH503" s="51" t="str">
        <f>IF(AG503=100%,Y503," ")</f>
        <v xml:space="preserve"> 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5" t="s">
        <v>582</v>
      </c>
      <c r="B504" s="8" t="s">
        <v>229</v>
      </c>
      <c r="C504" s="11">
        <v>2</v>
      </c>
      <c r="D504" s="18">
        <v>1100</v>
      </c>
      <c r="E504" s="18">
        <v>1925</v>
      </c>
      <c r="F504" s="23"/>
      <c r="G504" s="9"/>
      <c r="H504" s="12">
        <v>34015373</v>
      </c>
      <c r="I504" s="12"/>
      <c r="J504" s="12"/>
      <c r="K504" s="14"/>
      <c r="L504" s="14" t="s">
        <v>64</v>
      </c>
      <c r="M504" s="12"/>
      <c r="N504" s="12"/>
      <c r="O504" s="12"/>
      <c r="P504" s="12"/>
      <c r="Q504" s="30"/>
      <c r="R504" s="29" t="s">
        <v>47</v>
      </c>
      <c r="S504" s="17" t="s">
        <v>47</v>
      </c>
      <c r="T504" s="13">
        <v>0</v>
      </c>
      <c r="U504" s="13">
        <v>0</v>
      </c>
      <c r="V504" s="13">
        <v>0</v>
      </c>
      <c r="W504" s="13">
        <v>0</v>
      </c>
      <c r="X504" s="13">
        <v>0</v>
      </c>
      <c r="Y504" s="1">
        <f>AVERAGE(U504:X504)</f>
        <v>0</v>
      </c>
      <c r="Z504" s="10"/>
      <c r="AA504" s="10"/>
      <c r="AB504" s="10"/>
      <c r="AC504" s="10"/>
      <c r="AD504" s="10"/>
      <c r="AE504" s="10"/>
      <c r="AF504" s="10"/>
      <c r="AG504" s="38">
        <f>COUNTIF(Z504:AF504,"X")/7</f>
        <v>0</v>
      </c>
      <c r="AH504" s="51" t="str">
        <f>IF(AG504=100%,Y504," ")</f>
        <v xml:space="preserve"> 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5" t="s">
        <v>583</v>
      </c>
      <c r="B505" s="8" t="s">
        <v>229</v>
      </c>
      <c r="C505" s="11">
        <v>2</v>
      </c>
      <c r="D505" s="18">
        <v>1200</v>
      </c>
      <c r="E505" s="18">
        <v>1950</v>
      </c>
      <c r="F505" s="23"/>
      <c r="G505" s="9" t="s">
        <v>584</v>
      </c>
      <c r="H505" s="10" t="s">
        <v>41</v>
      </c>
      <c r="I505" s="10"/>
      <c r="J505" s="10"/>
      <c r="K505" s="11"/>
      <c r="L505" s="11" t="s">
        <v>296</v>
      </c>
      <c r="M505" s="10" t="s">
        <v>585</v>
      </c>
      <c r="N505" s="10"/>
      <c r="O505" s="12"/>
      <c r="P505" s="10"/>
      <c r="Q505" s="29"/>
      <c r="R505" s="29" t="s">
        <v>47</v>
      </c>
      <c r="S505" s="10" t="s">
        <v>47</v>
      </c>
      <c r="T505" s="13">
        <v>0</v>
      </c>
      <c r="U505" s="13">
        <v>0</v>
      </c>
      <c r="V505" s="13">
        <v>0</v>
      </c>
      <c r="W505" s="13">
        <v>0</v>
      </c>
      <c r="X505" s="13">
        <v>0</v>
      </c>
      <c r="Y505" s="1">
        <f>AVERAGE(U505:X505)</f>
        <v>0</v>
      </c>
      <c r="Z505" s="10"/>
      <c r="AA505" s="10"/>
      <c r="AB505" s="10"/>
      <c r="AC505" s="10"/>
      <c r="AD505" s="10"/>
      <c r="AE505" s="10"/>
      <c r="AF505" s="10"/>
      <c r="AG505" s="38">
        <f>COUNTIF(Z505:AF505,"X")/7</f>
        <v>0</v>
      </c>
      <c r="AH505" s="51" t="str">
        <f>IF(AG505=100%,Y505," ")</f>
        <v xml:space="preserve"> 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5" t="s">
        <v>586</v>
      </c>
      <c r="B506" s="8" t="s">
        <v>229</v>
      </c>
      <c r="C506" s="11" t="s">
        <v>587</v>
      </c>
      <c r="D506" s="18">
        <v>1250</v>
      </c>
      <c r="E506" s="18">
        <v>1720</v>
      </c>
      <c r="F506" s="23"/>
      <c r="G506" s="9" t="s">
        <v>588</v>
      </c>
      <c r="H506" s="10" t="s">
        <v>41</v>
      </c>
      <c r="I506" s="10"/>
      <c r="J506" s="10"/>
      <c r="K506" s="11"/>
      <c r="L506" s="11" t="s">
        <v>64</v>
      </c>
      <c r="M506" s="10" t="s">
        <v>164</v>
      </c>
      <c r="N506" s="10"/>
      <c r="O506" s="12"/>
      <c r="P506" s="10"/>
      <c r="Q506" s="29"/>
      <c r="R506" s="29" t="s">
        <v>47</v>
      </c>
      <c r="S506" s="10" t="s">
        <v>47</v>
      </c>
      <c r="T506" s="13">
        <v>0</v>
      </c>
      <c r="U506" s="13">
        <v>0</v>
      </c>
      <c r="V506" s="13">
        <v>0</v>
      </c>
      <c r="W506" s="13">
        <v>0</v>
      </c>
      <c r="X506" s="13">
        <v>0</v>
      </c>
      <c r="Y506" s="1">
        <f>AVERAGE(U506:X506)</f>
        <v>0</v>
      </c>
      <c r="Z506" s="10"/>
      <c r="AA506" s="10"/>
      <c r="AB506" s="10"/>
      <c r="AC506" s="10"/>
      <c r="AD506" s="10"/>
      <c r="AE506" s="10"/>
      <c r="AF506" s="10"/>
      <c r="AG506" s="38">
        <f>COUNTIF(Z506:AF506,"X")/7</f>
        <v>0</v>
      </c>
      <c r="AH506" s="51" t="str">
        <f>IF(AG506=100%,Y506," ")</f>
        <v xml:space="preserve"> 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5" t="s">
        <v>589</v>
      </c>
      <c r="B507" s="8" t="s">
        <v>229</v>
      </c>
      <c r="C507" s="11">
        <v>3</v>
      </c>
      <c r="D507" s="18">
        <v>1150</v>
      </c>
      <c r="E507" s="18">
        <v>2000</v>
      </c>
      <c r="F507" s="23"/>
      <c r="G507" s="9" t="s">
        <v>590</v>
      </c>
      <c r="H507" s="10" t="s">
        <v>41</v>
      </c>
      <c r="I507" s="10"/>
      <c r="J507" s="10"/>
      <c r="K507" s="11"/>
      <c r="L507" s="11" t="s">
        <v>106</v>
      </c>
      <c r="M507" s="10" t="s">
        <v>297</v>
      </c>
      <c r="N507" s="10"/>
      <c r="O507" s="12"/>
      <c r="P507" s="10"/>
      <c r="Q507" s="29"/>
      <c r="R507" s="29" t="s">
        <v>47</v>
      </c>
      <c r="S507" s="10" t="s">
        <v>47</v>
      </c>
      <c r="T507" s="13">
        <v>0</v>
      </c>
      <c r="U507" s="13">
        <v>0</v>
      </c>
      <c r="V507" s="13">
        <v>0</v>
      </c>
      <c r="W507" s="13">
        <v>0</v>
      </c>
      <c r="X507" s="13">
        <v>0</v>
      </c>
      <c r="Y507" s="1">
        <f>AVERAGE(U507:X507)</f>
        <v>0</v>
      </c>
      <c r="Z507" s="10"/>
      <c r="AA507" s="10"/>
      <c r="AB507" s="10"/>
      <c r="AC507" s="10"/>
      <c r="AD507" s="10"/>
      <c r="AE507" s="10"/>
      <c r="AF507" s="10"/>
      <c r="AG507" s="38">
        <f>COUNTIF(Z507:AF507,"X")/7</f>
        <v>0</v>
      </c>
      <c r="AH507" s="51" t="str">
        <f>IF(AG507=100%,Y507," ")</f>
        <v xml:space="preserve"> 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5" t="s">
        <v>591</v>
      </c>
      <c r="B508" s="8" t="s">
        <v>229</v>
      </c>
      <c r="C508" s="11">
        <v>3</v>
      </c>
      <c r="D508" s="18">
        <v>1200</v>
      </c>
      <c r="E508" s="18">
        <v>2000</v>
      </c>
      <c r="F508" s="23"/>
      <c r="G508" s="9" t="s">
        <v>592</v>
      </c>
      <c r="H508" s="10" t="s">
        <v>41</v>
      </c>
      <c r="I508" s="10"/>
      <c r="J508" s="10"/>
      <c r="K508" s="11"/>
      <c r="L508" s="11" t="s">
        <v>106</v>
      </c>
      <c r="M508" s="10" t="s">
        <v>93</v>
      </c>
      <c r="N508" s="10"/>
      <c r="O508" s="12"/>
      <c r="P508" s="12" t="s">
        <v>47</v>
      </c>
      <c r="Q508" s="12" t="s">
        <v>47</v>
      </c>
      <c r="R508" s="29" t="s">
        <v>47</v>
      </c>
      <c r="S508" s="10" t="s">
        <v>47</v>
      </c>
      <c r="T508" s="13">
        <v>0</v>
      </c>
      <c r="U508" s="13">
        <v>0</v>
      </c>
      <c r="V508" s="13">
        <v>0</v>
      </c>
      <c r="W508" s="13">
        <v>0</v>
      </c>
      <c r="X508" s="13">
        <v>0</v>
      </c>
      <c r="Y508" s="1">
        <f>AVERAGE(U508:X508)</f>
        <v>0</v>
      </c>
      <c r="Z508" s="10"/>
      <c r="AA508" s="10"/>
      <c r="AB508" s="10"/>
      <c r="AC508" s="10"/>
      <c r="AD508" s="10"/>
      <c r="AE508" s="10"/>
      <c r="AF508" s="10"/>
      <c r="AG508" s="38">
        <f>COUNTIF(Z508:AF508,"X")/7</f>
        <v>0</v>
      </c>
      <c r="AH508" s="51" t="str">
        <f>IF(AG508=100%,Y508," ")</f>
        <v xml:space="preserve"> 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5" t="s">
        <v>593</v>
      </c>
      <c r="B509" s="8" t="s">
        <v>229</v>
      </c>
      <c r="C509" s="11">
        <v>3</v>
      </c>
      <c r="D509" s="18">
        <v>1220</v>
      </c>
      <c r="E509" s="18">
        <v>1400</v>
      </c>
      <c r="F509" s="23"/>
      <c r="G509" s="9" t="s">
        <v>594</v>
      </c>
      <c r="H509" s="12" t="s">
        <v>41</v>
      </c>
      <c r="I509" s="12"/>
      <c r="J509" s="12"/>
      <c r="K509" s="14"/>
      <c r="L509" s="14" t="s">
        <v>106</v>
      </c>
      <c r="M509" s="12"/>
      <c r="N509" s="12"/>
      <c r="O509" s="12"/>
      <c r="P509" s="12"/>
      <c r="Q509" s="30"/>
      <c r="R509" s="29" t="s">
        <v>47</v>
      </c>
      <c r="S509" s="10" t="s">
        <v>47</v>
      </c>
      <c r="T509" s="13">
        <v>0</v>
      </c>
      <c r="U509" s="13">
        <v>0</v>
      </c>
      <c r="V509" s="13">
        <v>0</v>
      </c>
      <c r="W509" s="13">
        <v>0</v>
      </c>
      <c r="X509" s="13">
        <v>0</v>
      </c>
      <c r="Y509" s="1">
        <f>AVERAGE(U509:X509)</f>
        <v>0</v>
      </c>
      <c r="Z509" s="10"/>
      <c r="AA509" s="10"/>
      <c r="AB509" s="10"/>
      <c r="AC509" s="10"/>
      <c r="AD509" s="10"/>
      <c r="AE509" s="10"/>
      <c r="AF509" s="10"/>
      <c r="AG509" s="38">
        <f>COUNTIF(Z509:AF509,"X")/7</f>
        <v>0</v>
      </c>
      <c r="AH509" s="51" t="str">
        <f>IF(AG509=100%,Y509," ")</f>
        <v xml:space="preserve"> 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5" t="s">
        <v>595</v>
      </c>
      <c r="B510" s="8" t="s">
        <v>229</v>
      </c>
      <c r="C510" s="11">
        <v>4</v>
      </c>
      <c r="D510" s="18">
        <v>1250</v>
      </c>
      <c r="E510" s="18">
        <v>3000</v>
      </c>
      <c r="F510" s="23"/>
      <c r="G510" s="9" t="s">
        <v>596</v>
      </c>
      <c r="H510" s="10" t="s">
        <v>41</v>
      </c>
      <c r="I510" s="10"/>
      <c r="J510" s="10"/>
      <c r="K510" s="11"/>
      <c r="L510" s="11" t="s">
        <v>296</v>
      </c>
      <c r="M510" s="10" t="s">
        <v>93</v>
      </c>
      <c r="N510" s="10" t="s">
        <v>332</v>
      </c>
      <c r="O510" s="12"/>
      <c r="P510" s="10"/>
      <c r="Q510" s="29"/>
      <c r="R510" s="29" t="s">
        <v>47</v>
      </c>
      <c r="S510" s="10" t="s">
        <v>47</v>
      </c>
      <c r="T510" s="13">
        <v>0</v>
      </c>
      <c r="U510" s="13">
        <v>0</v>
      </c>
      <c r="V510" s="13">
        <v>0</v>
      </c>
      <c r="W510" s="13">
        <v>0</v>
      </c>
      <c r="X510" s="13">
        <v>0</v>
      </c>
      <c r="Y510" s="1">
        <f>AVERAGE(U510:X510)</f>
        <v>0</v>
      </c>
      <c r="Z510" s="10"/>
      <c r="AA510" s="10"/>
      <c r="AB510" s="10"/>
      <c r="AC510" s="10"/>
      <c r="AD510" s="10"/>
      <c r="AE510" s="10"/>
      <c r="AF510" s="10"/>
      <c r="AG510" s="38">
        <f>COUNTIF(Z510:AF510,"X")/7</f>
        <v>0</v>
      </c>
      <c r="AH510" s="51" t="str">
        <f>IF(AG510=100%,Y510," ")</f>
        <v xml:space="preserve"> 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5" t="s">
        <v>597</v>
      </c>
      <c r="B511" s="8" t="s">
        <v>229</v>
      </c>
      <c r="C511" s="11">
        <v>4</v>
      </c>
      <c r="D511" s="18">
        <v>1200</v>
      </c>
      <c r="E511" s="18">
        <v>1950</v>
      </c>
      <c r="F511" s="23"/>
      <c r="G511" s="9" t="s">
        <v>598</v>
      </c>
      <c r="H511" s="10" t="s">
        <v>41</v>
      </c>
      <c r="I511" s="10"/>
      <c r="J511" s="10"/>
      <c r="K511" s="11"/>
      <c r="L511" s="11" t="s">
        <v>296</v>
      </c>
      <c r="M511" s="10" t="s">
        <v>93</v>
      </c>
      <c r="N511" s="10" t="s">
        <v>599</v>
      </c>
      <c r="O511" s="12"/>
      <c r="P511" s="10"/>
      <c r="Q511" s="29"/>
      <c r="R511" s="29" t="s">
        <v>47</v>
      </c>
      <c r="S511" s="10" t="s">
        <v>47</v>
      </c>
      <c r="T511" s="13">
        <v>0</v>
      </c>
      <c r="U511" s="13">
        <v>0</v>
      </c>
      <c r="V511" s="13">
        <v>0</v>
      </c>
      <c r="W511" s="13">
        <v>0</v>
      </c>
      <c r="X511" s="13">
        <v>0</v>
      </c>
      <c r="Y511" s="1">
        <f>AVERAGE(U511:X511)</f>
        <v>0</v>
      </c>
      <c r="Z511" s="10"/>
      <c r="AA511" s="10"/>
      <c r="AB511" s="10"/>
      <c r="AC511" s="10"/>
      <c r="AD511" s="10"/>
      <c r="AE511" s="10"/>
      <c r="AF511" s="10"/>
      <c r="AG511" s="38">
        <f>COUNTIF(Z511:AF511,"X")/7</f>
        <v>0</v>
      </c>
      <c r="AH511" s="51" t="str">
        <f>IF(AG511=100%,Y511," ")</f>
        <v xml:space="preserve"> 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5" t="s">
        <v>600</v>
      </c>
      <c r="B512" s="8" t="s">
        <v>229</v>
      </c>
      <c r="C512" s="11">
        <v>4</v>
      </c>
      <c r="D512" s="18">
        <v>1200</v>
      </c>
      <c r="E512" s="18">
        <v>2100</v>
      </c>
      <c r="F512" s="23"/>
      <c r="G512" s="9" t="s">
        <v>601</v>
      </c>
      <c r="H512" s="12" t="s">
        <v>41</v>
      </c>
      <c r="I512" s="12"/>
      <c r="J512" s="12"/>
      <c r="K512" s="14"/>
      <c r="L512" s="14" t="s">
        <v>296</v>
      </c>
      <c r="M512" s="12" t="s">
        <v>94</v>
      </c>
      <c r="N512" s="12"/>
      <c r="O512" s="12"/>
      <c r="P512" s="12"/>
      <c r="Q512" s="30"/>
      <c r="R512" s="29" t="s">
        <v>47</v>
      </c>
      <c r="S512" s="10" t="s">
        <v>47</v>
      </c>
      <c r="T512" s="13">
        <v>0</v>
      </c>
      <c r="U512" s="13">
        <v>0</v>
      </c>
      <c r="V512" s="13">
        <v>0</v>
      </c>
      <c r="W512" s="13">
        <v>0</v>
      </c>
      <c r="X512" s="13">
        <v>0</v>
      </c>
      <c r="Y512" s="1">
        <f>AVERAGE(U512:X512)</f>
        <v>0</v>
      </c>
      <c r="Z512" s="10"/>
      <c r="AA512" s="10"/>
      <c r="AB512" s="10"/>
      <c r="AC512" s="10"/>
      <c r="AD512" s="10"/>
      <c r="AE512" s="10"/>
      <c r="AF512" s="10"/>
      <c r="AG512" s="38">
        <f>COUNTIF(Z512:AF512,"X")/7</f>
        <v>0</v>
      </c>
      <c r="AH512" s="51" t="str">
        <f>IF(AG512=100%,Y512," ")</f>
        <v xml:space="preserve"> 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5" t="s">
        <v>602</v>
      </c>
      <c r="B513" s="8" t="s">
        <v>229</v>
      </c>
      <c r="C513" s="11">
        <v>4</v>
      </c>
      <c r="D513" s="18">
        <v>1250</v>
      </c>
      <c r="E513" s="18">
        <v>235</v>
      </c>
      <c r="F513" s="23"/>
      <c r="G513" s="9"/>
      <c r="H513" s="10" t="s">
        <v>41</v>
      </c>
      <c r="I513" s="10"/>
      <c r="J513" s="10"/>
      <c r="K513" s="11"/>
      <c r="L513" s="11" t="s">
        <v>296</v>
      </c>
      <c r="M513" s="10" t="s">
        <v>297</v>
      </c>
      <c r="N513" s="10"/>
      <c r="O513" s="12"/>
      <c r="P513" s="10"/>
      <c r="Q513" s="29"/>
      <c r="R513" s="29" t="s">
        <v>47</v>
      </c>
      <c r="S513" s="10" t="s">
        <v>47</v>
      </c>
      <c r="T513" s="13">
        <v>0</v>
      </c>
      <c r="U513" s="13">
        <v>0</v>
      </c>
      <c r="V513" s="13">
        <v>0</v>
      </c>
      <c r="W513" s="13">
        <v>0</v>
      </c>
      <c r="X513" s="13">
        <v>0</v>
      </c>
      <c r="Y513" s="1">
        <f>AVERAGE(U513:X513)</f>
        <v>0</v>
      </c>
      <c r="Z513" s="10"/>
      <c r="AA513" s="10"/>
      <c r="AB513" s="10"/>
      <c r="AC513" s="10"/>
      <c r="AD513" s="10"/>
      <c r="AE513" s="10"/>
      <c r="AF513" s="10"/>
      <c r="AG513" s="38">
        <f>COUNTIF(Z513:AF513,"X")/7</f>
        <v>0</v>
      </c>
      <c r="AH513" s="51" t="str">
        <f>IF(AG513=100%,Y513," ")</f>
        <v xml:space="preserve"> 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5" t="s">
        <v>603</v>
      </c>
      <c r="B514" s="8" t="s">
        <v>229</v>
      </c>
      <c r="C514" s="11">
        <v>4.75</v>
      </c>
      <c r="D514" s="18">
        <v>1300</v>
      </c>
      <c r="E514" s="18">
        <v>2805</v>
      </c>
      <c r="F514" s="23"/>
      <c r="G514" s="9" t="s">
        <v>604</v>
      </c>
      <c r="H514" s="10" t="s">
        <v>41</v>
      </c>
      <c r="I514" s="10"/>
      <c r="J514" s="10"/>
      <c r="K514" s="11"/>
      <c r="L514" s="11" t="s">
        <v>296</v>
      </c>
      <c r="M514" s="10" t="s">
        <v>93</v>
      </c>
      <c r="N514" s="10"/>
      <c r="O514" s="12"/>
      <c r="P514" s="10"/>
      <c r="Q514" s="29"/>
      <c r="R514" s="29" t="s">
        <v>47</v>
      </c>
      <c r="S514" s="10" t="s">
        <v>47</v>
      </c>
      <c r="T514" s="13">
        <v>0</v>
      </c>
      <c r="U514" s="13">
        <v>0</v>
      </c>
      <c r="V514" s="13">
        <v>0</v>
      </c>
      <c r="W514" s="13">
        <v>0</v>
      </c>
      <c r="X514" s="13">
        <v>0</v>
      </c>
      <c r="Y514" s="1">
        <f>AVERAGE(U514:X514)</f>
        <v>0</v>
      </c>
      <c r="Z514" s="10"/>
      <c r="AA514" s="10"/>
      <c r="AB514" s="10"/>
      <c r="AC514" s="10"/>
      <c r="AD514" s="10"/>
      <c r="AE514" s="10"/>
      <c r="AF514" s="10"/>
      <c r="AG514" s="38">
        <f>COUNTIF(Z514:AF514,"X")/7</f>
        <v>0</v>
      </c>
      <c r="AH514" s="51" t="str">
        <f>IF(AG514=100%,Y514," ")</f>
        <v xml:space="preserve"> 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5" t="s">
        <v>605</v>
      </c>
      <c r="B515" s="8" t="s">
        <v>229</v>
      </c>
      <c r="C515" s="11">
        <v>4.75</v>
      </c>
      <c r="D515" s="18">
        <v>1100</v>
      </c>
      <c r="E515" s="18">
        <v>2000</v>
      </c>
      <c r="F515" s="23"/>
      <c r="G515" s="9" t="s">
        <v>606</v>
      </c>
      <c r="H515" s="10" t="s">
        <v>41</v>
      </c>
      <c r="I515" s="10"/>
      <c r="J515" s="10"/>
      <c r="K515" s="11"/>
      <c r="L515" s="11" t="s">
        <v>296</v>
      </c>
      <c r="M515" s="10" t="s">
        <v>297</v>
      </c>
      <c r="N515" s="10"/>
      <c r="O515" s="12"/>
      <c r="P515" s="10"/>
      <c r="Q515" s="29"/>
      <c r="R515" s="29" t="s">
        <v>47</v>
      </c>
      <c r="S515" s="10" t="s">
        <v>47</v>
      </c>
      <c r="T515" s="13">
        <v>0</v>
      </c>
      <c r="U515" s="13">
        <v>0</v>
      </c>
      <c r="V515" s="13">
        <v>0</v>
      </c>
      <c r="W515" s="13">
        <v>0</v>
      </c>
      <c r="X515" s="13">
        <v>0</v>
      </c>
      <c r="Y515" s="1">
        <f>AVERAGE(U515:X515)</f>
        <v>0</v>
      </c>
      <c r="Z515" s="10"/>
      <c r="AA515" s="10"/>
      <c r="AB515" s="10"/>
      <c r="AC515" s="10"/>
      <c r="AD515" s="10"/>
      <c r="AE515" s="10"/>
      <c r="AF515" s="10"/>
      <c r="AG515" s="38">
        <f>COUNTIF(Z515:AF515,"X")/7</f>
        <v>0</v>
      </c>
      <c r="AH515" s="51" t="str">
        <f>IF(AG515=100%,Y515," ")</f>
        <v xml:space="preserve"> 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5" t="s">
        <v>607</v>
      </c>
      <c r="B516" s="8" t="s">
        <v>229</v>
      </c>
      <c r="C516" s="11">
        <v>5</v>
      </c>
      <c r="D516" s="18">
        <v>1100</v>
      </c>
      <c r="E516" s="18">
        <v>2200</v>
      </c>
      <c r="F516" s="23"/>
      <c r="G516" s="9"/>
      <c r="H516" s="12" t="s">
        <v>41</v>
      </c>
      <c r="I516" s="12"/>
      <c r="J516" s="12"/>
      <c r="K516" s="14"/>
      <c r="L516" s="11" t="s">
        <v>296</v>
      </c>
      <c r="M516" s="12"/>
      <c r="N516" s="12"/>
      <c r="O516" s="12"/>
      <c r="P516" s="12"/>
      <c r="Q516" s="30"/>
      <c r="R516" s="29" t="s">
        <v>47</v>
      </c>
      <c r="S516" s="10" t="s">
        <v>47</v>
      </c>
      <c r="T516" s="13">
        <v>0</v>
      </c>
      <c r="U516" s="13">
        <v>0</v>
      </c>
      <c r="V516" s="13">
        <v>0</v>
      </c>
      <c r="W516" s="13">
        <v>0</v>
      </c>
      <c r="X516" s="13">
        <v>0</v>
      </c>
      <c r="Y516" s="1">
        <f>AVERAGE(U516:X516)</f>
        <v>0</v>
      </c>
      <c r="Z516" s="10"/>
      <c r="AA516" s="10"/>
      <c r="AB516" s="10"/>
      <c r="AC516" s="10"/>
      <c r="AD516" s="10"/>
      <c r="AE516" s="10"/>
      <c r="AF516" s="10"/>
      <c r="AG516" s="38">
        <f>COUNTIF(Z516:AF516,"X")/7</f>
        <v>0</v>
      </c>
      <c r="AH516" s="51" t="str">
        <f>IF(AG516=100%,Y516," ")</f>
        <v xml:space="preserve"> 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5" t="s">
        <v>608</v>
      </c>
      <c r="B517" s="8" t="s">
        <v>229</v>
      </c>
      <c r="C517" s="11">
        <v>5</v>
      </c>
      <c r="D517" s="18">
        <v>1000</v>
      </c>
      <c r="E517" s="18">
        <v>1200</v>
      </c>
      <c r="F517" s="23"/>
      <c r="G517" s="9" t="s">
        <v>609</v>
      </c>
      <c r="H517" s="10" t="s">
        <v>41</v>
      </c>
      <c r="I517" s="10"/>
      <c r="J517" s="10"/>
      <c r="K517" s="11"/>
      <c r="L517" s="11" t="s">
        <v>296</v>
      </c>
      <c r="M517" s="10" t="s">
        <v>119</v>
      </c>
      <c r="N517" s="10"/>
      <c r="O517" s="12"/>
      <c r="P517" s="10"/>
      <c r="Q517" s="29"/>
      <c r="R517" s="29" t="s">
        <v>47</v>
      </c>
      <c r="S517" s="10" t="s">
        <v>47</v>
      </c>
      <c r="T517" s="13">
        <v>0</v>
      </c>
      <c r="U517" s="13">
        <v>0</v>
      </c>
      <c r="V517" s="13">
        <v>0</v>
      </c>
      <c r="W517" s="13">
        <v>0</v>
      </c>
      <c r="X517" s="13">
        <v>0</v>
      </c>
      <c r="Y517" s="1">
        <f>AVERAGE(U517:X517)</f>
        <v>0</v>
      </c>
      <c r="Z517" s="10"/>
      <c r="AA517" s="10"/>
      <c r="AB517" s="10"/>
      <c r="AC517" s="10"/>
      <c r="AD517" s="10"/>
      <c r="AE517" s="10"/>
      <c r="AF517" s="10"/>
      <c r="AG517" s="38">
        <f>COUNTIF(Z517:AF517,"X")/7</f>
        <v>0</v>
      </c>
      <c r="AH517" s="51" t="str">
        <f>IF(AG517=100%,Y517," ")</f>
        <v xml:space="preserve"> 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5" t="s">
        <v>610</v>
      </c>
      <c r="B518" s="8" t="s">
        <v>229</v>
      </c>
      <c r="C518" s="11">
        <v>6</v>
      </c>
      <c r="D518" s="18">
        <v>1200</v>
      </c>
      <c r="E518" s="18">
        <v>2000</v>
      </c>
      <c r="F518" s="23"/>
      <c r="G518" s="9" t="s">
        <v>92</v>
      </c>
      <c r="H518" s="12" t="s">
        <v>41</v>
      </c>
      <c r="I518" s="12"/>
      <c r="J518" s="12"/>
      <c r="K518" s="14"/>
      <c r="L518" s="14" t="s">
        <v>296</v>
      </c>
      <c r="M518" s="12" t="s">
        <v>94</v>
      </c>
      <c r="N518" s="12" t="s">
        <v>94</v>
      </c>
      <c r="O518" s="12"/>
      <c r="P518" s="12"/>
      <c r="Q518" s="30"/>
      <c r="R518" s="29" t="s">
        <v>47</v>
      </c>
      <c r="S518" s="12" t="s">
        <v>47</v>
      </c>
      <c r="T518" s="13">
        <v>0</v>
      </c>
      <c r="U518" s="13">
        <v>0</v>
      </c>
      <c r="V518" s="13">
        <v>0</v>
      </c>
      <c r="W518" s="13">
        <v>0</v>
      </c>
      <c r="X518" s="13">
        <v>0</v>
      </c>
      <c r="Y518" s="1">
        <f>AVERAGE(U518:X518)</f>
        <v>0</v>
      </c>
      <c r="Z518" s="10"/>
      <c r="AA518" s="10"/>
      <c r="AB518" s="10"/>
      <c r="AC518" s="10"/>
      <c r="AD518" s="10"/>
      <c r="AE518" s="10"/>
      <c r="AF518" s="10"/>
      <c r="AG518" s="38">
        <f>COUNTIF(Z518:AF518,"X")/7</f>
        <v>0</v>
      </c>
      <c r="AH518" s="51" t="str">
        <f>IF(AG518=100%,Y518," ")</f>
        <v xml:space="preserve"> 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5" t="s">
        <v>611</v>
      </c>
      <c r="B519" s="8" t="s">
        <v>152</v>
      </c>
      <c r="C519" s="11">
        <v>0.75</v>
      </c>
      <c r="D519" s="18">
        <v>450</v>
      </c>
      <c r="E519" s="18">
        <v>700</v>
      </c>
      <c r="F519" s="23"/>
      <c r="G519" s="9" t="s">
        <v>612</v>
      </c>
      <c r="H519" s="10">
        <v>34025702</v>
      </c>
      <c r="I519" s="10"/>
      <c r="J519" s="10"/>
      <c r="K519" s="11"/>
      <c r="L519" s="11" t="s">
        <v>64</v>
      </c>
      <c r="M519" s="10" t="s">
        <v>613</v>
      </c>
      <c r="N519" s="10" t="s">
        <v>443</v>
      </c>
      <c r="O519" s="12"/>
      <c r="P519" s="10"/>
      <c r="Q519" s="29"/>
      <c r="R519" s="29" t="s">
        <v>47</v>
      </c>
      <c r="S519" s="10" t="s">
        <v>47</v>
      </c>
      <c r="T519" s="13">
        <v>0</v>
      </c>
      <c r="U519" s="13">
        <v>0</v>
      </c>
      <c r="V519" s="13">
        <v>0</v>
      </c>
      <c r="W519" s="13">
        <v>0</v>
      </c>
      <c r="X519" s="13">
        <v>0</v>
      </c>
      <c r="Y519" s="1">
        <f>AVERAGE(U519:X519)</f>
        <v>0</v>
      </c>
      <c r="Z519" s="10"/>
      <c r="AA519" s="10"/>
      <c r="AB519" s="10"/>
      <c r="AC519" s="10"/>
      <c r="AD519" s="10"/>
      <c r="AE519" s="10"/>
      <c r="AF519" s="10"/>
      <c r="AG519" s="38">
        <f>COUNTIF(Z519:AF519,"X")/7</f>
        <v>0</v>
      </c>
      <c r="AH519" s="51" t="str">
        <f>IF(AG519=100%,Y519," ")</f>
        <v xml:space="preserve"> 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5" t="s">
        <v>614</v>
      </c>
      <c r="B520" s="8" t="s">
        <v>152</v>
      </c>
      <c r="C520" s="11">
        <v>0.85</v>
      </c>
      <c r="D520" s="18">
        <v>170</v>
      </c>
      <c r="E520" s="18">
        <v>210</v>
      </c>
      <c r="F520" s="23"/>
      <c r="G520" s="9" t="s">
        <v>615</v>
      </c>
      <c r="H520" s="10" t="s">
        <v>41</v>
      </c>
      <c r="I520" s="10"/>
      <c r="J520" s="10"/>
      <c r="K520" s="11"/>
      <c r="L520" s="11" t="s">
        <v>296</v>
      </c>
      <c r="M520" s="10" t="s">
        <v>195</v>
      </c>
      <c r="N520" s="10" t="s">
        <v>527</v>
      </c>
      <c r="O520" s="12"/>
      <c r="P520" s="10"/>
      <c r="Q520" s="29"/>
      <c r="R520" s="29" t="s">
        <v>47</v>
      </c>
      <c r="S520" s="10" t="s">
        <v>47</v>
      </c>
      <c r="T520" s="13">
        <v>0</v>
      </c>
      <c r="U520" s="13">
        <v>0</v>
      </c>
      <c r="V520" s="13">
        <v>0</v>
      </c>
      <c r="W520" s="13">
        <v>0</v>
      </c>
      <c r="X520" s="13">
        <v>0</v>
      </c>
      <c r="Y520" s="1">
        <f>AVERAGE(U520:X520)</f>
        <v>0</v>
      </c>
      <c r="Z520" s="10"/>
      <c r="AA520" s="10"/>
      <c r="AB520" s="10"/>
      <c r="AC520" s="10"/>
      <c r="AD520" s="10"/>
      <c r="AE520" s="10"/>
      <c r="AF520" s="10"/>
      <c r="AG520" s="38">
        <f>COUNTIF(Z520:AF520,"X")/7</f>
        <v>0</v>
      </c>
      <c r="AH520" s="51" t="str">
        <f>IF(AG520=100%,Y520," ")</f>
        <v xml:space="preserve"> 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5" t="s">
        <v>616</v>
      </c>
      <c r="B521" s="8" t="s">
        <v>617</v>
      </c>
      <c r="C521" s="11">
        <v>1</v>
      </c>
      <c r="D521" s="18">
        <v>140</v>
      </c>
      <c r="E521" s="18">
        <v>93</v>
      </c>
      <c r="F521" s="23"/>
      <c r="G521" s="9" t="s">
        <v>618</v>
      </c>
      <c r="H521" s="10" t="s">
        <v>41</v>
      </c>
      <c r="I521" s="10"/>
      <c r="J521" s="10"/>
      <c r="K521" s="11"/>
      <c r="L521" s="11" t="s">
        <v>195</v>
      </c>
      <c r="M521" s="10" t="s">
        <v>45</v>
      </c>
      <c r="N521" s="37" t="s">
        <v>46</v>
      </c>
      <c r="O521" s="12"/>
      <c r="P521" s="10"/>
      <c r="Q521" s="29"/>
      <c r="R521" s="29" t="s">
        <v>47</v>
      </c>
      <c r="S521" s="10" t="s">
        <v>47</v>
      </c>
      <c r="T521" s="13">
        <v>0</v>
      </c>
      <c r="U521" s="13">
        <v>0</v>
      </c>
      <c r="V521" s="13">
        <v>0</v>
      </c>
      <c r="W521" s="13">
        <v>0</v>
      </c>
      <c r="X521" s="13">
        <v>0</v>
      </c>
      <c r="Y521" s="1">
        <f>AVERAGE(U521:X521)</f>
        <v>0</v>
      </c>
      <c r="Z521" s="10"/>
      <c r="AA521" s="10"/>
      <c r="AB521" s="10"/>
      <c r="AC521" s="10"/>
      <c r="AD521" s="10"/>
      <c r="AE521" s="10"/>
      <c r="AF521" s="10"/>
      <c r="AG521" s="38">
        <f>COUNTIF(Z521:AF521,"X")/7</f>
        <v>0</v>
      </c>
      <c r="AH521" s="51" t="str">
        <f>IF(AG521=100%,Y521," ")</f>
        <v xml:space="preserve"> 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5" t="s">
        <v>619</v>
      </c>
      <c r="B522" s="8" t="s">
        <v>158</v>
      </c>
      <c r="C522" s="11">
        <v>0.75</v>
      </c>
      <c r="D522" s="18">
        <v>170</v>
      </c>
      <c r="E522" s="18" t="s">
        <v>41</v>
      </c>
      <c r="F522" s="23"/>
      <c r="G522" s="9" t="s">
        <v>620</v>
      </c>
      <c r="H522" s="10" t="s">
        <v>41</v>
      </c>
      <c r="I522" s="10"/>
      <c r="J522" s="10"/>
      <c r="K522" s="11"/>
      <c r="L522" s="11" t="s">
        <v>296</v>
      </c>
      <c r="M522" s="10" t="s">
        <v>164</v>
      </c>
      <c r="N522" s="10" t="s">
        <v>621</v>
      </c>
      <c r="O522" s="12"/>
      <c r="P522" s="10" t="s">
        <v>47</v>
      </c>
      <c r="Q522" s="29" t="s">
        <v>47</v>
      </c>
      <c r="R522" s="29" t="s">
        <v>47</v>
      </c>
      <c r="S522" s="10" t="s">
        <v>47</v>
      </c>
      <c r="T522" s="13">
        <v>0</v>
      </c>
      <c r="U522" s="13">
        <v>0</v>
      </c>
      <c r="V522" s="13">
        <v>0</v>
      </c>
      <c r="W522" s="13">
        <v>0</v>
      </c>
      <c r="X522" s="13">
        <v>0</v>
      </c>
      <c r="Y522" s="1">
        <f>AVERAGE(U522:X522)</f>
        <v>0</v>
      </c>
      <c r="Z522" s="10"/>
      <c r="AA522" s="10"/>
      <c r="AB522" s="10"/>
      <c r="AC522" s="10"/>
      <c r="AD522" s="10"/>
      <c r="AE522" s="10"/>
      <c r="AF522" s="10"/>
      <c r="AG522" s="38">
        <f>COUNTIF(Z522:AF522,"X")/7</f>
        <v>0</v>
      </c>
      <c r="AH522" s="51" t="str">
        <f>IF(AG522=100%,Y522," ")</f>
        <v xml:space="preserve"> 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5" t="s">
        <v>622</v>
      </c>
      <c r="B523" s="8" t="s">
        <v>158</v>
      </c>
      <c r="C523" s="11">
        <v>0.75</v>
      </c>
      <c r="D523" s="18">
        <v>199</v>
      </c>
      <c r="E523" s="18" t="s">
        <v>41</v>
      </c>
      <c r="F523" s="23"/>
      <c r="G523" s="9" t="s">
        <v>623</v>
      </c>
      <c r="H523" s="10" t="s">
        <v>41</v>
      </c>
      <c r="I523" s="10"/>
      <c r="J523" s="10"/>
      <c r="K523" s="11"/>
      <c r="L523" s="11" t="s">
        <v>296</v>
      </c>
      <c r="M523" s="10" t="s">
        <v>164</v>
      </c>
      <c r="N523" s="10" t="s">
        <v>621</v>
      </c>
      <c r="O523" s="12"/>
      <c r="P523" s="10" t="s">
        <v>47</v>
      </c>
      <c r="Q523" s="29" t="s">
        <v>47</v>
      </c>
      <c r="R523" s="29" t="s">
        <v>47</v>
      </c>
      <c r="S523" s="10" t="s">
        <v>47</v>
      </c>
      <c r="T523" s="13">
        <v>0</v>
      </c>
      <c r="U523" s="13">
        <v>0</v>
      </c>
      <c r="V523" s="13">
        <v>0</v>
      </c>
      <c r="W523" s="13">
        <v>0</v>
      </c>
      <c r="X523" s="13">
        <v>0</v>
      </c>
      <c r="Y523" s="1">
        <f>AVERAGE(U523:X523)</f>
        <v>0</v>
      </c>
      <c r="Z523" s="10"/>
      <c r="AA523" s="10"/>
      <c r="AB523" s="10"/>
      <c r="AC523" s="10"/>
      <c r="AD523" s="10"/>
      <c r="AE523" s="10"/>
      <c r="AF523" s="10"/>
      <c r="AG523" s="38">
        <f>COUNTIF(Z523:AF523,"X")/7</f>
        <v>0</v>
      </c>
      <c r="AH523" s="51" t="str">
        <f>IF(AG523=100%,Y523," ")</f>
        <v xml:space="preserve"> 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5" t="s">
        <v>624</v>
      </c>
      <c r="B524" s="8" t="s">
        <v>158</v>
      </c>
      <c r="C524" s="11">
        <v>0.75</v>
      </c>
      <c r="D524" s="18">
        <v>234</v>
      </c>
      <c r="E524" s="18" t="s">
        <v>41</v>
      </c>
      <c r="F524" s="23"/>
      <c r="G524" s="9" t="s">
        <v>625</v>
      </c>
      <c r="H524" s="12" t="s">
        <v>41</v>
      </c>
      <c r="I524" s="12"/>
      <c r="J524" s="12"/>
      <c r="K524" s="14"/>
      <c r="L524" s="14" t="s">
        <v>296</v>
      </c>
      <c r="M524" s="12" t="s">
        <v>164</v>
      </c>
      <c r="N524" s="12" t="s">
        <v>621</v>
      </c>
      <c r="O524" s="12"/>
      <c r="P524" s="12" t="s">
        <v>47</v>
      </c>
      <c r="Q524" s="30" t="s">
        <v>47</v>
      </c>
      <c r="R524" s="29" t="s">
        <v>47</v>
      </c>
      <c r="S524" s="12" t="s">
        <v>47</v>
      </c>
      <c r="T524" s="13">
        <v>0</v>
      </c>
      <c r="U524" s="13">
        <v>0</v>
      </c>
      <c r="V524" s="13">
        <v>0</v>
      </c>
      <c r="W524" s="13">
        <v>0</v>
      </c>
      <c r="X524" s="13">
        <v>0</v>
      </c>
      <c r="Y524" s="1">
        <f>AVERAGE(U524:X524)</f>
        <v>0</v>
      </c>
      <c r="Z524" s="10"/>
      <c r="AA524" s="10"/>
      <c r="AB524" s="10"/>
      <c r="AC524" s="10"/>
      <c r="AD524" s="10"/>
      <c r="AE524" s="10"/>
      <c r="AF524" s="10"/>
      <c r="AG524" s="38">
        <f>COUNTIF(Z524:AF524,"X")/7</f>
        <v>0</v>
      </c>
      <c r="AH524" s="51" t="str">
        <f>IF(AG524=100%,Y524," ")</f>
        <v xml:space="preserve"> 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5" t="s">
        <v>626</v>
      </c>
      <c r="B525" s="8" t="s">
        <v>158</v>
      </c>
      <c r="C525" s="11">
        <v>0.8</v>
      </c>
      <c r="D525" s="18">
        <v>793</v>
      </c>
      <c r="E525" s="18" t="s">
        <v>41</v>
      </c>
      <c r="F525" s="23"/>
      <c r="G525" s="9" t="s">
        <v>627</v>
      </c>
      <c r="H525" s="10" t="s">
        <v>41</v>
      </c>
      <c r="I525" s="10"/>
      <c r="J525" s="10"/>
      <c r="K525" s="11"/>
      <c r="L525" s="11" t="s">
        <v>296</v>
      </c>
      <c r="M525" s="10" t="s">
        <v>115</v>
      </c>
      <c r="N525" s="10" t="s">
        <v>420</v>
      </c>
      <c r="O525" s="12"/>
      <c r="P525" s="10"/>
      <c r="Q525" s="29"/>
      <c r="R525" s="29" t="s">
        <v>47</v>
      </c>
      <c r="S525" s="10" t="s">
        <v>47</v>
      </c>
      <c r="T525" s="13">
        <v>0</v>
      </c>
      <c r="U525" s="13">
        <v>0</v>
      </c>
      <c r="V525" s="13">
        <v>0</v>
      </c>
      <c r="W525" s="13">
        <v>0</v>
      </c>
      <c r="X525" s="13">
        <v>0</v>
      </c>
      <c r="Y525" s="1">
        <f>AVERAGE(U525:X525)</f>
        <v>0</v>
      </c>
      <c r="Z525" s="10"/>
      <c r="AA525" s="10"/>
      <c r="AB525" s="10"/>
      <c r="AC525" s="10"/>
      <c r="AD525" s="10"/>
      <c r="AE525" s="10"/>
      <c r="AF525" s="10"/>
      <c r="AG525" s="38">
        <f>COUNTIF(Z525:AF525,"X")/7</f>
        <v>0</v>
      </c>
      <c r="AH525" s="51" t="str">
        <f>IF(AG525=100%,Y525," ")</f>
        <v xml:space="preserve"> 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5" t="s">
        <v>628</v>
      </c>
      <c r="B526" s="8" t="s">
        <v>158</v>
      </c>
      <c r="C526" s="11">
        <v>0.8</v>
      </c>
      <c r="D526" s="18">
        <v>935</v>
      </c>
      <c r="E526" s="18" t="s">
        <v>41</v>
      </c>
      <c r="F526" s="23"/>
      <c r="G526" s="9" t="s">
        <v>629</v>
      </c>
      <c r="H526" s="12" t="s">
        <v>41</v>
      </c>
      <c r="I526" s="10"/>
      <c r="J526" s="12"/>
      <c r="K526" s="14"/>
      <c r="L526" s="14" t="s">
        <v>296</v>
      </c>
      <c r="M526" s="12" t="s">
        <v>115</v>
      </c>
      <c r="N526" s="12" t="s">
        <v>420</v>
      </c>
      <c r="O526" s="12"/>
      <c r="P526" s="12"/>
      <c r="Q526" s="30"/>
      <c r="R526" s="29" t="s">
        <v>47</v>
      </c>
      <c r="S526" s="10" t="s">
        <v>47</v>
      </c>
      <c r="T526" s="13">
        <v>0</v>
      </c>
      <c r="U526" s="13">
        <v>0</v>
      </c>
      <c r="V526" s="13">
        <v>0</v>
      </c>
      <c r="W526" s="13">
        <v>0</v>
      </c>
      <c r="X526" s="13">
        <v>0</v>
      </c>
      <c r="Y526" s="1">
        <f>AVERAGE(U526:X526)</f>
        <v>0</v>
      </c>
      <c r="Z526" s="10"/>
      <c r="AA526" s="10"/>
      <c r="AB526" s="10"/>
      <c r="AC526" s="10"/>
      <c r="AD526" s="10"/>
      <c r="AE526" s="10"/>
      <c r="AF526" s="10"/>
      <c r="AG526" s="38">
        <f>COUNTIF(Z526:AF526,"X")/7</f>
        <v>0</v>
      </c>
      <c r="AH526" s="51" t="str">
        <f>IF(AG526=100%,Y526," ")</f>
        <v xml:space="preserve"> 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5" t="s">
        <v>630</v>
      </c>
      <c r="B527" s="8" t="s">
        <v>158</v>
      </c>
      <c r="C527" s="11">
        <v>1.2</v>
      </c>
      <c r="D527" s="18">
        <v>575</v>
      </c>
      <c r="E527" s="18" t="s">
        <v>41</v>
      </c>
      <c r="F527" s="23"/>
      <c r="G527" s="9" t="s">
        <v>631</v>
      </c>
      <c r="H527" s="10" t="s">
        <v>41</v>
      </c>
      <c r="I527" s="10"/>
      <c r="J527" s="10"/>
      <c r="K527" s="11"/>
      <c r="L527" s="11" t="s">
        <v>296</v>
      </c>
      <c r="M527" s="10" t="s">
        <v>164</v>
      </c>
      <c r="N527" s="10" t="s">
        <v>621</v>
      </c>
      <c r="O527" s="12"/>
      <c r="P527" s="10" t="s">
        <v>47</v>
      </c>
      <c r="Q527" s="29" t="s">
        <v>47</v>
      </c>
      <c r="R527" s="29" t="s">
        <v>47</v>
      </c>
      <c r="S527" s="10" t="s">
        <v>47</v>
      </c>
      <c r="T527" s="13">
        <v>0</v>
      </c>
      <c r="U527" s="13">
        <v>0</v>
      </c>
      <c r="V527" s="13">
        <v>0</v>
      </c>
      <c r="W527" s="13">
        <v>0</v>
      </c>
      <c r="X527" s="13">
        <v>0</v>
      </c>
      <c r="Y527" s="1">
        <f>AVERAGE(U527:X527)</f>
        <v>0</v>
      </c>
      <c r="Z527" s="10"/>
      <c r="AA527" s="10"/>
      <c r="AB527" s="10"/>
      <c r="AC527" s="10"/>
      <c r="AD527" s="10"/>
      <c r="AE527" s="10"/>
      <c r="AF527" s="10"/>
      <c r="AG527" s="38">
        <f>COUNTIF(Z527:AF527,"X")/7</f>
        <v>0</v>
      </c>
      <c r="AH527" s="51" t="str">
        <f>IF(AG527=100%,Y527," ")</f>
        <v xml:space="preserve"> 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5" t="s">
        <v>632</v>
      </c>
      <c r="B528" s="8" t="s">
        <v>158</v>
      </c>
      <c r="C528" s="11">
        <v>1.2</v>
      </c>
      <c r="D528" s="18">
        <v>147</v>
      </c>
      <c r="E528" s="18" t="s">
        <v>41</v>
      </c>
      <c r="F528" s="23"/>
      <c r="G528" s="9" t="s">
        <v>633</v>
      </c>
      <c r="H528" s="10" t="s">
        <v>41</v>
      </c>
      <c r="I528" s="10"/>
      <c r="J528" s="10"/>
      <c r="K528" s="11"/>
      <c r="L528" s="11" t="s">
        <v>296</v>
      </c>
      <c r="M528" s="10" t="s">
        <v>195</v>
      </c>
      <c r="N528" s="10" t="s">
        <v>425</v>
      </c>
      <c r="O528" s="12"/>
      <c r="P528" s="10"/>
      <c r="Q528" s="29"/>
      <c r="R528" s="29" t="s">
        <v>47</v>
      </c>
      <c r="S528" s="10" t="s">
        <v>47</v>
      </c>
      <c r="T528" s="13">
        <v>0</v>
      </c>
      <c r="U528" s="13">
        <v>0</v>
      </c>
      <c r="V528" s="13">
        <v>0</v>
      </c>
      <c r="W528" s="13">
        <v>0</v>
      </c>
      <c r="X528" s="13">
        <v>0</v>
      </c>
      <c r="Y528" s="1">
        <f>AVERAGE(U528:X528)</f>
        <v>0</v>
      </c>
      <c r="Z528" s="10"/>
      <c r="AA528" s="10"/>
      <c r="AB528" s="10"/>
      <c r="AC528" s="10"/>
      <c r="AD528" s="10"/>
      <c r="AE528" s="10"/>
      <c r="AF528" s="10"/>
      <c r="AG528" s="38">
        <f>COUNTIF(Z528:AF528,"X")/7</f>
        <v>0</v>
      </c>
      <c r="AH528" s="51" t="str">
        <f>IF(AG528=100%,Y528," ")</f>
        <v xml:space="preserve"> 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5" t="s">
        <v>634</v>
      </c>
      <c r="B529" s="8" t="s">
        <v>158</v>
      </c>
      <c r="C529" s="11">
        <v>1.2</v>
      </c>
      <c r="D529" s="18">
        <v>525</v>
      </c>
      <c r="E529" s="18" t="s">
        <v>41</v>
      </c>
      <c r="F529" s="23"/>
      <c r="G529" s="9" t="s">
        <v>635</v>
      </c>
      <c r="H529" s="10" t="s">
        <v>41</v>
      </c>
      <c r="I529" s="10"/>
      <c r="J529" s="10"/>
      <c r="K529" s="11"/>
      <c r="L529" s="11" t="s">
        <v>296</v>
      </c>
      <c r="M529" s="10" t="s">
        <v>263</v>
      </c>
      <c r="N529" s="10"/>
      <c r="O529" s="12"/>
      <c r="P529" s="10"/>
      <c r="Q529" s="29"/>
      <c r="R529" s="29" t="s">
        <v>47</v>
      </c>
      <c r="S529" s="10" t="s">
        <v>47</v>
      </c>
      <c r="T529" s="13">
        <v>0</v>
      </c>
      <c r="U529" s="13">
        <v>0</v>
      </c>
      <c r="V529" s="13">
        <v>0</v>
      </c>
      <c r="W529" s="13">
        <v>0</v>
      </c>
      <c r="X529" s="13">
        <v>0</v>
      </c>
      <c r="Y529" s="1">
        <f>AVERAGE(U529:X529)</f>
        <v>0</v>
      </c>
      <c r="Z529" s="10"/>
      <c r="AA529" s="10"/>
      <c r="AB529" s="10"/>
      <c r="AC529" s="10"/>
      <c r="AD529" s="10"/>
      <c r="AE529" s="10"/>
      <c r="AF529" s="10"/>
      <c r="AG529" s="38">
        <f>COUNTIF(Z529:AF529,"X")/7</f>
        <v>0</v>
      </c>
      <c r="AH529" s="51" t="str">
        <f>IF(AG529=100%,Y529," ")</f>
        <v xml:space="preserve"> 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5" t="s">
        <v>636</v>
      </c>
      <c r="B530" s="8" t="s">
        <v>158</v>
      </c>
      <c r="C530" s="11">
        <v>1.4</v>
      </c>
      <c r="D530" s="18">
        <v>45</v>
      </c>
      <c r="E530" s="18" t="s">
        <v>41</v>
      </c>
      <c r="F530" s="23"/>
      <c r="G530" s="9" t="s">
        <v>637</v>
      </c>
      <c r="H530" s="10" t="s">
        <v>41</v>
      </c>
      <c r="I530" s="10"/>
      <c r="J530" s="10"/>
      <c r="K530" s="11"/>
      <c r="L530" s="11" t="s">
        <v>296</v>
      </c>
      <c r="M530" s="12" t="s">
        <v>164</v>
      </c>
      <c r="N530" s="10" t="s">
        <v>145</v>
      </c>
      <c r="O530" s="12"/>
      <c r="P530" s="10"/>
      <c r="Q530" s="29"/>
      <c r="R530" s="29" t="s">
        <v>47</v>
      </c>
      <c r="S530" s="10" t="s">
        <v>47</v>
      </c>
      <c r="T530" s="13">
        <v>0</v>
      </c>
      <c r="U530" s="13">
        <v>0</v>
      </c>
      <c r="V530" s="13">
        <v>0</v>
      </c>
      <c r="W530" s="13">
        <v>0</v>
      </c>
      <c r="X530" s="13">
        <v>0</v>
      </c>
      <c r="Y530" s="1">
        <f>AVERAGE(U530:X530)</f>
        <v>0</v>
      </c>
      <c r="Z530" s="10"/>
      <c r="AA530" s="10"/>
      <c r="AB530" s="10"/>
      <c r="AC530" s="10"/>
      <c r="AD530" s="10"/>
      <c r="AE530" s="10"/>
      <c r="AF530" s="10"/>
      <c r="AG530" s="38">
        <f>COUNTIF(Z530:AF530,"X")/7</f>
        <v>0</v>
      </c>
      <c r="AH530" s="51" t="str">
        <f>IF(AG530=100%,Y530," ")</f>
        <v xml:space="preserve"> 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5" t="s">
        <v>638</v>
      </c>
      <c r="B531" s="8" t="s">
        <v>158</v>
      </c>
      <c r="C531" s="11">
        <v>1.5</v>
      </c>
      <c r="D531" s="18">
        <v>430</v>
      </c>
      <c r="E531" s="18" t="s">
        <v>41</v>
      </c>
      <c r="F531" s="23"/>
      <c r="G531" s="9" t="s">
        <v>639</v>
      </c>
      <c r="H531" s="10" t="s">
        <v>41</v>
      </c>
      <c r="I531" s="10"/>
      <c r="J531" s="10"/>
      <c r="K531" s="11"/>
      <c r="L531" s="11" t="s">
        <v>296</v>
      </c>
      <c r="M531" s="10" t="s">
        <v>115</v>
      </c>
      <c r="N531" s="10" t="s">
        <v>420</v>
      </c>
      <c r="O531" s="12"/>
      <c r="P531" s="10"/>
      <c r="Q531" s="29"/>
      <c r="R531" s="29" t="s">
        <v>47</v>
      </c>
      <c r="S531" s="10" t="s">
        <v>47</v>
      </c>
      <c r="T531" s="13">
        <v>0</v>
      </c>
      <c r="U531" s="13">
        <v>0</v>
      </c>
      <c r="V531" s="13">
        <v>0</v>
      </c>
      <c r="W531" s="13">
        <v>0</v>
      </c>
      <c r="X531" s="13">
        <v>0</v>
      </c>
      <c r="Y531" s="1">
        <f>AVERAGE(U531:X531)</f>
        <v>0</v>
      </c>
      <c r="Z531" s="10"/>
      <c r="AA531" s="10"/>
      <c r="AB531" s="10"/>
      <c r="AC531" s="10"/>
      <c r="AD531" s="10"/>
      <c r="AE531" s="10"/>
      <c r="AF531" s="10"/>
      <c r="AG531" s="38">
        <f>COUNTIF(Z531:AF531,"X")/7</f>
        <v>0</v>
      </c>
      <c r="AH531" s="51" t="str">
        <f>IF(AG531=100%,Y531," ")</f>
        <v xml:space="preserve"> 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5" t="s">
        <v>640</v>
      </c>
      <c r="B532" s="8" t="s">
        <v>158</v>
      </c>
      <c r="C532" s="11">
        <v>1.5</v>
      </c>
      <c r="D532" s="18">
        <v>560</v>
      </c>
      <c r="E532" s="18" t="s">
        <v>41</v>
      </c>
      <c r="F532" s="23"/>
      <c r="G532" s="9" t="s">
        <v>641</v>
      </c>
      <c r="H532" s="10" t="s">
        <v>41</v>
      </c>
      <c r="I532" s="10"/>
      <c r="J532" s="10"/>
      <c r="K532" s="11"/>
      <c r="L532" s="11" t="s">
        <v>296</v>
      </c>
      <c r="M532" s="10" t="s">
        <v>115</v>
      </c>
      <c r="N532" s="10" t="s">
        <v>420</v>
      </c>
      <c r="O532" s="12"/>
      <c r="P532" s="10"/>
      <c r="Q532" s="29"/>
      <c r="R532" s="29" t="s">
        <v>47</v>
      </c>
      <c r="S532" s="10" t="s">
        <v>47</v>
      </c>
      <c r="T532" s="13">
        <v>0</v>
      </c>
      <c r="U532" s="13">
        <v>0</v>
      </c>
      <c r="V532" s="13">
        <v>0</v>
      </c>
      <c r="W532" s="13">
        <v>0</v>
      </c>
      <c r="X532" s="13">
        <v>0</v>
      </c>
      <c r="Y532" s="1">
        <f>AVERAGE(U532:X532)</f>
        <v>0</v>
      </c>
      <c r="Z532" s="10"/>
      <c r="AA532" s="10"/>
      <c r="AB532" s="10"/>
      <c r="AC532" s="10"/>
      <c r="AD532" s="10"/>
      <c r="AE532" s="10"/>
      <c r="AF532" s="10"/>
      <c r="AG532" s="38">
        <f>COUNTIF(Z532:AF532,"X")/7</f>
        <v>0</v>
      </c>
      <c r="AH532" s="51" t="str">
        <f>IF(AG532=100%,Y532," ")</f>
        <v xml:space="preserve"> 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5" t="s">
        <v>642</v>
      </c>
      <c r="B533" s="8" t="s">
        <v>158</v>
      </c>
      <c r="C533" s="11">
        <v>1.5</v>
      </c>
      <c r="D533" s="18">
        <v>210</v>
      </c>
      <c r="E533" s="18" t="s">
        <v>41</v>
      </c>
      <c r="F533" s="23"/>
      <c r="G533" s="9" t="s">
        <v>643</v>
      </c>
      <c r="H533" s="10" t="s">
        <v>41</v>
      </c>
      <c r="I533" s="10"/>
      <c r="J533" s="10"/>
      <c r="K533" s="11"/>
      <c r="L533" s="11" t="s">
        <v>296</v>
      </c>
      <c r="M533" s="10" t="s">
        <v>164</v>
      </c>
      <c r="N533" s="10" t="s">
        <v>145</v>
      </c>
      <c r="O533" s="12"/>
      <c r="P533" s="10"/>
      <c r="Q533" s="29"/>
      <c r="R533" s="29" t="s">
        <v>47</v>
      </c>
      <c r="S533" s="10" t="s">
        <v>47</v>
      </c>
      <c r="T533" s="13">
        <v>0</v>
      </c>
      <c r="U533" s="13">
        <v>0</v>
      </c>
      <c r="V533" s="13">
        <v>0</v>
      </c>
      <c r="W533" s="13">
        <v>0</v>
      </c>
      <c r="X533" s="13">
        <v>0</v>
      </c>
      <c r="Y533" s="1">
        <f>AVERAGE(U533:X533)</f>
        <v>0</v>
      </c>
      <c r="Z533" s="10"/>
      <c r="AA533" s="10"/>
      <c r="AB533" s="10"/>
      <c r="AC533" s="10"/>
      <c r="AD533" s="10"/>
      <c r="AE533" s="10"/>
      <c r="AF533" s="10"/>
      <c r="AG533" s="38">
        <f>COUNTIF(Z533:AF533,"X")/7</f>
        <v>0</v>
      </c>
      <c r="AH533" s="51" t="str">
        <f>IF(AG533=100%,Y533," ")</f>
        <v xml:space="preserve"> 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5" t="s">
        <v>644</v>
      </c>
      <c r="B534" s="8" t="s">
        <v>158</v>
      </c>
      <c r="C534" s="11">
        <v>1.5</v>
      </c>
      <c r="D534" s="18">
        <v>250</v>
      </c>
      <c r="E534" s="18" t="s">
        <v>41</v>
      </c>
      <c r="F534" s="23"/>
      <c r="G534" s="9" t="s">
        <v>643</v>
      </c>
      <c r="H534" s="12" t="s">
        <v>41</v>
      </c>
      <c r="I534" s="10"/>
      <c r="J534" s="12"/>
      <c r="K534" s="14"/>
      <c r="L534" s="14" t="s">
        <v>296</v>
      </c>
      <c r="M534" s="12" t="s">
        <v>164</v>
      </c>
      <c r="N534" s="12" t="s">
        <v>420</v>
      </c>
      <c r="O534" s="12"/>
      <c r="P534" s="12"/>
      <c r="Q534" s="30"/>
      <c r="R534" s="29" t="s">
        <v>47</v>
      </c>
      <c r="S534" s="10" t="s">
        <v>47</v>
      </c>
      <c r="T534" s="13">
        <v>0</v>
      </c>
      <c r="U534" s="13">
        <v>0</v>
      </c>
      <c r="V534" s="13">
        <v>0</v>
      </c>
      <c r="W534" s="13">
        <v>0</v>
      </c>
      <c r="X534" s="13">
        <v>0</v>
      </c>
      <c r="Y534" s="1">
        <f>AVERAGE(U534:X534)</f>
        <v>0</v>
      </c>
      <c r="Z534" s="10"/>
      <c r="AA534" s="10"/>
      <c r="AB534" s="10"/>
      <c r="AC534" s="10"/>
      <c r="AD534" s="10"/>
      <c r="AE534" s="10"/>
      <c r="AF534" s="10"/>
      <c r="AG534" s="38">
        <f>COUNTIF(Z534:AF534,"X")/7</f>
        <v>0</v>
      </c>
      <c r="AH534" s="51" t="str">
        <f>IF(AG534=100%,Y534," ")</f>
        <v xml:space="preserve"> 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5" t="s">
        <v>645</v>
      </c>
      <c r="B535" s="8" t="s">
        <v>158</v>
      </c>
      <c r="C535" s="11">
        <v>1.7</v>
      </c>
      <c r="D535" s="18">
        <v>800</v>
      </c>
      <c r="E535" s="18" t="s">
        <v>41</v>
      </c>
      <c r="F535" s="23"/>
      <c r="G535" s="9" t="s">
        <v>646</v>
      </c>
      <c r="H535" s="10" t="s">
        <v>41</v>
      </c>
      <c r="I535" s="10"/>
      <c r="J535" s="10"/>
      <c r="K535" s="11"/>
      <c r="L535" s="11" t="s">
        <v>296</v>
      </c>
      <c r="M535" s="10" t="s">
        <v>164</v>
      </c>
      <c r="N535" s="10"/>
      <c r="O535" s="12"/>
      <c r="P535" s="10"/>
      <c r="Q535" s="29"/>
      <c r="R535" s="29" t="s">
        <v>47</v>
      </c>
      <c r="S535" s="10" t="s">
        <v>47</v>
      </c>
      <c r="T535" s="13">
        <v>0</v>
      </c>
      <c r="U535" s="13">
        <v>0</v>
      </c>
      <c r="V535" s="13">
        <v>0</v>
      </c>
      <c r="W535" s="13">
        <v>0</v>
      </c>
      <c r="X535" s="13">
        <v>0</v>
      </c>
      <c r="Y535" s="1">
        <f>AVERAGE(U535:X535)</f>
        <v>0</v>
      </c>
      <c r="Z535" s="10"/>
      <c r="AA535" s="10"/>
      <c r="AB535" s="10"/>
      <c r="AC535" s="10"/>
      <c r="AD535" s="10"/>
      <c r="AE535" s="10"/>
      <c r="AF535" s="10"/>
      <c r="AG535" s="38">
        <f>COUNTIF(Z535:AF535,"X")/7</f>
        <v>0</v>
      </c>
      <c r="AH535" s="51" t="str">
        <f>IF(AG535=100%,Y535," ")</f>
        <v xml:space="preserve"> 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5" t="s">
        <v>647</v>
      </c>
      <c r="B536" s="8" t="s">
        <v>148</v>
      </c>
      <c r="C536" s="11">
        <v>2</v>
      </c>
      <c r="D536" s="18">
        <v>130</v>
      </c>
      <c r="E536" s="18" t="s">
        <v>41</v>
      </c>
      <c r="F536" s="23"/>
      <c r="G536" s="9" t="s">
        <v>648</v>
      </c>
      <c r="H536" s="12" t="s">
        <v>41</v>
      </c>
      <c r="I536" s="10"/>
      <c r="J536" s="12"/>
      <c r="K536" s="14"/>
      <c r="L536" s="14" t="s">
        <v>296</v>
      </c>
      <c r="M536" s="12" t="s">
        <v>297</v>
      </c>
      <c r="N536" s="12"/>
      <c r="O536" s="12"/>
      <c r="P536" s="12"/>
      <c r="Q536" s="30"/>
      <c r="R536" s="29" t="s">
        <v>47</v>
      </c>
      <c r="S536" s="10" t="s">
        <v>47</v>
      </c>
      <c r="T536" s="13">
        <v>0</v>
      </c>
      <c r="U536" s="13">
        <v>0</v>
      </c>
      <c r="V536" s="13">
        <v>0</v>
      </c>
      <c r="W536" s="13">
        <v>0</v>
      </c>
      <c r="X536" s="13">
        <v>0</v>
      </c>
      <c r="Y536" s="1">
        <f>AVERAGE(U536:X536)</f>
        <v>0</v>
      </c>
      <c r="Z536" s="10"/>
      <c r="AA536" s="10"/>
      <c r="AB536" s="10"/>
      <c r="AC536" s="10"/>
      <c r="AD536" s="10"/>
      <c r="AE536" s="10"/>
      <c r="AF536" s="10"/>
      <c r="AG536" s="38">
        <f>COUNTIF(Z536:AF536,"X")/7</f>
        <v>0</v>
      </c>
      <c r="AH536" s="51" t="str">
        <f>IF(AG536=100%,Y536," ")</f>
        <v xml:space="preserve"> 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5" t="s">
        <v>649</v>
      </c>
      <c r="B537" s="8" t="s">
        <v>148</v>
      </c>
      <c r="C537" s="11">
        <v>2.5</v>
      </c>
      <c r="D537" s="18">
        <v>150</v>
      </c>
      <c r="E537" s="18" t="s">
        <v>41</v>
      </c>
      <c r="F537" s="23"/>
      <c r="G537" s="9" t="s">
        <v>650</v>
      </c>
      <c r="H537" s="10" t="s">
        <v>41</v>
      </c>
      <c r="I537" s="10"/>
      <c r="J537" s="10"/>
      <c r="K537" s="11"/>
      <c r="L537" s="11" t="s">
        <v>296</v>
      </c>
      <c r="M537" s="10" t="s">
        <v>195</v>
      </c>
      <c r="N537" s="10"/>
      <c r="O537" s="12"/>
      <c r="P537" s="10"/>
      <c r="Q537" s="29"/>
      <c r="R537" s="29" t="s">
        <v>47</v>
      </c>
      <c r="S537" s="10" t="s">
        <v>47</v>
      </c>
      <c r="T537" s="13">
        <v>0</v>
      </c>
      <c r="U537" s="13">
        <v>0</v>
      </c>
      <c r="V537" s="13">
        <v>0</v>
      </c>
      <c r="W537" s="13">
        <v>0</v>
      </c>
      <c r="X537" s="13">
        <v>0</v>
      </c>
      <c r="Y537" s="1">
        <f>AVERAGE(U537:X537)</f>
        <v>0</v>
      </c>
      <c r="Z537" s="10"/>
      <c r="AA537" s="10"/>
      <c r="AB537" s="10"/>
      <c r="AC537" s="10"/>
      <c r="AD537" s="10"/>
      <c r="AE537" s="10"/>
      <c r="AF537" s="10"/>
      <c r="AG537" s="38">
        <f>COUNTIF(Z537:AF537,"X")/7</f>
        <v>0</v>
      </c>
      <c r="AH537" s="51" t="str">
        <f>IF(AG537=100%,Y537," ")</f>
        <v xml:space="preserve"> 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5" t="s">
        <v>651</v>
      </c>
      <c r="B538" s="8" t="s">
        <v>148</v>
      </c>
      <c r="C538" s="11">
        <v>5.8</v>
      </c>
      <c r="D538" s="18">
        <v>111</v>
      </c>
      <c r="E538" s="18" t="s">
        <v>41</v>
      </c>
      <c r="F538" s="23"/>
      <c r="G538" s="9" t="s">
        <v>652</v>
      </c>
      <c r="H538" s="10" t="s">
        <v>41</v>
      </c>
      <c r="I538" s="10"/>
      <c r="J538" s="10"/>
      <c r="K538" s="11"/>
      <c r="L538" s="11" t="s">
        <v>296</v>
      </c>
      <c r="M538" s="10" t="s">
        <v>106</v>
      </c>
      <c r="N538" s="10"/>
      <c r="O538" s="12"/>
      <c r="P538" s="10"/>
      <c r="Q538" s="29"/>
      <c r="R538" s="29" t="s">
        <v>47</v>
      </c>
      <c r="S538" s="10" t="s">
        <v>47</v>
      </c>
      <c r="T538" s="13">
        <v>0</v>
      </c>
      <c r="U538" s="13">
        <v>0</v>
      </c>
      <c r="V538" s="13">
        <v>0</v>
      </c>
      <c r="W538" s="13">
        <v>0</v>
      </c>
      <c r="X538" s="13">
        <v>0</v>
      </c>
      <c r="Y538" s="1">
        <f>AVERAGE(U538:X538)</f>
        <v>0</v>
      </c>
      <c r="Z538" s="10"/>
      <c r="AA538" s="10"/>
      <c r="AB538" s="10"/>
      <c r="AC538" s="10"/>
      <c r="AD538" s="10"/>
      <c r="AE538" s="10"/>
      <c r="AF538" s="10"/>
      <c r="AG538" s="38">
        <f>COUNTIF(Z538:AF538,"X")/7</f>
        <v>0</v>
      </c>
      <c r="AH538" s="51" t="str">
        <f>IF(AG538=100%,Y538," ")</f>
        <v xml:space="preserve"> 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5" t="s">
        <v>653</v>
      </c>
      <c r="B539" s="8" t="s">
        <v>62</v>
      </c>
      <c r="C539" s="11">
        <v>0.6</v>
      </c>
      <c r="D539" s="18">
        <v>137</v>
      </c>
      <c r="E539" s="18" t="s">
        <v>41</v>
      </c>
      <c r="F539" s="23"/>
      <c r="G539" s="9" t="s">
        <v>654</v>
      </c>
      <c r="H539" s="10" t="s">
        <v>41</v>
      </c>
      <c r="I539" s="10"/>
      <c r="J539" s="10"/>
      <c r="K539" s="11"/>
      <c r="L539" s="11" t="s">
        <v>296</v>
      </c>
      <c r="M539" s="10" t="s">
        <v>195</v>
      </c>
      <c r="N539" s="10" t="s">
        <v>425</v>
      </c>
      <c r="O539" s="12"/>
      <c r="P539" s="10"/>
      <c r="Q539" s="29"/>
      <c r="R539" s="29" t="s">
        <v>47</v>
      </c>
      <c r="S539" s="10" t="s">
        <v>47</v>
      </c>
      <c r="T539" s="13">
        <v>0</v>
      </c>
      <c r="U539" s="13">
        <v>0</v>
      </c>
      <c r="V539" s="13">
        <v>0</v>
      </c>
      <c r="W539" s="13">
        <v>0</v>
      </c>
      <c r="X539" s="13">
        <v>0</v>
      </c>
      <c r="Y539" s="1">
        <f>AVERAGE(U539:X539)</f>
        <v>0</v>
      </c>
      <c r="Z539" s="10"/>
      <c r="AA539" s="10"/>
      <c r="AB539" s="10"/>
      <c r="AC539" s="10"/>
      <c r="AD539" s="10"/>
      <c r="AE539" s="10"/>
      <c r="AF539" s="10"/>
      <c r="AG539" s="38">
        <f>COUNTIF(Z539:AF539,"X")/7</f>
        <v>0</v>
      </c>
      <c r="AH539" s="51" t="str">
        <f>IF(AG539=100%,Y539," ")</f>
        <v xml:space="preserve"> 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5" t="s">
        <v>655</v>
      </c>
      <c r="B540" s="8" t="s">
        <v>62</v>
      </c>
      <c r="C540" s="11">
        <v>0.8</v>
      </c>
      <c r="D540" s="18">
        <v>900</v>
      </c>
      <c r="E540" s="18" t="s">
        <v>41</v>
      </c>
      <c r="F540" s="23"/>
      <c r="G540" s="9" t="s">
        <v>656</v>
      </c>
      <c r="H540" s="12">
        <v>34025394</v>
      </c>
      <c r="I540" s="12"/>
      <c r="J540" s="12"/>
      <c r="K540" s="14"/>
      <c r="L540" s="14" t="s">
        <v>64</v>
      </c>
      <c r="M540" s="12" t="s">
        <v>115</v>
      </c>
      <c r="N540" s="12" t="s">
        <v>160</v>
      </c>
      <c r="O540" s="12"/>
      <c r="P540" s="12"/>
      <c r="Q540" s="30"/>
      <c r="R540" s="29" t="s">
        <v>47</v>
      </c>
      <c r="S540" s="12" t="s">
        <v>47</v>
      </c>
      <c r="T540" s="13">
        <v>0</v>
      </c>
      <c r="U540" s="13">
        <v>0</v>
      </c>
      <c r="V540" s="13">
        <v>0</v>
      </c>
      <c r="W540" s="13">
        <v>0</v>
      </c>
      <c r="X540" s="13">
        <v>0</v>
      </c>
      <c r="Y540" s="1">
        <f>AVERAGE(U540:X540)</f>
        <v>0</v>
      </c>
      <c r="Z540" s="10"/>
      <c r="AA540" s="10"/>
      <c r="AB540" s="10"/>
      <c r="AC540" s="10"/>
      <c r="AD540" s="10"/>
      <c r="AE540" s="10"/>
      <c r="AF540" s="10"/>
      <c r="AG540" s="38">
        <f>COUNTIF(Z540:AF540,"X")/7</f>
        <v>0</v>
      </c>
      <c r="AH540" s="51" t="str">
        <f>IF(AG540=100%,Y540," ")</f>
        <v xml:space="preserve"> 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5" t="s">
        <v>657</v>
      </c>
      <c r="B541" s="8" t="s">
        <v>62</v>
      </c>
      <c r="C541" s="11">
        <v>1</v>
      </c>
      <c r="D541" s="18">
        <v>120</v>
      </c>
      <c r="E541" s="18" t="s">
        <v>41</v>
      </c>
      <c r="F541" s="23"/>
      <c r="G541" s="9" t="s">
        <v>658</v>
      </c>
      <c r="H541" s="10" t="s">
        <v>41</v>
      </c>
      <c r="I541" s="10"/>
      <c r="J541" s="10"/>
      <c r="K541" s="11"/>
      <c r="L541" s="11" t="s">
        <v>296</v>
      </c>
      <c r="M541" s="10" t="s">
        <v>115</v>
      </c>
      <c r="N541" s="10" t="s">
        <v>420</v>
      </c>
      <c r="O541" s="12"/>
      <c r="P541" s="10"/>
      <c r="Q541" s="29"/>
      <c r="R541" s="29" t="s">
        <v>47</v>
      </c>
      <c r="S541" s="10" t="s">
        <v>47</v>
      </c>
      <c r="T541" s="13">
        <v>0</v>
      </c>
      <c r="U541" s="13">
        <v>0</v>
      </c>
      <c r="V541" s="13">
        <v>0</v>
      </c>
      <c r="W541" s="13">
        <v>0</v>
      </c>
      <c r="X541" s="13">
        <v>0</v>
      </c>
      <c r="Y541" s="1">
        <f>AVERAGE(U541:X541)</f>
        <v>0</v>
      </c>
      <c r="Z541" s="10"/>
      <c r="AA541" s="10"/>
      <c r="AB541" s="10"/>
      <c r="AC541" s="10"/>
      <c r="AD541" s="10"/>
      <c r="AE541" s="10"/>
      <c r="AF541" s="10"/>
      <c r="AG541" s="38">
        <f>COUNTIF(Z541:AF541,"X")/7</f>
        <v>0</v>
      </c>
      <c r="AH541" s="51" t="str">
        <f>IF(AG541=100%,Y541," ")</f>
        <v xml:space="preserve"> 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5" t="s">
        <v>659</v>
      </c>
      <c r="B542" s="8" t="s">
        <v>62</v>
      </c>
      <c r="C542" s="11">
        <v>1.2</v>
      </c>
      <c r="D542" s="18">
        <v>550</v>
      </c>
      <c r="E542" s="18" t="s">
        <v>41</v>
      </c>
      <c r="F542" s="23"/>
      <c r="G542" s="9" t="s">
        <v>660</v>
      </c>
      <c r="H542" s="10">
        <v>34025386</v>
      </c>
      <c r="I542" s="10"/>
      <c r="J542" s="10"/>
      <c r="K542" s="11"/>
      <c r="L542" s="11" t="s">
        <v>64</v>
      </c>
      <c r="M542" s="12" t="s">
        <v>115</v>
      </c>
      <c r="N542" s="10" t="s">
        <v>160</v>
      </c>
      <c r="O542" s="12"/>
      <c r="P542" s="10"/>
      <c r="Q542" s="29"/>
      <c r="R542" s="29" t="s">
        <v>47</v>
      </c>
      <c r="S542" s="10" t="s">
        <v>47</v>
      </c>
      <c r="T542" s="13">
        <v>0</v>
      </c>
      <c r="U542" s="13">
        <v>0</v>
      </c>
      <c r="V542" s="13">
        <v>0</v>
      </c>
      <c r="W542" s="13">
        <v>0</v>
      </c>
      <c r="X542" s="13">
        <v>0</v>
      </c>
      <c r="Y542" s="1">
        <f>AVERAGE(U542:X542)</f>
        <v>0</v>
      </c>
      <c r="Z542" s="10"/>
      <c r="AA542" s="10"/>
      <c r="AB542" s="10"/>
      <c r="AC542" s="10"/>
      <c r="AD542" s="10"/>
      <c r="AE542" s="10"/>
      <c r="AF542" s="10"/>
      <c r="AG542" s="38">
        <f>COUNTIF(Z542:AF542,"X")/7</f>
        <v>0</v>
      </c>
      <c r="AH542" s="51" t="str">
        <f>IF(AG542=100%,Y542," ")</f>
        <v xml:space="preserve"> 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5" t="s">
        <v>661</v>
      </c>
      <c r="B543" s="8" t="s">
        <v>62</v>
      </c>
      <c r="C543" s="11">
        <v>2</v>
      </c>
      <c r="D543" s="18">
        <v>61</v>
      </c>
      <c r="E543" s="18" t="s">
        <v>41</v>
      </c>
      <c r="F543" s="23"/>
      <c r="G543" s="9" t="s">
        <v>662</v>
      </c>
      <c r="H543" s="10">
        <v>34025666</v>
      </c>
      <c r="I543" s="10"/>
      <c r="J543" s="10"/>
      <c r="K543" s="11"/>
      <c r="L543" s="11" t="s">
        <v>64</v>
      </c>
      <c r="M543" s="10" t="s">
        <v>45</v>
      </c>
      <c r="N543" s="37" t="s">
        <v>309</v>
      </c>
      <c r="O543" s="12"/>
      <c r="P543" s="10"/>
      <c r="Q543" s="29"/>
      <c r="R543" s="29" t="s">
        <v>47</v>
      </c>
      <c r="S543" s="10" t="s">
        <v>47</v>
      </c>
      <c r="T543" s="13">
        <v>0</v>
      </c>
      <c r="U543" s="13">
        <v>0</v>
      </c>
      <c r="V543" s="13">
        <v>0</v>
      </c>
      <c r="W543" s="13">
        <v>0</v>
      </c>
      <c r="X543" s="13">
        <v>0</v>
      </c>
      <c r="Y543" s="1">
        <f>AVERAGE(U543:X543)</f>
        <v>0</v>
      </c>
      <c r="Z543" s="10"/>
      <c r="AA543" s="10"/>
      <c r="AB543" s="10"/>
      <c r="AC543" s="10"/>
      <c r="AD543" s="10"/>
      <c r="AE543" s="10"/>
      <c r="AF543" s="10"/>
      <c r="AG543" s="38">
        <f>COUNTIF(Z543:AF543,"X")/7</f>
        <v>0</v>
      </c>
      <c r="AH543" s="51" t="str">
        <f>IF(AG543=100%,Y543," ")</f>
        <v xml:space="preserve"> 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5" t="s">
        <v>663</v>
      </c>
      <c r="B544" s="8" t="s">
        <v>68</v>
      </c>
      <c r="C544" s="11">
        <v>1.2</v>
      </c>
      <c r="D544" s="18">
        <v>1050</v>
      </c>
      <c r="E544" s="18" t="s">
        <v>41</v>
      </c>
      <c r="F544" s="23"/>
      <c r="G544" s="9"/>
      <c r="H544" s="12" t="s">
        <v>41</v>
      </c>
      <c r="I544" s="12"/>
      <c r="J544" s="12"/>
      <c r="K544" s="14"/>
      <c r="L544" s="11" t="s">
        <v>296</v>
      </c>
      <c r="M544" s="12"/>
      <c r="N544" s="12"/>
      <c r="O544" s="12"/>
      <c r="P544" s="16" t="s">
        <v>47</v>
      </c>
      <c r="Q544" s="30" t="s">
        <v>47</v>
      </c>
      <c r="R544" s="29" t="s">
        <v>47</v>
      </c>
      <c r="S544" s="10" t="s">
        <v>47</v>
      </c>
      <c r="T544" s="13">
        <v>0</v>
      </c>
      <c r="U544" s="13">
        <v>0</v>
      </c>
      <c r="V544" s="13">
        <v>0</v>
      </c>
      <c r="W544" s="13">
        <v>0</v>
      </c>
      <c r="X544" s="13">
        <v>0</v>
      </c>
      <c r="Y544" s="1">
        <f>AVERAGE(U544:X544)</f>
        <v>0</v>
      </c>
      <c r="Z544" s="10"/>
      <c r="AA544" s="10"/>
      <c r="AB544" s="10"/>
      <c r="AC544" s="10"/>
      <c r="AD544" s="10"/>
      <c r="AE544" s="10"/>
      <c r="AF544" s="10"/>
      <c r="AG544" s="38">
        <f>COUNTIF(Z544:AF544,"X")/7</f>
        <v>0</v>
      </c>
      <c r="AH544" s="51" t="str">
        <f>IF(AG544=100%,Y544," ")</f>
        <v xml:space="preserve"> 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5" t="s">
        <v>664</v>
      </c>
      <c r="B545" s="8" t="s">
        <v>68</v>
      </c>
      <c r="C545" s="11">
        <v>2</v>
      </c>
      <c r="D545" s="18">
        <v>1000</v>
      </c>
      <c r="E545" s="18" t="s">
        <v>41</v>
      </c>
      <c r="F545" s="23"/>
      <c r="G545" s="9"/>
      <c r="H545" s="12" t="s">
        <v>41</v>
      </c>
      <c r="I545" s="12"/>
      <c r="J545" s="12"/>
      <c r="K545" s="14"/>
      <c r="L545" s="11" t="s">
        <v>296</v>
      </c>
      <c r="M545" s="12"/>
      <c r="N545" s="12"/>
      <c r="O545" s="12"/>
      <c r="P545" s="16"/>
      <c r="Q545" s="30"/>
      <c r="R545" s="29" t="s">
        <v>47</v>
      </c>
      <c r="S545" s="10" t="s">
        <v>47</v>
      </c>
      <c r="T545" s="13">
        <v>0</v>
      </c>
      <c r="U545" s="13">
        <v>0</v>
      </c>
      <c r="V545" s="13">
        <v>0</v>
      </c>
      <c r="W545" s="13">
        <v>0</v>
      </c>
      <c r="X545" s="13">
        <v>0</v>
      </c>
      <c r="Y545" s="1">
        <f>AVERAGE(U545:X545)</f>
        <v>0</v>
      </c>
      <c r="Z545" s="10"/>
      <c r="AA545" s="10"/>
      <c r="AB545" s="10"/>
      <c r="AC545" s="10"/>
      <c r="AD545" s="10"/>
      <c r="AE545" s="10"/>
      <c r="AF545" s="10"/>
      <c r="AG545" s="38">
        <f>COUNTIF(Z545:AF545,"X")/7</f>
        <v>0</v>
      </c>
      <c r="AH545" s="51" t="str">
        <f>IF(AG545=100%,Y545," ")</f>
        <v xml:space="preserve"> 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5" t="s">
        <v>665</v>
      </c>
      <c r="B546" s="8" t="s">
        <v>68</v>
      </c>
      <c r="C546" s="11">
        <v>2</v>
      </c>
      <c r="D546" s="18">
        <v>1450</v>
      </c>
      <c r="E546" s="18" t="s">
        <v>41</v>
      </c>
      <c r="F546" s="23"/>
      <c r="G546" s="9"/>
      <c r="H546" s="12" t="s">
        <v>41</v>
      </c>
      <c r="I546" s="12"/>
      <c r="J546" s="12"/>
      <c r="K546" s="14"/>
      <c r="L546" s="11" t="s">
        <v>296</v>
      </c>
      <c r="M546" s="12"/>
      <c r="N546" s="12"/>
      <c r="O546" s="12"/>
      <c r="P546" s="16"/>
      <c r="Q546" s="30"/>
      <c r="R546" s="29" t="s">
        <v>47</v>
      </c>
      <c r="S546" s="10" t="s">
        <v>47</v>
      </c>
      <c r="T546" s="13">
        <v>0</v>
      </c>
      <c r="U546" s="13">
        <v>0</v>
      </c>
      <c r="V546" s="13">
        <v>0</v>
      </c>
      <c r="W546" s="13">
        <v>0</v>
      </c>
      <c r="X546" s="13">
        <v>0</v>
      </c>
      <c r="Y546" s="1">
        <f>AVERAGE(U546:X546)</f>
        <v>0</v>
      </c>
      <c r="Z546" s="10"/>
      <c r="AA546" s="10"/>
      <c r="AB546" s="10"/>
      <c r="AC546" s="10"/>
      <c r="AD546" s="10"/>
      <c r="AE546" s="10"/>
      <c r="AF546" s="10"/>
      <c r="AG546" s="38">
        <f>COUNTIF(Z546:AF546,"X")/7</f>
        <v>0</v>
      </c>
      <c r="AH546" s="51" t="str">
        <f>IF(AG546=100%,Y546," ")</f>
        <v xml:space="preserve"> 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5" t="s">
        <v>666</v>
      </c>
      <c r="B547" s="8" t="s">
        <v>667</v>
      </c>
      <c r="C547" s="11"/>
      <c r="D547" s="18"/>
      <c r="E547" s="18" t="s">
        <v>41</v>
      </c>
      <c r="F547" s="23"/>
      <c r="G547" s="9"/>
      <c r="H547" s="12" t="s">
        <v>41</v>
      </c>
      <c r="I547" s="12"/>
      <c r="J547" s="12"/>
      <c r="K547" s="14"/>
      <c r="L547" s="11" t="s">
        <v>296</v>
      </c>
      <c r="M547" s="12"/>
      <c r="N547" s="12"/>
      <c r="O547" s="12"/>
      <c r="P547" s="16"/>
      <c r="Q547" s="30"/>
      <c r="R547" s="29" t="s">
        <v>47</v>
      </c>
      <c r="S547" s="10" t="s">
        <v>47</v>
      </c>
      <c r="T547" s="13">
        <v>0</v>
      </c>
      <c r="U547" s="13">
        <v>0</v>
      </c>
      <c r="V547" s="13">
        <v>0</v>
      </c>
      <c r="W547" s="13">
        <v>0</v>
      </c>
      <c r="X547" s="13">
        <v>0</v>
      </c>
      <c r="Y547" s="1">
        <f>AVERAGE(U547:X547)</f>
        <v>0</v>
      </c>
      <c r="Z547" s="10"/>
      <c r="AA547" s="10"/>
      <c r="AB547" s="10"/>
      <c r="AC547" s="10"/>
      <c r="AD547" s="10"/>
      <c r="AE547" s="10"/>
      <c r="AF547" s="10"/>
      <c r="AG547" s="38">
        <f>COUNTIF(Z547:AF547,"X")/7</f>
        <v>0</v>
      </c>
      <c r="AH547" s="51" t="str">
        <f>IF(AG547=100%,Y547," ")</f>
        <v xml:space="preserve"> 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5" t="s">
        <v>668</v>
      </c>
      <c r="B548" s="8" t="s">
        <v>68</v>
      </c>
      <c r="C548" s="11">
        <v>1.5</v>
      </c>
      <c r="D548" s="18">
        <v>1300</v>
      </c>
      <c r="E548" s="18" t="s">
        <v>41</v>
      </c>
      <c r="F548" s="23"/>
      <c r="G548" s="9"/>
      <c r="H548" s="12" t="s">
        <v>41</v>
      </c>
      <c r="I548" s="12"/>
      <c r="J548" s="12"/>
      <c r="K548" s="14"/>
      <c r="L548" s="11" t="s">
        <v>296</v>
      </c>
      <c r="M548" s="12"/>
      <c r="N548" s="12"/>
      <c r="O548" s="12"/>
      <c r="P548" s="16"/>
      <c r="Q548" s="30"/>
      <c r="R548" s="29" t="s">
        <v>47</v>
      </c>
      <c r="S548" s="10" t="s">
        <v>47</v>
      </c>
      <c r="T548" s="13">
        <v>0</v>
      </c>
      <c r="U548" s="13">
        <v>0</v>
      </c>
      <c r="V548" s="13">
        <v>0</v>
      </c>
      <c r="W548" s="13">
        <v>0</v>
      </c>
      <c r="X548" s="13">
        <v>0</v>
      </c>
      <c r="Y548" s="1">
        <f>AVERAGE(U548:X548)</f>
        <v>0</v>
      </c>
      <c r="Z548" s="10"/>
      <c r="AA548" s="10"/>
      <c r="AB548" s="10"/>
      <c r="AC548" s="10"/>
      <c r="AD548" s="10"/>
      <c r="AE548" s="10"/>
      <c r="AF548" s="10"/>
      <c r="AG548" s="38">
        <f>COUNTIF(Z548:AF548,"X")/7</f>
        <v>0</v>
      </c>
      <c r="AH548" s="51" t="str">
        <f>IF(AG548=100%,Y548," ")</f>
        <v xml:space="preserve"> 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5" t="s">
        <v>669</v>
      </c>
      <c r="B549" s="8" t="s">
        <v>78</v>
      </c>
      <c r="C549" s="11">
        <v>1.2</v>
      </c>
      <c r="D549" s="18">
        <v>1200</v>
      </c>
      <c r="E549" s="18">
        <v>1225</v>
      </c>
      <c r="F549" s="23"/>
      <c r="G549" s="9"/>
      <c r="H549" s="12" t="s">
        <v>41</v>
      </c>
      <c r="I549" s="12"/>
      <c r="J549" s="12"/>
      <c r="K549" s="14"/>
      <c r="L549" s="11" t="s">
        <v>296</v>
      </c>
      <c r="M549" s="12"/>
      <c r="N549" s="12"/>
      <c r="O549" s="12"/>
      <c r="P549" s="16"/>
      <c r="Q549" s="30"/>
      <c r="R549" s="29" t="s">
        <v>47</v>
      </c>
      <c r="S549" s="10" t="s">
        <v>47</v>
      </c>
      <c r="T549" s="13">
        <v>0</v>
      </c>
      <c r="U549" s="13">
        <v>0</v>
      </c>
      <c r="V549" s="13">
        <v>0</v>
      </c>
      <c r="W549" s="13">
        <v>0</v>
      </c>
      <c r="X549" s="13">
        <v>0</v>
      </c>
      <c r="Y549" s="1">
        <f>AVERAGE(U549:X549)</f>
        <v>0</v>
      </c>
      <c r="Z549" s="10"/>
      <c r="AA549" s="10"/>
      <c r="AB549" s="10"/>
      <c r="AC549" s="10"/>
      <c r="AD549" s="10"/>
      <c r="AE549" s="10"/>
      <c r="AF549" s="10"/>
      <c r="AG549" s="38">
        <f>COUNTIF(Z549:AF549,"X")/7</f>
        <v>0</v>
      </c>
      <c r="AH549" s="51" t="str">
        <f>IF(AG549=100%,Y549," ")</f>
        <v xml:space="preserve"> 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5" t="s">
        <v>670</v>
      </c>
      <c r="B550" s="8" t="s">
        <v>68</v>
      </c>
      <c r="C550" s="11">
        <v>0.75</v>
      </c>
      <c r="D550" s="18">
        <v>1000</v>
      </c>
      <c r="E550" s="18" t="s">
        <v>41</v>
      </c>
      <c r="F550" s="23"/>
      <c r="G550" s="9"/>
      <c r="H550" s="12" t="s">
        <v>41</v>
      </c>
      <c r="I550" s="12"/>
      <c r="J550" s="12"/>
      <c r="K550" s="14"/>
      <c r="L550" s="11" t="s">
        <v>296</v>
      </c>
      <c r="M550" s="12"/>
      <c r="N550" s="12"/>
      <c r="O550" s="12"/>
      <c r="P550" s="16"/>
      <c r="Q550" s="30"/>
      <c r="R550" s="29" t="s">
        <v>47</v>
      </c>
      <c r="S550" s="10" t="s">
        <v>47</v>
      </c>
      <c r="T550" s="13">
        <v>0</v>
      </c>
      <c r="U550" s="13">
        <v>0</v>
      </c>
      <c r="V550" s="13">
        <v>0</v>
      </c>
      <c r="W550" s="13">
        <v>0</v>
      </c>
      <c r="X550" s="13">
        <v>0</v>
      </c>
      <c r="Y550" s="1">
        <f>AVERAGE(U550:X550)</f>
        <v>0</v>
      </c>
      <c r="Z550" s="10"/>
      <c r="AA550" s="10"/>
      <c r="AB550" s="10"/>
      <c r="AC550" s="10"/>
      <c r="AD550" s="10"/>
      <c r="AE550" s="10"/>
      <c r="AF550" s="10"/>
      <c r="AG550" s="38">
        <f>COUNTIF(Z550:AF550,"X")/7</f>
        <v>0</v>
      </c>
      <c r="AH550" s="51" t="str">
        <f>IF(AG550=100%,Y550," ")</f>
        <v xml:space="preserve"> 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5" t="s">
        <v>671</v>
      </c>
      <c r="B551" s="8" t="s">
        <v>158</v>
      </c>
      <c r="C551" s="11">
        <v>0.7</v>
      </c>
      <c r="D551" s="18">
        <v>30</v>
      </c>
      <c r="E551" s="18" t="s">
        <v>41</v>
      </c>
      <c r="F551" s="23"/>
      <c r="G551" s="9"/>
      <c r="H551" s="12" t="s">
        <v>41</v>
      </c>
      <c r="I551" s="12"/>
      <c r="J551" s="12"/>
      <c r="K551" s="14"/>
      <c r="L551" s="11" t="s">
        <v>296</v>
      </c>
      <c r="M551" s="12"/>
      <c r="N551" s="12"/>
      <c r="O551" s="12"/>
      <c r="P551" s="16"/>
      <c r="Q551" s="30"/>
      <c r="R551" s="29" t="s">
        <v>47</v>
      </c>
      <c r="S551" s="10" t="s">
        <v>47</v>
      </c>
      <c r="T551" s="13">
        <v>0</v>
      </c>
      <c r="U551" s="13">
        <v>0</v>
      </c>
      <c r="V551" s="13">
        <v>0</v>
      </c>
      <c r="W551" s="13">
        <v>0</v>
      </c>
      <c r="X551" s="13">
        <v>0</v>
      </c>
      <c r="Y551" s="1">
        <f>AVERAGE(U551:X551)</f>
        <v>0</v>
      </c>
      <c r="Z551" s="10"/>
      <c r="AA551" s="10"/>
      <c r="AB551" s="10"/>
      <c r="AC551" s="10"/>
      <c r="AD551" s="10"/>
      <c r="AE551" s="10"/>
      <c r="AF551" s="10"/>
      <c r="AG551" s="38">
        <f>COUNTIF(Z551:AF551,"X")/7</f>
        <v>0</v>
      </c>
      <c r="AH551" s="51" t="str">
        <f>IF(AG551=100%,Y551," ")</f>
        <v xml:space="preserve"> 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5" t="s">
        <v>672</v>
      </c>
      <c r="B552" s="8" t="s">
        <v>673</v>
      </c>
      <c r="C552" s="11">
        <v>0.6</v>
      </c>
      <c r="D552" s="18">
        <v>285</v>
      </c>
      <c r="E552" s="18">
        <v>1220</v>
      </c>
      <c r="F552" s="23"/>
      <c r="G552" s="9"/>
      <c r="H552" s="12" t="s">
        <v>41</v>
      </c>
      <c r="I552" s="12"/>
      <c r="J552" s="12"/>
      <c r="K552" s="14"/>
      <c r="L552" s="11" t="s">
        <v>296</v>
      </c>
      <c r="M552" s="12"/>
      <c r="N552" s="12"/>
      <c r="O552" s="12"/>
      <c r="P552" s="16"/>
      <c r="Q552" s="30"/>
      <c r="R552" s="29" t="s">
        <v>47</v>
      </c>
      <c r="S552" s="10" t="s">
        <v>47</v>
      </c>
      <c r="T552" s="13">
        <v>0</v>
      </c>
      <c r="U552" s="13">
        <v>0</v>
      </c>
      <c r="V552" s="13">
        <v>0</v>
      </c>
      <c r="W552" s="13">
        <v>0</v>
      </c>
      <c r="X552" s="13">
        <v>0</v>
      </c>
      <c r="Y552" s="1">
        <f>AVERAGE(U552:X552)</f>
        <v>0</v>
      </c>
      <c r="Z552" s="10"/>
      <c r="AA552" s="10"/>
      <c r="AB552" s="10"/>
      <c r="AC552" s="10"/>
      <c r="AD552" s="10"/>
      <c r="AE552" s="10"/>
      <c r="AF552" s="10"/>
      <c r="AG552" s="38">
        <f>COUNTIF(Z552:AF552,"X")/7</f>
        <v>0</v>
      </c>
      <c r="AH552" s="51" t="str">
        <f>IF(AG552=100%,Y552," ")</f>
        <v xml:space="preserve"> 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5" t="s">
        <v>674</v>
      </c>
      <c r="B553" s="8" t="s">
        <v>40</v>
      </c>
      <c r="C553" s="11">
        <v>1.2</v>
      </c>
      <c r="D553" s="18">
        <v>950</v>
      </c>
      <c r="E553" s="18" t="s">
        <v>41</v>
      </c>
      <c r="F553" s="23"/>
      <c r="G553" s="9"/>
      <c r="H553" s="12" t="s">
        <v>41</v>
      </c>
      <c r="I553" s="12"/>
      <c r="J553" s="12"/>
      <c r="K553" s="14"/>
      <c r="L553" s="11" t="s">
        <v>296</v>
      </c>
      <c r="M553" s="12"/>
      <c r="N553" s="12"/>
      <c r="O553" s="12"/>
      <c r="P553" s="16"/>
      <c r="Q553" s="30"/>
      <c r="R553" s="29" t="s">
        <v>47</v>
      </c>
      <c r="S553" s="10" t="s">
        <v>47</v>
      </c>
      <c r="T553" s="13">
        <v>0</v>
      </c>
      <c r="U553" s="13">
        <v>0</v>
      </c>
      <c r="V553" s="13">
        <v>0</v>
      </c>
      <c r="W553" s="13">
        <v>0</v>
      </c>
      <c r="X553" s="13">
        <v>0</v>
      </c>
      <c r="Y553" s="1">
        <f>AVERAGE(U553:X553)</f>
        <v>0</v>
      </c>
      <c r="Z553" s="10"/>
      <c r="AA553" s="10"/>
      <c r="AB553" s="10"/>
      <c r="AC553" s="10"/>
      <c r="AD553" s="10"/>
      <c r="AE553" s="10"/>
      <c r="AF553" s="10"/>
      <c r="AG553" s="38">
        <f>COUNTIF(Z553:AF553,"X")/7</f>
        <v>0</v>
      </c>
      <c r="AH553" s="51" t="str">
        <f>IF(AG553=100%,Y553," ")</f>
        <v xml:space="preserve"> 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5" t="s">
        <v>675</v>
      </c>
      <c r="B554" s="8" t="s">
        <v>49</v>
      </c>
      <c r="C554" s="11">
        <v>4.75</v>
      </c>
      <c r="D554" s="18">
        <v>1400</v>
      </c>
      <c r="E554" s="18" t="s">
        <v>41</v>
      </c>
      <c r="F554" s="23"/>
      <c r="G554" s="9"/>
      <c r="H554" s="12" t="s">
        <v>41</v>
      </c>
      <c r="I554" s="12"/>
      <c r="J554" s="12"/>
      <c r="K554" s="14"/>
      <c r="L554" s="11" t="s">
        <v>296</v>
      </c>
      <c r="M554" s="12"/>
      <c r="N554" s="12"/>
      <c r="O554" s="12"/>
      <c r="P554" s="16"/>
      <c r="Q554" s="30"/>
      <c r="R554" s="29" t="s">
        <v>47</v>
      </c>
      <c r="S554" s="10" t="s">
        <v>47</v>
      </c>
      <c r="T554" s="13">
        <v>0</v>
      </c>
      <c r="U554" s="13">
        <v>0</v>
      </c>
      <c r="V554" s="13">
        <v>0</v>
      </c>
      <c r="W554" s="13">
        <v>0</v>
      </c>
      <c r="X554" s="13">
        <v>0</v>
      </c>
      <c r="Y554" s="1">
        <f>AVERAGE(U554:X554)</f>
        <v>0</v>
      </c>
      <c r="Z554" s="10"/>
      <c r="AA554" s="10"/>
      <c r="AB554" s="10"/>
      <c r="AC554" s="10"/>
      <c r="AD554" s="10"/>
      <c r="AE554" s="10"/>
      <c r="AF554" s="10"/>
      <c r="AG554" s="38">
        <f>COUNTIF(Z554:AF554,"X")/7</f>
        <v>0</v>
      </c>
      <c r="AH554" s="51" t="str">
        <f>IF(AG554=100%,Y554," ")</f>
        <v xml:space="preserve"> 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5" t="s">
        <v>676</v>
      </c>
      <c r="B555" s="8" t="s">
        <v>229</v>
      </c>
      <c r="C555" s="11">
        <v>4</v>
      </c>
      <c r="D555" s="18">
        <v>1150</v>
      </c>
      <c r="E555" s="18">
        <v>1500</v>
      </c>
      <c r="F555" s="23"/>
      <c r="G555" s="9"/>
      <c r="H555" s="12" t="s">
        <v>41</v>
      </c>
      <c r="I555" s="12"/>
      <c r="J555" s="12"/>
      <c r="K555" s="14"/>
      <c r="L555" s="11" t="s">
        <v>296</v>
      </c>
      <c r="M555" s="12"/>
      <c r="N555" s="12"/>
      <c r="O555" s="12"/>
      <c r="P555" s="16"/>
      <c r="Q555" s="30"/>
      <c r="R555" s="29" t="s">
        <v>47</v>
      </c>
      <c r="S555" s="12" t="s">
        <v>47</v>
      </c>
      <c r="T555" s="13">
        <v>0</v>
      </c>
      <c r="U555" s="13">
        <v>0</v>
      </c>
      <c r="V555" s="13">
        <v>0</v>
      </c>
      <c r="W555" s="13">
        <v>0</v>
      </c>
      <c r="X555" s="13">
        <v>0</v>
      </c>
      <c r="Y555" s="1">
        <f>AVERAGE(U555:X555)</f>
        <v>0</v>
      </c>
      <c r="Z555" s="10"/>
      <c r="AA555" s="10"/>
      <c r="AB555" s="10"/>
      <c r="AC555" s="10"/>
      <c r="AD555" s="10"/>
      <c r="AE555" s="10"/>
      <c r="AF555" s="10"/>
      <c r="AG555" s="38">
        <f>COUNTIF(Z555:AF555,"X")/7</f>
        <v>0</v>
      </c>
      <c r="AH555" s="51" t="str">
        <f>IF(AG555=100%,Y555," ")</f>
        <v xml:space="preserve"> 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31" t="s">
        <v>677</v>
      </c>
      <c r="B556" s="8" t="s">
        <v>673</v>
      </c>
      <c r="C556" s="11">
        <v>0.75</v>
      </c>
      <c r="D556" s="18">
        <v>575</v>
      </c>
      <c r="E556" s="18">
        <v>620</v>
      </c>
      <c r="F556" s="23"/>
      <c r="G556" s="9"/>
      <c r="H556" s="12" t="s">
        <v>41</v>
      </c>
      <c r="I556" s="12"/>
      <c r="J556" s="12"/>
      <c r="K556" s="14"/>
      <c r="L556" s="11" t="s">
        <v>296</v>
      </c>
      <c r="M556" s="12"/>
      <c r="N556" s="12"/>
      <c r="O556" s="12"/>
      <c r="P556" s="16"/>
      <c r="Q556" s="30"/>
      <c r="R556" s="29" t="s">
        <v>47</v>
      </c>
      <c r="S556" s="10" t="s">
        <v>47</v>
      </c>
      <c r="T556" s="13">
        <v>0</v>
      </c>
      <c r="U556" s="13">
        <v>0</v>
      </c>
      <c r="V556" s="13">
        <v>0</v>
      </c>
      <c r="W556" s="13">
        <v>0</v>
      </c>
      <c r="X556" s="13">
        <v>0</v>
      </c>
      <c r="Y556" s="1">
        <f>AVERAGE(U556:X556)</f>
        <v>0</v>
      </c>
      <c r="Z556" s="10"/>
      <c r="AA556" s="10"/>
      <c r="AB556" s="10"/>
      <c r="AC556" s="10"/>
      <c r="AD556" s="10"/>
      <c r="AE556" s="10"/>
      <c r="AF556" s="10"/>
      <c r="AG556" s="38">
        <f>COUNTIF(Z556:AF556,"X")/7</f>
        <v>0</v>
      </c>
      <c r="AH556" s="51" t="str">
        <f>IF(AG556=100%,Y556," ")</f>
        <v xml:space="preserve"> 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5" t="s">
        <v>678</v>
      </c>
      <c r="B557" s="8" t="s">
        <v>158</v>
      </c>
      <c r="C557" s="11">
        <v>1</v>
      </c>
      <c r="D557" s="18">
        <v>415</v>
      </c>
      <c r="E557" s="18" t="s">
        <v>41</v>
      </c>
      <c r="F557" s="23"/>
      <c r="G557" s="9"/>
      <c r="H557" s="12" t="s">
        <v>41</v>
      </c>
      <c r="I557" s="12"/>
      <c r="J557" s="12"/>
      <c r="K557" s="14"/>
      <c r="L557" s="11" t="s">
        <v>296</v>
      </c>
      <c r="M557" s="12"/>
      <c r="N557" s="12"/>
      <c r="O557" s="12"/>
      <c r="P557" s="16"/>
      <c r="Q557" s="30"/>
      <c r="R557" s="29" t="s">
        <v>47</v>
      </c>
      <c r="S557" s="10" t="s">
        <v>47</v>
      </c>
      <c r="T557" s="13">
        <v>0</v>
      </c>
      <c r="U557" s="13">
        <v>0</v>
      </c>
      <c r="V557" s="13">
        <v>0</v>
      </c>
      <c r="W557" s="13">
        <v>0</v>
      </c>
      <c r="X557" s="13">
        <v>0</v>
      </c>
      <c r="Y557" s="1">
        <f>AVERAGE(U557:X557)</f>
        <v>0</v>
      </c>
      <c r="Z557" s="10"/>
      <c r="AA557" s="10"/>
      <c r="AB557" s="10"/>
      <c r="AC557" s="10"/>
      <c r="AD557" s="10"/>
      <c r="AE557" s="10"/>
      <c r="AF557" s="10"/>
      <c r="AG557" s="38">
        <f>COUNTIF(Z557:AF557,"X")/7</f>
        <v>0</v>
      </c>
      <c r="AH557" s="51" t="str">
        <f>IF(AG557=100%,Y557," ")</f>
        <v xml:space="preserve"> 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5" t="s">
        <v>679</v>
      </c>
      <c r="B558" s="8" t="s">
        <v>62</v>
      </c>
      <c r="C558" s="11">
        <v>1.2</v>
      </c>
      <c r="D558" s="18">
        <v>135</v>
      </c>
      <c r="E558" s="18" t="s">
        <v>41</v>
      </c>
      <c r="F558" s="23"/>
      <c r="G558" s="9"/>
      <c r="H558" s="12" t="s">
        <v>41</v>
      </c>
      <c r="I558" s="12"/>
      <c r="J558" s="12"/>
      <c r="K558" s="14"/>
      <c r="L558" s="11" t="s">
        <v>296</v>
      </c>
      <c r="M558" s="12"/>
      <c r="N558" s="12"/>
      <c r="O558" s="12"/>
      <c r="P558" s="16"/>
      <c r="Q558" s="30"/>
      <c r="R558" s="29" t="s">
        <v>47</v>
      </c>
      <c r="S558" s="10" t="s">
        <v>47</v>
      </c>
      <c r="T558" s="13">
        <v>0</v>
      </c>
      <c r="U558" s="13">
        <v>0</v>
      </c>
      <c r="V558" s="13">
        <v>0</v>
      </c>
      <c r="W558" s="13">
        <v>0</v>
      </c>
      <c r="X558" s="13">
        <v>0</v>
      </c>
      <c r="Y558" s="1">
        <f>AVERAGE(U558:X558)</f>
        <v>0</v>
      </c>
      <c r="Z558" s="10"/>
      <c r="AA558" s="10"/>
      <c r="AB558" s="10"/>
      <c r="AC558" s="10"/>
      <c r="AD558" s="10"/>
      <c r="AE558" s="10"/>
      <c r="AF558" s="10"/>
      <c r="AG558" s="38">
        <f>COUNTIF(Z558:AF558,"X")/7</f>
        <v>0</v>
      </c>
      <c r="AH558" s="51" t="str">
        <f>IF(AG558=100%,Y558," ")</f>
        <v xml:space="preserve"> 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5" t="s">
        <v>680</v>
      </c>
      <c r="B559" s="8" t="s">
        <v>229</v>
      </c>
      <c r="C559" s="11">
        <v>3</v>
      </c>
      <c r="D559" s="18">
        <v>1200</v>
      </c>
      <c r="E559" s="18">
        <v>2870</v>
      </c>
      <c r="F559" s="23"/>
      <c r="G559" s="9"/>
      <c r="H559" s="12" t="s">
        <v>41</v>
      </c>
      <c r="I559" s="12"/>
      <c r="J559" s="12"/>
      <c r="K559" s="14"/>
      <c r="L559" s="11" t="s">
        <v>296</v>
      </c>
      <c r="M559" s="12"/>
      <c r="N559" s="12"/>
      <c r="O559" s="12"/>
      <c r="P559" s="16"/>
      <c r="Q559" s="30"/>
      <c r="R559" s="29" t="s">
        <v>47</v>
      </c>
      <c r="S559" s="10" t="s">
        <v>47</v>
      </c>
      <c r="T559" s="13">
        <v>0</v>
      </c>
      <c r="U559" s="13">
        <v>0</v>
      </c>
      <c r="V559" s="13">
        <v>0</v>
      </c>
      <c r="W559" s="13">
        <v>0</v>
      </c>
      <c r="X559" s="13">
        <v>0</v>
      </c>
      <c r="Y559" s="1">
        <f>AVERAGE(U559:X559)</f>
        <v>0</v>
      </c>
      <c r="Z559" s="10"/>
      <c r="AA559" s="10"/>
      <c r="AB559" s="10"/>
      <c r="AC559" s="10"/>
      <c r="AD559" s="10"/>
      <c r="AE559" s="10"/>
      <c r="AF559" s="10"/>
      <c r="AG559" s="38">
        <f>COUNTIF(Z559:AF559,"X")/7</f>
        <v>0</v>
      </c>
      <c r="AH559" s="51" t="str">
        <f>IF(AG559=100%,Y559," ")</f>
        <v xml:space="preserve"> 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5" t="s">
        <v>681</v>
      </c>
      <c r="B560" s="8" t="s">
        <v>229</v>
      </c>
      <c r="C560" s="11">
        <v>2.5</v>
      </c>
      <c r="D560" s="18">
        <v>1250</v>
      </c>
      <c r="E560" s="18">
        <v>2000</v>
      </c>
      <c r="F560" s="23"/>
      <c r="G560" s="9"/>
      <c r="H560" s="12" t="s">
        <v>41</v>
      </c>
      <c r="I560" s="12"/>
      <c r="J560" s="12"/>
      <c r="K560" s="14"/>
      <c r="L560" s="11" t="s">
        <v>296</v>
      </c>
      <c r="M560" s="12"/>
      <c r="N560" s="12"/>
      <c r="O560" s="12"/>
      <c r="P560" s="16"/>
      <c r="Q560" s="30"/>
      <c r="R560" s="29" t="s">
        <v>47</v>
      </c>
      <c r="S560" s="10" t="s">
        <v>47</v>
      </c>
      <c r="T560" s="13">
        <v>0</v>
      </c>
      <c r="U560" s="13">
        <v>0</v>
      </c>
      <c r="V560" s="13">
        <v>0</v>
      </c>
      <c r="W560" s="13">
        <v>0</v>
      </c>
      <c r="X560" s="13">
        <v>0</v>
      </c>
      <c r="Y560" s="1">
        <f>AVERAGE(U560:X560)</f>
        <v>0</v>
      </c>
      <c r="Z560" s="10"/>
      <c r="AA560" s="10"/>
      <c r="AB560" s="10"/>
      <c r="AC560" s="10"/>
      <c r="AD560" s="10"/>
      <c r="AE560" s="10"/>
      <c r="AF560" s="10"/>
      <c r="AG560" s="38">
        <f>COUNTIF(Z560:AF560,"X")/7</f>
        <v>0</v>
      </c>
      <c r="AH560" s="51" t="str">
        <f>IF(AG560=100%,Y560," ")</f>
        <v xml:space="preserve"> 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5" t="s">
        <v>682</v>
      </c>
      <c r="B561" s="8" t="s">
        <v>78</v>
      </c>
      <c r="C561" s="11">
        <v>2</v>
      </c>
      <c r="D561" s="18">
        <v>1000</v>
      </c>
      <c r="E561" s="18">
        <v>2000</v>
      </c>
      <c r="F561" s="23"/>
      <c r="G561" s="9"/>
      <c r="H561" s="12" t="s">
        <v>41</v>
      </c>
      <c r="I561" s="12"/>
      <c r="J561" s="12"/>
      <c r="K561" s="14"/>
      <c r="L561" s="11" t="s">
        <v>296</v>
      </c>
      <c r="M561" s="12"/>
      <c r="N561" s="12"/>
      <c r="O561" s="12"/>
      <c r="P561" s="16"/>
      <c r="Q561" s="30"/>
      <c r="R561" s="29" t="s">
        <v>47</v>
      </c>
      <c r="S561" s="10" t="s">
        <v>47</v>
      </c>
      <c r="T561" s="13">
        <v>0</v>
      </c>
      <c r="U561" s="13">
        <v>0</v>
      </c>
      <c r="V561" s="13">
        <v>0</v>
      </c>
      <c r="W561" s="13">
        <v>0</v>
      </c>
      <c r="X561" s="13">
        <v>0</v>
      </c>
      <c r="Y561" s="1">
        <f>AVERAGE(U561:X561)</f>
        <v>0</v>
      </c>
      <c r="Z561" s="10"/>
      <c r="AA561" s="10"/>
      <c r="AB561" s="10"/>
      <c r="AC561" s="10"/>
      <c r="AD561" s="10"/>
      <c r="AE561" s="10"/>
      <c r="AF561" s="10"/>
      <c r="AG561" s="38">
        <f>COUNTIF(Z561:AF561,"X")/7</f>
        <v>0</v>
      </c>
      <c r="AH561" s="51" t="str">
        <f>IF(AG561=100%,Y561," ")</f>
        <v xml:space="preserve"> 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5" t="s">
        <v>683</v>
      </c>
      <c r="B562" s="8" t="s">
        <v>229</v>
      </c>
      <c r="C562" s="11">
        <v>4</v>
      </c>
      <c r="D562" s="18">
        <v>1150</v>
      </c>
      <c r="E562" s="18">
        <v>2100</v>
      </c>
      <c r="F562" s="23"/>
      <c r="G562" s="9"/>
      <c r="H562" s="12" t="s">
        <v>41</v>
      </c>
      <c r="I562" s="12"/>
      <c r="J562" s="12"/>
      <c r="K562" s="14"/>
      <c r="L562" s="11" t="s">
        <v>296</v>
      </c>
      <c r="M562" s="12"/>
      <c r="N562" s="12"/>
      <c r="O562" s="12"/>
      <c r="P562" s="16"/>
      <c r="Q562" s="30"/>
      <c r="R562" s="29" t="s">
        <v>47</v>
      </c>
      <c r="S562" s="10" t="s">
        <v>47</v>
      </c>
      <c r="T562" s="13">
        <v>0</v>
      </c>
      <c r="U562" s="13">
        <v>0</v>
      </c>
      <c r="V562" s="13">
        <v>0</v>
      </c>
      <c r="W562" s="13">
        <v>0</v>
      </c>
      <c r="X562" s="13">
        <v>0</v>
      </c>
      <c r="Y562" s="1">
        <f>AVERAGE(U562:X562)</f>
        <v>0</v>
      </c>
      <c r="Z562" s="10"/>
      <c r="AA562" s="10"/>
      <c r="AB562" s="10"/>
      <c r="AC562" s="10"/>
      <c r="AD562" s="10"/>
      <c r="AE562" s="10"/>
      <c r="AF562" s="10"/>
      <c r="AG562" s="38">
        <f>COUNTIF(Z562:AF562,"X")/7</f>
        <v>0</v>
      </c>
      <c r="AH562" s="51" t="str">
        <f>IF(AG562=100%,Y562," ")</f>
        <v xml:space="preserve"> </v>
      </c>
      <c r="AI562" s="64"/>
      <c r="AJ562" s="1"/>
      <c r="AK562" s="65">
        <v>0</v>
      </c>
      <c r="AL562" s="1"/>
      <c r="AM562" s="1"/>
    </row>
    <row r="563" spans="1:39" s="26" customFormat="1" hidden="1" x14ac:dyDescent="0.3">
      <c r="A563" s="22" t="s">
        <v>751</v>
      </c>
      <c r="B563" s="2" t="s">
        <v>49</v>
      </c>
      <c r="C563" s="21">
        <v>9.75</v>
      </c>
      <c r="D563" s="23">
        <v>1300</v>
      </c>
      <c r="E563" s="23"/>
      <c r="F563" s="28"/>
      <c r="G563" s="3" t="s">
        <v>722</v>
      </c>
      <c r="H563" s="6"/>
      <c r="I563" s="6" t="s">
        <v>687</v>
      </c>
      <c r="J563" s="6">
        <v>69</v>
      </c>
      <c r="K563" s="21">
        <v>25</v>
      </c>
      <c r="L563" s="21" t="s">
        <v>703</v>
      </c>
      <c r="M563" s="6" t="s">
        <v>723</v>
      </c>
      <c r="N563" s="6" t="s">
        <v>752</v>
      </c>
      <c r="O563" s="6" t="s">
        <v>691</v>
      </c>
      <c r="P563" s="6"/>
      <c r="Q563" s="27"/>
      <c r="R563" s="28" t="s">
        <v>692</v>
      </c>
      <c r="S563" s="6" t="s">
        <v>55</v>
      </c>
      <c r="T563" s="1">
        <v>0</v>
      </c>
      <c r="U563" s="1">
        <v>0</v>
      </c>
      <c r="V563" s="1">
        <v>0</v>
      </c>
      <c r="W563" s="1">
        <v>0</v>
      </c>
      <c r="X563" s="1">
        <v>0</v>
      </c>
      <c r="Y563" s="1">
        <f>AVERAGE(U563:X563)</f>
        <v>0</v>
      </c>
      <c r="Z563" s="10"/>
      <c r="AA563" s="10"/>
      <c r="AB563" s="10"/>
      <c r="AC563" s="10"/>
      <c r="AD563" s="10"/>
      <c r="AE563" s="10"/>
      <c r="AF563" s="10"/>
      <c r="AG563" s="38">
        <f>COUNTIF(Z563:AF563,"X")/7</f>
        <v>0</v>
      </c>
      <c r="AH563" s="51" t="str">
        <f>IF(AG563=100%,Y563," ")</f>
        <v xml:space="preserve"> </v>
      </c>
      <c r="AI563" s="64"/>
      <c r="AJ563" s="1"/>
      <c r="AK563" s="65">
        <v>0</v>
      </c>
      <c r="AL563" s="1"/>
      <c r="AM563" s="1"/>
    </row>
    <row r="564" spans="1:39" s="26" customFormat="1" hidden="1" x14ac:dyDescent="0.3">
      <c r="A564" s="3" t="s">
        <v>789</v>
      </c>
      <c r="B564" s="2" t="s">
        <v>49</v>
      </c>
      <c r="C564" s="21">
        <v>7.75</v>
      </c>
      <c r="D564" s="23">
        <v>1100</v>
      </c>
      <c r="E564" s="23"/>
      <c r="F564" s="28"/>
      <c r="G564" s="3" t="s">
        <v>790</v>
      </c>
      <c r="H564" s="4"/>
      <c r="I564" s="4" t="s">
        <v>687</v>
      </c>
      <c r="J564" s="4">
        <v>59</v>
      </c>
      <c r="K564" s="5"/>
      <c r="L564" s="5" t="s">
        <v>791</v>
      </c>
      <c r="M564" s="4" t="s">
        <v>297</v>
      </c>
      <c r="N564" s="4"/>
      <c r="O564" s="4" t="s">
        <v>756</v>
      </c>
      <c r="P564" s="4"/>
      <c r="Q564" s="24"/>
      <c r="R564" s="25" t="s">
        <v>692</v>
      </c>
      <c r="S564" s="4" t="s">
        <v>55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f>AVERAGE(U564:X564)</f>
        <v>0</v>
      </c>
      <c r="Z564" s="10"/>
      <c r="AA564" s="10"/>
      <c r="AB564" s="10"/>
      <c r="AC564" s="10"/>
      <c r="AD564" s="10"/>
      <c r="AE564" s="10"/>
      <c r="AF564" s="10"/>
      <c r="AG564" s="38">
        <f>COUNTIF(Z564:AF564,"X")/7</f>
        <v>0</v>
      </c>
      <c r="AH564" s="51" t="str">
        <f>IF(AG564=100%,Y564," ")</f>
        <v xml:space="preserve"> </v>
      </c>
      <c r="AI564" s="64"/>
      <c r="AJ564" s="1"/>
      <c r="AK564" s="65">
        <v>0</v>
      </c>
      <c r="AL564" s="1"/>
      <c r="AM564" s="1"/>
    </row>
    <row r="565" spans="1:39" s="26" customFormat="1" hidden="1" x14ac:dyDescent="0.3">
      <c r="A565" s="22" t="s">
        <v>930</v>
      </c>
      <c r="B565" s="2" t="s">
        <v>49</v>
      </c>
      <c r="C565" s="21">
        <v>12.5</v>
      </c>
      <c r="D565" s="23">
        <v>6900</v>
      </c>
      <c r="E565" s="23"/>
      <c r="F565" s="28"/>
      <c r="G565" s="3" t="s">
        <v>722</v>
      </c>
      <c r="H565" s="4"/>
      <c r="I565" s="6" t="s">
        <v>687</v>
      </c>
      <c r="J565" s="4">
        <v>69</v>
      </c>
      <c r="K565" s="5">
        <v>10</v>
      </c>
      <c r="L565" s="5" t="s">
        <v>703</v>
      </c>
      <c r="M565" s="4" t="s">
        <v>723</v>
      </c>
      <c r="N565" s="4" t="s">
        <v>931</v>
      </c>
      <c r="O565" s="4" t="s">
        <v>793</v>
      </c>
      <c r="P565" s="4"/>
      <c r="Q565" s="24"/>
      <c r="R565" s="25" t="s">
        <v>692</v>
      </c>
      <c r="S565" s="4" t="s">
        <v>692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f>AVERAGE(U565:X565)</f>
        <v>0</v>
      </c>
      <c r="Z565" s="10"/>
      <c r="AA565" s="10"/>
      <c r="AB565" s="10"/>
      <c r="AC565" s="10"/>
      <c r="AD565" s="10"/>
      <c r="AE565" s="10"/>
      <c r="AF565" s="10"/>
      <c r="AG565" s="38">
        <f>COUNTIF(Z565:AF565,"X")/7</f>
        <v>0</v>
      </c>
      <c r="AH565" s="51" t="str">
        <f>IF(AG565=100%,Y565," ")</f>
        <v xml:space="preserve"> </v>
      </c>
      <c r="AI565" s="64"/>
      <c r="AJ565" s="1"/>
      <c r="AK565" s="65">
        <v>0</v>
      </c>
      <c r="AL565" s="1"/>
      <c r="AM565" s="1"/>
    </row>
    <row r="566" spans="1:39" s="26" customFormat="1" hidden="1" x14ac:dyDescent="0.3">
      <c r="A566" s="22" t="s">
        <v>932</v>
      </c>
      <c r="B566" s="2" t="s">
        <v>770</v>
      </c>
      <c r="C566" s="21">
        <v>0.6</v>
      </c>
      <c r="D566" s="23">
        <v>800</v>
      </c>
      <c r="E566" s="23"/>
      <c r="F566" s="28"/>
      <c r="G566" s="3" t="s">
        <v>933</v>
      </c>
      <c r="H566" s="4"/>
      <c r="I566" s="6"/>
      <c r="J566" s="4">
        <v>30</v>
      </c>
      <c r="K566" s="5"/>
      <c r="L566" s="5" t="s">
        <v>791</v>
      </c>
      <c r="M566" s="4" t="s">
        <v>119</v>
      </c>
      <c r="N566" s="4"/>
      <c r="O566" s="4" t="s">
        <v>793</v>
      </c>
      <c r="P566" s="4"/>
      <c r="Q566" s="24"/>
      <c r="R566" s="25" t="s">
        <v>692</v>
      </c>
      <c r="S566" s="6"/>
      <c r="T566" s="1">
        <v>0</v>
      </c>
      <c r="U566" s="1">
        <v>0</v>
      </c>
      <c r="V566" s="1">
        <v>0</v>
      </c>
      <c r="W566" s="1">
        <v>0</v>
      </c>
      <c r="X566" s="1">
        <v>0</v>
      </c>
      <c r="Y566" s="1">
        <f>AVERAGE(U566:X566)</f>
        <v>0</v>
      </c>
      <c r="Z566" s="10"/>
      <c r="AA566" s="10"/>
      <c r="AB566" s="10"/>
      <c r="AC566" s="10"/>
      <c r="AD566" s="10"/>
      <c r="AE566" s="10"/>
      <c r="AF566" s="10"/>
      <c r="AG566" s="38">
        <f>COUNTIF(Z566:AF566,"X")/7</f>
        <v>0</v>
      </c>
      <c r="AH566" s="51" t="str">
        <f>IF(AG566=100%,Y566," ")</f>
        <v xml:space="preserve"> </v>
      </c>
      <c r="AI566" s="64"/>
      <c r="AJ566" s="1"/>
      <c r="AK566" s="65">
        <v>0</v>
      </c>
      <c r="AL566" s="1"/>
      <c r="AM566" s="1"/>
    </row>
    <row r="567" spans="1:39" s="26" customFormat="1" hidden="1" x14ac:dyDescent="0.3">
      <c r="A567" s="22" t="s">
        <v>934</v>
      </c>
      <c r="B567" s="2" t="s">
        <v>770</v>
      </c>
      <c r="C567" s="21">
        <v>1</v>
      </c>
      <c r="D567" s="23">
        <v>215</v>
      </c>
      <c r="E567" s="23"/>
      <c r="F567" s="28"/>
      <c r="G567" s="3" t="s">
        <v>914</v>
      </c>
      <c r="H567" s="6"/>
      <c r="I567" s="6"/>
      <c r="J567" s="6">
        <v>30</v>
      </c>
      <c r="K567" s="21"/>
      <c r="L567" s="21" t="s">
        <v>791</v>
      </c>
      <c r="M567" s="6" t="s">
        <v>935</v>
      </c>
      <c r="N567" s="6"/>
      <c r="O567" s="6" t="s">
        <v>793</v>
      </c>
      <c r="P567" s="6"/>
      <c r="Q567" s="27"/>
      <c r="R567" s="28" t="s">
        <v>692</v>
      </c>
      <c r="S567" s="6"/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f>AVERAGE(U567:X567)</f>
        <v>0</v>
      </c>
      <c r="Z567" s="10"/>
      <c r="AA567" s="10"/>
      <c r="AB567" s="10"/>
      <c r="AC567" s="10"/>
      <c r="AD567" s="10"/>
      <c r="AE567" s="10"/>
      <c r="AF567" s="10"/>
      <c r="AG567" s="38">
        <f>COUNTIF(Z567:AF567,"X")/7</f>
        <v>0</v>
      </c>
      <c r="AH567" s="51" t="str">
        <f>IF(AG567=100%,Y567," ")</f>
        <v xml:space="preserve"> </v>
      </c>
      <c r="AI567" s="64"/>
      <c r="AJ567" s="1"/>
      <c r="AK567" s="65">
        <v>0</v>
      </c>
      <c r="AL567" s="1"/>
      <c r="AM567" s="1"/>
    </row>
    <row r="568" spans="1:39" s="26" customFormat="1" hidden="1" x14ac:dyDescent="0.3">
      <c r="A568" s="22" t="s">
        <v>936</v>
      </c>
      <c r="B568" s="2" t="s">
        <v>770</v>
      </c>
      <c r="C568" s="21">
        <v>1</v>
      </c>
      <c r="D568" s="23">
        <v>228</v>
      </c>
      <c r="E568" s="23"/>
      <c r="F568" s="28"/>
      <c r="G568" s="3" t="s">
        <v>914</v>
      </c>
      <c r="H568" s="6"/>
      <c r="I568" s="6"/>
      <c r="J568" s="6">
        <v>30</v>
      </c>
      <c r="K568" s="21"/>
      <c r="L568" s="21" t="s">
        <v>791</v>
      </c>
      <c r="M568" s="6" t="s">
        <v>935</v>
      </c>
      <c r="N568" s="6"/>
      <c r="O568" s="6" t="s">
        <v>793</v>
      </c>
      <c r="P568" s="6"/>
      <c r="Q568" s="27"/>
      <c r="R568" s="28" t="s">
        <v>692</v>
      </c>
      <c r="S568" s="6"/>
      <c r="T568" s="1">
        <v>0</v>
      </c>
      <c r="U568" s="1">
        <v>0</v>
      </c>
      <c r="V568" s="1">
        <v>0</v>
      </c>
      <c r="W568" s="1">
        <v>0</v>
      </c>
      <c r="X568" s="1">
        <v>0</v>
      </c>
      <c r="Y568" s="1">
        <f>AVERAGE(U568:X568)</f>
        <v>0</v>
      </c>
      <c r="Z568" s="10"/>
      <c r="AA568" s="10"/>
      <c r="AB568" s="10"/>
      <c r="AC568" s="10"/>
      <c r="AD568" s="10"/>
      <c r="AE568" s="10"/>
      <c r="AF568" s="10"/>
      <c r="AG568" s="38">
        <f>COUNTIF(Z568:AF568,"X")/7</f>
        <v>0</v>
      </c>
      <c r="AH568" s="51" t="str">
        <f>IF(AG568=100%,Y568," ")</f>
        <v xml:space="preserve"> </v>
      </c>
      <c r="AI568" s="64"/>
      <c r="AJ568" s="1"/>
      <c r="AK568" s="65">
        <v>0</v>
      </c>
      <c r="AL568" s="1"/>
      <c r="AM568" s="1"/>
    </row>
    <row r="569" spans="1:39" s="26" customFormat="1" hidden="1" x14ac:dyDescent="0.3">
      <c r="A569" s="22" t="s">
        <v>339</v>
      </c>
      <c r="B569" s="2" t="s">
        <v>770</v>
      </c>
      <c r="C569" s="21">
        <v>1</v>
      </c>
      <c r="D569" s="23">
        <v>1200</v>
      </c>
      <c r="E569" s="23"/>
      <c r="F569" s="28"/>
      <c r="G569" s="3" t="s">
        <v>937</v>
      </c>
      <c r="H569" s="4"/>
      <c r="I569" s="6"/>
      <c r="J569" s="4">
        <v>30</v>
      </c>
      <c r="K569" s="5"/>
      <c r="L569" s="5" t="s">
        <v>791</v>
      </c>
      <c r="M569" s="4" t="s">
        <v>119</v>
      </c>
      <c r="N569" s="4"/>
      <c r="O569" s="4" t="s">
        <v>793</v>
      </c>
      <c r="P569" s="4"/>
      <c r="Q569" s="24"/>
      <c r="R569" s="25" t="s">
        <v>692</v>
      </c>
      <c r="S569" s="6"/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f>AVERAGE(U569:X569)</f>
        <v>0</v>
      </c>
      <c r="Z569" s="10"/>
      <c r="AA569" s="10"/>
      <c r="AB569" s="10"/>
      <c r="AC569" s="10"/>
      <c r="AD569" s="10"/>
      <c r="AE569" s="10"/>
      <c r="AF569" s="10"/>
      <c r="AG569" s="38">
        <f>COUNTIF(Z569:AF569,"X")/7</f>
        <v>0</v>
      </c>
      <c r="AH569" s="51" t="str">
        <f>IF(AG569=100%,Y569," ")</f>
        <v xml:space="preserve"> </v>
      </c>
      <c r="AI569" s="64"/>
      <c r="AJ569" s="1"/>
      <c r="AK569" s="65">
        <v>0</v>
      </c>
      <c r="AL569" s="1"/>
      <c r="AM569" s="1"/>
    </row>
    <row r="570" spans="1:39" s="26" customFormat="1" hidden="1" x14ac:dyDescent="0.3">
      <c r="A570" s="22" t="s">
        <v>938</v>
      </c>
      <c r="B570" s="2" t="s">
        <v>770</v>
      </c>
      <c r="C570" s="21">
        <v>1.2</v>
      </c>
      <c r="D570" s="23" t="s">
        <v>829</v>
      </c>
      <c r="E570" s="23"/>
      <c r="F570" s="28"/>
      <c r="G570" s="3" t="s">
        <v>933</v>
      </c>
      <c r="H570" s="6"/>
      <c r="I570" s="6"/>
      <c r="J570" s="6">
        <v>30</v>
      </c>
      <c r="K570" s="21"/>
      <c r="L570" s="21" t="s">
        <v>791</v>
      </c>
      <c r="M570" s="6" t="s">
        <v>119</v>
      </c>
      <c r="N570" s="6"/>
      <c r="O570" s="6" t="s">
        <v>793</v>
      </c>
      <c r="P570" s="6"/>
      <c r="Q570" s="27"/>
      <c r="R570" s="28" t="s">
        <v>692</v>
      </c>
      <c r="S570" s="6"/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f>AVERAGE(U570:X570)</f>
        <v>0</v>
      </c>
      <c r="Z570" s="10"/>
      <c r="AA570" s="10"/>
      <c r="AB570" s="10"/>
      <c r="AC570" s="10"/>
      <c r="AD570" s="10"/>
      <c r="AE570" s="10"/>
      <c r="AF570" s="10"/>
      <c r="AG570" s="38">
        <f>COUNTIF(Z570:AF570,"X")/7</f>
        <v>0</v>
      </c>
      <c r="AH570" s="51" t="str">
        <f>IF(AG570=100%,Y570," ")</f>
        <v xml:space="preserve"> </v>
      </c>
      <c r="AI570" s="64"/>
      <c r="AJ570" s="1"/>
      <c r="AK570" s="65">
        <v>0</v>
      </c>
      <c r="AL570" s="1"/>
      <c r="AM570" s="1"/>
    </row>
    <row r="571" spans="1:39" s="26" customFormat="1" hidden="1" x14ac:dyDescent="0.3">
      <c r="A571" s="22" t="s">
        <v>939</v>
      </c>
      <c r="B571" s="2" t="s">
        <v>770</v>
      </c>
      <c r="C571" s="21">
        <v>1.2</v>
      </c>
      <c r="D571" s="23">
        <v>1200</v>
      </c>
      <c r="E571" s="23"/>
      <c r="F571" s="28"/>
      <c r="G571" s="3" t="s">
        <v>920</v>
      </c>
      <c r="H571" s="6"/>
      <c r="I571" s="6"/>
      <c r="J571" s="6">
        <v>30</v>
      </c>
      <c r="K571" s="21"/>
      <c r="L571" s="21" t="s">
        <v>791</v>
      </c>
      <c r="M571" s="6" t="s">
        <v>940</v>
      </c>
      <c r="N571" s="6"/>
      <c r="O571" s="6" t="s">
        <v>793</v>
      </c>
      <c r="P571" s="6"/>
      <c r="Q571" s="27"/>
      <c r="R571" s="28" t="s">
        <v>692</v>
      </c>
      <c r="S571" s="6"/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f>AVERAGE(U571:X571)</f>
        <v>0</v>
      </c>
      <c r="Z571" s="10"/>
      <c r="AA571" s="10"/>
      <c r="AB571" s="10"/>
      <c r="AC571" s="10"/>
      <c r="AD571" s="10"/>
      <c r="AE571" s="10"/>
      <c r="AF571" s="10"/>
      <c r="AG571" s="38">
        <f>COUNTIF(Z571:AF571,"X")/7</f>
        <v>0</v>
      </c>
      <c r="AH571" s="51" t="str">
        <f>IF(AG571=100%,Y571," ")</f>
        <v xml:space="preserve"> </v>
      </c>
      <c r="AI571" s="64"/>
      <c r="AJ571" s="1"/>
      <c r="AK571" s="65">
        <v>0</v>
      </c>
      <c r="AL571" s="1"/>
      <c r="AM571" s="1"/>
    </row>
    <row r="572" spans="1:39" s="26" customFormat="1" hidden="1" x14ac:dyDescent="0.3">
      <c r="A572" s="22" t="s">
        <v>941</v>
      </c>
      <c r="B572" s="2" t="s">
        <v>770</v>
      </c>
      <c r="C572" s="21">
        <v>1.25</v>
      </c>
      <c r="D572" s="23" t="s">
        <v>829</v>
      </c>
      <c r="E572" s="23"/>
      <c r="F572" s="28"/>
      <c r="G572" s="3" t="s">
        <v>942</v>
      </c>
      <c r="H572" s="6"/>
      <c r="I572" s="6"/>
      <c r="J572" s="6">
        <v>30</v>
      </c>
      <c r="K572" s="21"/>
      <c r="L572" s="21" t="s">
        <v>791</v>
      </c>
      <c r="M572" s="6" t="s">
        <v>827</v>
      </c>
      <c r="N572" s="6"/>
      <c r="O572" s="6" t="s">
        <v>793</v>
      </c>
      <c r="P572" s="6"/>
      <c r="Q572" s="27"/>
      <c r="R572" s="28" t="s">
        <v>692</v>
      </c>
      <c r="S572" s="6"/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f>AVERAGE(U572:X572)</f>
        <v>0</v>
      </c>
      <c r="Z572" s="10"/>
      <c r="AA572" s="10"/>
      <c r="AB572" s="10"/>
      <c r="AC572" s="10"/>
      <c r="AD572" s="10"/>
      <c r="AE572" s="10"/>
      <c r="AF572" s="10"/>
      <c r="AG572" s="38">
        <f>COUNTIF(Z572:AF572,"X")/7</f>
        <v>0</v>
      </c>
      <c r="AH572" s="51" t="str">
        <f>IF(AG572=100%,Y572," ")</f>
        <v xml:space="preserve"> </v>
      </c>
      <c r="AI572" s="64"/>
      <c r="AJ572" s="1"/>
      <c r="AK572" s="65">
        <v>0</v>
      </c>
      <c r="AL572" s="1"/>
      <c r="AM572" s="1"/>
    </row>
    <row r="573" spans="1:39" s="26" customFormat="1" hidden="1" x14ac:dyDescent="0.3">
      <c r="A573" s="22" t="s">
        <v>943</v>
      </c>
      <c r="B573" s="2" t="s">
        <v>770</v>
      </c>
      <c r="C573" s="21">
        <v>1.5</v>
      </c>
      <c r="D573" s="23">
        <v>1030</v>
      </c>
      <c r="E573" s="23"/>
      <c r="F573" s="28"/>
      <c r="G573" s="3" t="s">
        <v>832</v>
      </c>
      <c r="H573" s="6"/>
      <c r="I573" s="6" t="s">
        <v>702</v>
      </c>
      <c r="J573" s="6">
        <v>69</v>
      </c>
      <c r="K573" s="21">
        <v>19</v>
      </c>
      <c r="L573" s="21" t="s">
        <v>194</v>
      </c>
      <c r="M573" s="6" t="s">
        <v>787</v>
      </c>
      <c r="N573" s="6" t="s">
        <v>833</v>
      </c>
      <c r="O573" s="6" t="s">
        <v>793</v>
      </c>
      <c r="P573" s="6"/>
      <c r="Q573" s="27"/>
      <c r="R573" s="28" t="s">
        <v>692</v>
      </c>
      <c r="S573" s="6" t="s">
        <v>55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f>AVERAGE(U573:X573)</f>
        <v>0</v>
      </c>
      <c r="Z573" s="10"/>
      <c r="AA573" s="10"/>
      <c r="AB573" s="10"/>
      <c r="AC573" s="10"/>
      <c r="AD573" s="10"/>
      <c r="AE573" s="10"/>
      <c r="AF573" s="10"/>
      <c r="AG573" s="38">
        <f>COUNTIF(Z573:AF573,"X")/7</f>
        <v>0</v>
      </c>
      <c r="AH573" s="51" t="str">
        <f>IF(AG573=100%,Y573," ")</f>
        <v xml:space="preserve"> </v>
      </c>
      <c r="AI573" s="64"/>
      <c r="AJ573" s="1"/>
      <c r="AK573" s="65">
        <v>0</v>
      </c>
      <c r="AL573" s="1"/>
      <c r="AM573" s="1"/>
    </row>
    <row r="574" spans="1:39" s="26" customFormat="1" hidden="1" x14ac:dyDescent="0.3">
      <c r="A574" s="22" t="s">
        <v>944</v>
      </c>
      <c r="B574" s="2" t="s">
        <v>770</v>
      </c>
      <c r="C574" s="21">
        <v>1.5</v>
      </c>
      <c r="D574" s="23">
        <v>1200</v>
      </c>
      <c r="E574" s="23"/>
      <c r="F574" s="28"/>
      <c r="G574" s="3" t="s">
        <v>832</v>
      </c>
      <c r="H574" s="6"/>
      <c r="I574" s="6" t="s">
        <v>687</v>
      </c>
      <c r="J574" s="6">
        <v>69</v>
      </c>
      <c r="K574" s="21">
        <v>18</v>
      </c>
      <c r="L574" s="21" t="s">
        <v>194</v>
      </c>
      <c r="M574" s="6" t="s">
        <v>787</v>
      </c>
      <c r="N574" s="6" t="s">
        <v>833</v>
      </c>
      <c r="O574" s="6" t="s">
        <v>793</v>
      </c>
      <c r="P574" s="6"/>
      <c r="Q574" s="27"/>
      <c r="R574" s="28" t="s">
        <v>692</v>
      </c>
      <c r="S574" s="6" t="s">
        <v>55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f>AVERAGE(U574:X574)</f>
        <v>0</v>
      </c>
      <c r="Z574" s="10"/>
      <c r="AA574" s="10"/>
      <c r="AB574" s="10"/>
      <c r="AC574" s="10"/>
      <c r="AD574" s="10"/>
      <c r="AE574" s="10"/>
      <c r="AF574" s="10"/>
      <c r="AG574" s="38">
        <f>COUNTIF(Z574:AF574,"X")/7</f>
        <v>0</v>
      </c>
      <c r="AH574" s="51" t="str">
        <f>IF(AG574=100%,Y574," ")</f>
        <v xml:space="preserve"> </v>
      </c>
      <c r="AI574" s="64"/>
      <c r="AJ574" s="1"/>
      <c r="AK574" s="65">
        <v>0</v>
      </c>
      <c r="AL574" s="1"/>
      <c r="AM574" s="1"/>
    </row>
    <row r="575" spans="1:39" s="26" customFormat="1" hidden="1" x14ac:dyDescent="0.3">
      <c r="A575" s="22" t="s">
        <v>945</v>
      </c>
      <c r="B575" s="2" t="s">
        <v>770</v>
      </c>
      <c r="C575" s="21">
        <v>1.5</v>
      </c>
      <c r="D575" s="23">
        <v>1200</v>
      </c>
      <c r="E575" s="23"/>
      <c r="F575" s="28"/>
      <c r="G575" s="3" t="s">
        <v>832</v>
      </c>
      <c r="H575" s="6"/>
      <c r="I575" s="6" t="s">
        <v>687</v>
      </c>
      <c r="J575" s="6">
        <v>69</v>
      </c>
      <c r="K575" s="21">
        <v>18</v>
      </c>
      <c r="L575" s="21" t="s">
        <v>194</v>
      </c>
      <c r="M575" s="6" t="s">
        <v>787</v>
      </c>
      <c r="N575" s="6" t="s">
        <v>833</v>
      </c>
      <c r="O575" s="6" t="s">
        <v>793</v>
      </c>
      <c r="P575" s="6"/>
      <c r="Q575" s="27"/>
      <c r="R575" s="28" t="s">
        <v>692</v>
      </c>
      <c r="S575" s="6" t="s">
        <v>55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f>AVERAGE(U575:X575)</f>
        <v>0</v>
      </c>
      <c r="Z575" s="10"/>
      <c r="AA575" s="10"/>
      <c r="AB575" s="10"/>
      <c r="AC575" s="10"/>
      <c r="AD575" s="10"/>
      <c r="AE575" s="10"/>
      <c r="AF575" s="10"/>
      <c r="AG575" s="38">
        <f>COUNTIF(Z575:AF575,"X")/7</f>
        <v>0</v>
      </c>
      <c r="AH575" s="51" t="str">
        <f>IF(AG575=100%,Y575," ")</f>
        <v xml:space="preserve"> </v>
      </c>
      <c r="AI575" s="64"/>
      <c r="AJ575" s="1"/>
      <c r="AK575" s="65">
        <v>0</v>
      </c>
      <c r="AL575" s="1"/>
      <c r="AM575" s="1"/>
    </row>
    <row r="576" spans="1:39" s="26" customFormat="1" hidden="1" x14ac:dyDescent="0.3">
      <c r="A576" s="22" t="s">
        <v>946</v>
      </c>
      <c r="B576" s="2" t="s">
        <v>770</v>
      </c>
      <c r="C576" s="21">
        <v>1.5</v>
      </c>
      <c r="D576" s="23">
        <v>1200</v>
      </c>
      <c r="E576" s="23"/>
      <c r="F576" s="28"/>
      <c r="G576" s="3" t="s">
        <v>832</v>
      </c>
      <c r="H576" s="6"/>
      <c r="I576" s="6" t="s">
        <v>687</v>
      </c>
      <c r="J576" s="6">
        <v>69</v>
      </c>
      <c r="K576" s="21">
        <v>18</v>
      </c>
      <c r="L576" s="21" t="s">
        <v>194</v>
      </c>
      <c r="M576" s="6" t="s">
        <v>787</v>
      </c>
      <c r="N576" s="6" t="s">
        <v>833</v>
      </c>
      <c r="O576" s="6" t="s">
        <v>793</v>
      </c>
      <c r="P576" s="6"/>
      <c r="Q576" s="27"/>
      <c r="R576" s="28" t="s">
        <v>692</v>
      </c>
      <c r="S576" s="6" t="s">
        <v>55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f>AVERAGE(U576:X576)</f>
        <v>0</v>
      </c>
      <c r="Z576" s="10"/>
      <c r="AA576" s="10"/>
      <c r="AB576" s="10"/>
      <c r="AC576" s="10"/>
      <c r="AD576" s="10"/>
      <c r="AE576" s="10"/>
      <c r="AF576" s="10"/>
      <c r="AG576" s="38">
        <f>COUNTIF(Z576:AF576,"X")/7</f>
        <v>0</v>
      </c>
      <c r="AH576" s="51" t="str">
        <f>IF(AG576=100%,Y576," ")</f>
        <v xml:space="preserve"> </v>
      </c>
      <c r="AI576" s="64"/>
      <c r="AJ576" s="1"/>
      <c r="AK576" s="65">
        <v>0</v>
      </c>
      <c r="AL576" s="1"/>
      <c r="AM576" s="1"/>
    </row>
    <row r="577" spans="1:39" s="26" customFormat="1" hidden="1" x14ac:dyDescent="0.3">
      <c r="A577" s="22" t="s">
        <v>947</v>
      </c>
      <c r="B577" s="2" t="s">
        <v>770</v>
      </c>
      <c r="C577" s="21">
        <v>1.5</v>
      </c>
      <c r="D577" s="23">
        <v>1200</v>
      </c>
      <c r="E577" s="23"/>
      <c r="F577" s="28"/>
      <c r="G577" s="3" t="s">
        <v>832</v>
      </c>
      <c r="H577" s="6"/>
      <c r="I577" s="6" t="s">
        <v>687</v>
      </c>
      <c r="J577" s="6">
        <v>69</v>
      </c>
      <c r="K577" s="21">
        <v>18</v>
      </c>
      <c r="L577" s="21" t="s">
        <v>194</v>
      </c>
      <c r="M577" s="6" t="s">
        <v>787</v>
      </c>
      <c r="N577" s="6" t="s">
        <v>833</v>
      </c>
      <c r="O577" s="6" t="s">
        <v>793</v>
      </c>
      <c r="P577" s="6"/>
      <c r="Q577" s="27"/>
      <c r="R577" s="28" t="s">
        <v>692</v>
      </c>
      <c r="S577" s="6" t="s">
        <v>55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f>AVERAGE(U577:X577)</f>
        <v>0</v>
      </c>
      <c r="Z577" s="10"/>
      <c r="AA577" s="10"/>
      <c r="AB577" s="10"/>
      <c r="AC577" s="10"/>
      <c r="AD577" s="10"/>
      <c r="AE577" s="10"/>
      <c r="AF577" s="10"/>
      <c r="AG577" s="38">
        <f>COUNTIF(Z577:AF577,"X")/7</f>
        <v>0</v>
      </c>
      <c r="AH577" s="51" t="str">
        <f>IF(AG577=100%,Y577," ")</f>
        <v xml:space="preserve"> </v>
      </c>
      <c r="AI577" s="64"/>
      <c r="AJ577" s="1"/>
      <c r="AK577" s="65">
        <v>0</v>
      </c>
      <c r="AL577" s="1"/>
      <c r="AM577" s="1"/>
    </row>
    <row r="578" spans="1:39" s="26" customFormat="1" hidden="1" x14ac:dyDescent="0.3">
      <c r="A578" s="22" t="s">
        <v>948</v>
      </c>
      <c r="B578" s="2" t="s">
        <v>770</v>
      </c>
      <c r="C578" s="21">
        <v>1.5</v>
      </c>
      <c r="D578" s="23" t="s">
        <v>829</v>
      </c>
      <c r="E578" s="23"/>
      <c r="F578" s="28"/>
      <c r="G578" s="3" t="s">
        <v>949</v>
      </c>
      <c r="H578" s="6"/>
      <c r="I578" s="6"/>
      <c r="J578" s="6">
        <v>30</v>
      </c>
      <c r="K578" s="21"/>
      <c r="L578" s="21" t="s">
        <v>791</v>
      </c>
      <c r="M578" s="6" t="s">
        <v>787</v>
      </c>
      <c r="N578" s="6"/>
      <c r="O578" s="6" t="s">
        <v>793</v>
      </c>
      <c r="P578" s="6"/>
      <c r="Q578" s="27"/>
      <c r="R578" s="28" t="s">
        <v>692</v>
      </c>
      <c r="S578" s="6"/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f>AVERAGE(U578:X578)</f>
        <v>0</v>
      </c>
      <c r="Z578" s="10"/>
      <c r="AA578" s="10"/>
      <c r="AB578" s="10"/>
      <c r="AC578" s="10"/>
      <c r="AD578" s="10"/>
      <c r="AE578" s="10"/>
      <c r="AF578" s="10"/>
      <c r="AG578" s="38">
        <f>COUNTIF(Z578:AF578,"X")/7</f>
        <v>0</v>
      </c>
      <c r="AH578" s="51" t="str">
        <f>IF(AG578=100%,Y578," ")</f>
        <v xml:space="preserve"> </v>
      </c>
      <c r="AI578" s="64"/>
      <c r="AJ578" s="1"/>
      <c r="AK578" s="65">
        <v>0</v>
      </c>
      <c r="AL578" s="1"/>
      <c r="AM578" s="1"/>
    </row>
    <row r="579" spans="1:39" s="26" customFormat="1" hidden="1" x14ac:dyDescent="0.3">
      <c r="A579" s="22" t="s">
        <v>950</v>
      </c>
      <c r="B579" s="2" t="s">
        <v>770</v>
      </c>
      <c r="C579" s="21">
        <v>1.5</v>
      </c>
      <c r="D579" s="23" t="s">
        <v>878</v>
      </c>
      <c r="E579" s="23"/>
      <c r="F579" s="28"/>
      <c r="G579" s="3" t="s">
        <v>951</v>
      </c>
      <c r="H579" s="6"/>
      <c r="I579" s="6"/>
      <c r="J579" s="6">
        <v>30</v>
      </c>
      <c r="K579" s="21"/>
      <c r="L579" s="21" t="s">
        <v>791</v>
      </c>
      <c r="M579" s="6" t="s">
        <v>865</v>
      </c>
      <c r="N579" s="6"/>
      <c r="O579" s="6" t="s">
        <v>793</v>
      </c>
      <c r="P579" s="6"/>
      <c r="Q579" s="27"/>
      <c r="R579" s="28" t="s">
        <v>692</v>
      </c>
      <c r="S579" s="6"/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f>AVERAGE(U579:X579)</f>
        <v>0</v>
      </c>
      <c r="Z579" s="10"/>
      <c r="AA579" s="10"/>
      <c r="AB579" s="10"/>
      <c r="AC579" s="10"/>
      <c r="AD579" s="10"/>
      <c r="AE579" s="10"/>
      <c r="AF579" s="10"/>
      <c r="AG579" s="38">
        <f>COUNTIF(Z579:AF579,"X")/7</f>
        <v>0</v>
      </c>
      <c r="AH579" s="51" t="str">
        <f>IF(AG579=100%,Y579," ")</f>
        <v xml:space="preserve"> </v>
      </c>
      <c r="AI579" s="64"/>
      <c r="AJ579" s="1"/>
      <c r="AK579" s="65">
        <v>0</v>
      </c>
      <c r="AL579" s="1"/>
      <c r="AM579" s="1"/>
    </row>
    <row r="580" spans="1:39" s="26" customFormat="1" hidden="1" x14ac:dyDescent="0.3">
      <c r="A580" s="22" t="s">
        <v>952</v>
      </c>
      <c r="B580" s="2" t="s">
        <v>770</v>
      </c>
      <c r="C580" s="21">
        <v>1.5</v>
      </c>
      <c r="D580" s="23" t="s">
        <v>829</v>
      </c>
      <c r="E580" s="23"/>
      <c r="F580" s="28"/>
      <c r="G580" s="3" t="s">
        <v>953</v>
      </c>
      <c r="H580" s="6"/>
      <c r="I580" s="6"/>
      <c r="J580" s="6">
        <v>30</v>
      </c>
      <c r="K580" s="21"/>
      <c r="L580" s="21" t="s">
        <v>791</v>
      </c>
      <c r="M580" s="6" t="s">
        <v>787</v>
      </c>
      <c r="N580" s="6"/>
      <c r="O580" s="6" t="s">
        <v>793</v>
      </c>
      <c r="P580" s="6"/>
      <c r="Q580" s="27"/>
      <c r="R580" s="28" t="s">
        <v>692</v>
      </c>
      <c r="S580" s="6"/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f>AVERAGE(U580:X580)</f>
        <v>0</v>
      </c>
      <c r="Z580" s="10"/>
      <c r="AA580" s="10"/>
      <c r="AB580" s="10"/>
      <c r="AC580" s="10"/>
      <c r="AD580" s="10"/>
      <c r="AE580" s="10"/>
      <c r="AF580" s="10"/>
      <c r="AG580" s="38">
        <f>COUNTIF(Z580:AF580,"X")/7</f>
        <v>0</v>
      </c>
      <c r="AH580" s="51" t="str">
        <f>IF(AG580=100%,Y580," ")</f>
        <v xml:space="preserve"> </v>
      </c>
      <c r="AI580" s="64"/>
      <c r="AJ580" s="1"/>
      <c r="AK580" s="65">
        <v>0</v>
      </c>
      <c r="AL580" s="1"/>
      <c r="AM580" s="1"/>
    </row>
    <row r="581" spans="1:39" s="26" customFormat="1" hidden="1" x14ac:dyDescent="0.3">
      <c r="A581" s="22" t="s">
        <v>954</v>
      </c>
      <c r="B581" s="2" t="s">
        <v>770</v>
      </c>
      <c r="C581" s="21">
        <v>1.5</v>
      </c>
      <c r="D581" s="23" t="s">
        <v>955</v>
      </c>
      <c r="E581" s="23"/>
      <c r="F581" s="28"/>
      <c r="G581" s="3" t="s">
        <v>956</v>
      </c>
      <c r="H581" s="4"/>
      <c r="I581" s="6"/>
      <c r="J581" s="4">
        <v>30</v>
      </c>
      <c r="K581" s="5"/>
      <c r="L581" s="5" t="s">
        <v>791</v>
      </c>
      <c r="M581" s="4" t="s">
        <v>935</v>
      </c>
      <c r="N581" s="4"/>
      <c r="O581" s="4" t="s">
        <v>793</v>
      </c>
      <c r="P581" s="4"/>
      <c r="Q581" s="24"/>
      <c r="R581" s="25" t="s">
        <v>692</v>
      </c>
      <c r="S581" s="6"/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f>AVERAGE(U581:X581)</f>
        <v>0</v>
      </c>
      <c r="Z581" s="10"/>
      <c r="AA581" s="10"/>
      <c r="AB581" s="10"/>
      <c r="AC581" s="10"/>
      <c r="AD581" s="10"/>
      <c r="AE581" s="10"/>
      <c r="AF581" s="10"/>
      <c r="AG581" s="38">
        <f>COUNTIF(Z581:AF581,"X")/7</f>
        <v>0</v>
      </c>
      <c r="AH581" s="51" t="str">
        <f>IF(AG581=100%,Y581," ")</f>
        <v xml:space="preserve"> </v>
      </c>
      <c r="AI581" s="64"/>
      <c r="AJ581" s="1"/>
      <c r="AK581" s="65">
        <v>0</v>
      </c>
      <c r="AL581" s="1"/>
      <c r="AM581" s="1"/>
    </row>
    <row r="582" spans="1:39" s="26" customFormat="1" hidden="1" x14ac:dyDescent="0.3">
      <c r="A582" s="22" t="s">
        <v>957</v>
      </c>
      <c r="B582" s="2" t="s">
        <v>927</v>
      </c>
      <c r="C582" s="21">
        <v>1.5</v>
      </c>
      <c r="D582" s="23" t="s">
        <v>955</v>
      </c>
      <c r="E582" s="23"/>
      <c r="F582" s="28"/>
      <c r="G582" s="3" t="s">
        <v>958</v>
      </c>
      <c r="H582" s="4"/>
      <c r="I582" s="6"/>
      <c r="J582" s="4">
        <v>30</v>
      </c>
      <c r="K582" s="5"/>
      <c r="L582" s="5" t="s">
        <v>791</v>
      </c>
      <c r="M582" s="4" t="s">
        <v>704</v>
      </c>
      <c r="N582" s="4"/>
      <c r="O582" s="4" t="s">
        <v>793</v>
      </c>
      <c r="P582" s="4"/>
      <c r="Q582" s="24"/>
      <c r="R582" s="25" t="s">
        <v>692</v>
      </c>
      <c r="S582" s="6"/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f>AVERAGE(U582:X582)</f>
        <v>0</v>
      </c>
      <c r="Z582" s="10"/>
      <c r="AA582" s="10"/>
      <c r="AB582" s="10"/>
      <c r="AC582" s="10"/>
      <c r="AD582" s="10"/>
      <c r="AE582" s="10"/>
      <c r="AF582" s="10"/>
      <c r="AG582" s="38">
        <f>COUNTIF(Z582:AF582,"X")/7</f>
        <v>0</v>
      </c>
      <c r="AH582" s="51" t="str">
        <f>IF(AG582=100%,Y582," ")</f>
        <v xml:space="preserve"> </v>
      </c>
      <c r="AI582" s="64"/>
      <c r="AJ582" s="1"/>
      <c r="AK582" s="65">
        <v>0</v>
      </c>
      <c r="AL582" s="1"/>
      <c r="AM582" s="1"/>
    </row>
    <row r="583" spans="1:39" s="26" customFormat="1" hidden="1" x14ac:dyDescent="0.3">
      <c r="A583" s="22" t="s">
        <v>959</v>
      </c>
      <c r="B583" s="2" t="s">
        <v>770</v>
      </c>
      <c r="C583" s="21">
        <v>1.9</v>
      </c>
      <c r="D583" s="23" t="s">
        <v>906</v>
      </c>
      <c r="E583" s="23"/>
      <c r="F583" s="28"/>
      <c r="G583" s="3" t="s">
        <v>960</v>
      </c>
      <c r="H583" s="6"/>
      <c r="I583" s="6"/>
      <c r="J583" s="6">
        <v>30</v>
      </c>
      <c r="K583" s="21"/>
      <c r="L583" s="21" t="s">
        <v>791</v>
      </c>
      <c r="M583" s="6" t="s">
        <v>787</v>
      </c>
      <c r="N583" s="6"/>
      <c r="O583" s="6" t="s">
        <v>793</v>
      </c>
      <c r="P583" s="6"/>
      <c r="Q583" s="27"/>
      <c r="R583" s="28" t="s">
        <v>692</v>
      </c>
      <c r="S583" s="6"/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f>AVERAGE(U583:X583)</f>
        <v>0</v>
      </c>
      <c r="Z583" s="10"/>
      <c r="AA583" s="10"/>
      <c r="AB583" s="10"/>
      <c r="AC583" s="10"/>
      <c r="AD583" s="10"/>
      <c r="AE583" s="10"/>
      <c r="AF583" s="10"/>
      <c r="AG583" s="38">
        <f>COUNTIF(Z583:AF583,"X")/7</f>
        <v>0</v>
      </c>
      <c r="AH583" s="51" t="str">
        <f>IF(AG583=100%,Y583," ")</f>
        <v xml:space="preserve"> </v>
      </c>
      <c r="AI583" s="64"/>
      <c r="AJ583" s="1"/>
      <c r="AK583" s="65">
        <v>0</v>
      </c>
      <c r="AL583" s="1"/>
      <c r="AM583" s="1"/>
    </row>
    <row r="584" spans="1:39" s="26" customFormat="1" hidden="1" x14ac:dyDescent="0.3">
      <c r="A584" s="22" t="s">
        <v>961</v>
      </c>
      <c r="B584" s="2" t="s">
        <v>770</v>
      </c>
      <c r="C584" s="21">
        <v>1.9</v>
      </c>
      <c r="D584" s="23" t="s">
        <v>829</v>
      </c>
      <c r="E584" s="23"/>
      <c r="F584" s="28"/>
      <c r="G584" s="3" t="s">
        <v>960</v>
      </c>
      <c r="H584" s="6"/>
      <c r="I584" s="6"/>
      <c r="J584" s="6">
        <v>30</v>
      </c>
      <c r="K584" s="21"/>
      <c r="L584" s="21" t="s">
        <v>791</v>
      </c>
      <c r="M584" s="6" t="s">
        <v>865</v>
      </c>
      <c r="N584" s="6"/>
      <c r="O584" s="6" t="s">
        <v>793</v>
      </c>
      <c r="P584" s="6"/>
      <c r="Q584" s="27"/>
      <c r="R584" s="28" t="s">
        <v>692</v>
      </c>
      <c r="S584" s="6"/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f>AVERAGE(U584:X584)</f>
        <v>0</v>
      </c>
      <c r="Z584" s="10"/>
      <c r="AA584" s="10"/>
      <c r="AB584" s="10"/>
      <c r="AC584" s="10"/>
      <c r="AD584" s="10"/>
      <c r="AE584" s="10"/>
      <c r="AF584" s="10"/>
      <c r="AG584" s="38">
        <f>COUNTIF(Z584:AF584,"X")/7</f>
        <v>0</v>
      </c>
      <c r="AH584" s="51" t="str">
        <f>IF(AG584=100%,Y584," ")</f>
        <v xml:space="preserve"> </v>
      </c>
      <c r="AI584" s="64"/>
      <c r="AJ584" s="1"/>
      <c r="AK584" s="65">
        <v>0</v>
      </c>
      <c r="AL584" s="1"/>
      <c r="AM584" s="1"/>
    </row>
    <row r="585" spans="1:39" s="26" customFormat="1" hidden="1" x14ac:dyDescent="0.3">
      <c r="A585" s="22" t="s">
        <v>962</v>
      </c>
      <c r="B585" s="2" t="s">
        <v>770</v>
      </c>
      <c r="C585" s="21">
        <v>1.9</v>
      </c>
      <c r="D585" s="23" t="s">
        <v>906</v>
      </c>
      <c r="E585" s="23"/>
      <c r="F585" s="28"/>
      <c r="G585" s="3" t="s">
        <v>960</v>
      </c>
      <c r="H585" s="6"/>
      <c r="I585" s="6"/>
      <c r="J585" s="6">
        <v>30</v>
      </c>
      <c r="K585" s="21"/>
      <c r="L585" s="21" t="s">
        <v>791</v>
      </c>
      <c r="M585" s="6" t="s">
        <v>865</v>
      </c>
      <c r="N585" s="6"/>
      <c r="O585" s="6" t="s">
        <v>793</v>
      </c>
      <c r="P585" s="6"/>
      <c r="Q585" s="27"/>
      <c r="R585" s="28" t="s">
        <v>692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AVERAGE(U585:X585)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hidden="1" x14ac:dyDescent="0.3">
      <c r="A586" s="22" t="s">
        <v>963</v>
      </c>
      <c r="B586" s="2" t="s">
        <v>770</v>
      </c>
      <c r="C586" s="21">
        <v>1.9</v>
      </c>
      <c r="D586" s="23" t="s">
        <v>906</v>
      </c>
      <c r="E586" s="23"/>
      <c r="F586" s="28"/>
      <c r="G586" s="3" t="s">
        <v>964</v>
      </c>
      <c r="H586" s="6"/>
      <c r="I586" s="6"/>
      <c r="J586" s="6">
        <v>30</v>
      </c>
      <c r="K586" s="21"/>
      <c r="L586" s="21" t="s">
        <v>791</v>
      </c>
      <c r="M586" s="4" t="s">
        <v>865</v>
      </c>
      <c r="N586" s="6"/>
      <c r="O586" s="6" t="s">
        <v>793</v>
      </c>
      <c r="P586" s="6"/>
      <c r="Q586" s="27"/>
      <c r="R586" s="28" t="s">
        <v>692</v>
      </c>
      <c r="S586" s="6"/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AVERAGE(U586:X586)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hidden="1" x14ac:dyDescent="0.3">
      <c r="A587" s="22" t="s">
        <v>965</v>
      </c>
      <c r="B587" s="2" t="s">
        <v>770</v>
      </c>
      <c r="C587" s="21">
        <v>1.9</v>
      </c>
      <c r="D587" s="23">
        <v>1200</v>
      </c>
      <c r="E587" s="23"/>
      <c r="F587" s="28"/>
      <c r="G587" s="3" t="s">
        <v>966</v>
      </c>
      <c r="H587" s="6"/>
      <c r="I587" s="6"/>
      <c r="J587" s="6">
        <v>30</v>
      </c>
      <c r="K587" s="21"/>
      <c r="L587" s="21" t="s">
        <v>791</v>
      </c>
      <c r="M587" s="6" t="s">
        <v>704</v>
      </c>
      <c r="N587" s="6"/>
      <c r="O587" s="6" t="s">
        <v>793</v>
      </c>
      <c r="P587" s="6"/>
      <c r="Q587" s="27"/>
      <c r="R587" s="28" t="s">
        <v>692</v>
      </c>
      <c r="S587" s="6"/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AVERAGE(U587:X587)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hidden="1" x14ac:dyDescent="0.3">
      <c r="A588" s="22" t="s">
        <v>967</v>
      </c>
      <c r="B588" s="2" t="s">
        <v>927</v>
      </c>
      <c r="C588" s="21">
        <v>2</v>
      </c>
      <c r="D588" s="23" t="s">
        <v>893</v>
      </c>
      <c r="E588" s="23"/>
      <c r="F588" s="28"/>
      <c r="G588" s="3" t="s">
        <v>968</v>
      </c>
      <c r="H588" s="4"/>
      <c r="I588" s="4"/>
      <c r="J588" s="4">
        <v>30</v>
      </c>
      <c r="K588" s="5"/>
      <c r="L588" s="5" t="s">
        <v>791</v>
      </c>
      <c r="M588" s="4" t="s">
        <v>865</v>
      </c>
      <c r="N588" s="4"/>
      <c r="O588" s="4" t="s">
        <v>793</v>
      </c>
      <c r="P588" s="4"/>
      <c r="Q588" s="24"/>
      <c r="R588" s="25" t="s">
        <v>692</v>
      </c>
      <c r="S588" s="4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>AVERAGE(U588:X588)</f>
        <v>0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hidden="1" x14ac:dyDescent="0.3">
      <c r="A589" s="22" t="s">
        <v>969</v>
      </c>
      <c r="B589" s="2" t="s">
        <v>770</v>
      </c>
      <c r="C589" s="21">
        <v>2</v>
      </c>
      <c r="D589" s="23" t="s">
        <v>970</v>
      </c>
      <c r="E589" s="23"/>
      <c r="F589" s="28"/>
      <c r="G589" s="3" t="s">
        <v>971</v>
      </c>
      <c r="H589" s="6"/>
      <c r="I589" s="6"/>
      <c r="J589" s="6">
        <v>30</v>
      </c>
      <c r="K589" s="21"/>
      <c r="L589" s="21" t="s">
        <v>791</v>
      </c>
      <c r="M589" s="6" t="s">
        <v>902</v>
      </c>
      <c r="N589" s="6"/>
      <c r="O589" s="6" t="s">
        <v>793</v>
      </c>
      <c r="P589" s="6"/>
      <c r="Q589" s="27"/>
      <c r="R589" s="28" t="s">
        <v>692</v>
      </c>
      <c r="S589" s="6"/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>AVERAGE(U589:X589)</f>
        <v>0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hidden="1" x14ac:dyDescent="0.3">
      <c r="A590" s="22" t="s">
        <v>578</v>
      </c>
      <c r="B590" s="2" t="s">
        <v>49</v>
      </c>
      <c r="C590" s="21">
        <v>2</v>
      </c>
      <c r="D590" s="23" t="s">
        <v>829</v>
      </c>
      <c r="E590" s="23"/>
      <c r="F590" s="28"/>
      <c r="G590" s="3" t="s">
        <v>972</v>
      </c>
      <c r="H590" s="4"/>
      <c r="I590" s="4"/>
      <c r="J590" s="4">
        <v>30</v>
      </c>
      <c r="K590" s="5"/>
      <c r="L590" s="5" t="s">
        <v>791</v>
      </c>
      <c r="M590" s="4" t="s">
        <v>973</v>
      </c>
      <c r="N590" s="4"/>
      <c r="O590" s="4" t="s">
        <v>793</v>
      </c>
      <c r="P590" s="4"/>
      <c r="Q590" s="24"/>
      <c r="R590" s="25" t="s">
        <v>692</v>
      </c>
      <c r="S590" s="4"/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>AVERAGE(U590:X590)</f>
        <v>0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hidden="1" x14ac:dyDescent="0.3">
      <c r="A591" s="22" t="s">
        <v>974</v>
      </c>
      <c r="B591" s="2" t="s">
        <v>770</v>
      </c>
      <c r="C591" s="21">
        <v>2</v>
      </c>
      <c r="D591" s="23" t="s">
        <v>829</v>
      </c>
      <c r="E591" s="23"/>
      <c r="F591" s="28"/>
      <c r="G591" s="3" t="s">
        <v>975</v>
      </c>
      <c r="H591" s="4"/>
      <c r="I591" s="4"/>
      <c r="J591" s="4">
        <v>30</v>
      </c>
      <c r="K591" s="5"/>
      <c r="L591" s="5" t="s">
        <v>791</v>
      </c>
      <c r="M591" s="4" t="s">
        <v>704</v>
      </c>
      <c r="N591" s="4"/>
      <c r="O591" s="4" t="s">
        <v>793</v>
      </c>
      <c r="P591" s="4"/>
      <c r="Q591" s="24"/>
      <c r="R591" s="25" t="s">
        <v>692</v>
      </c>
      <c r="S591" s="4"/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f>AVERAGE(U591:X591)</f>
        <v>0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hidden="1" x14ac:dyDescent="0.3">
      <c r="A592" s="22" t="s">
        <v>976</v>
      </c>
      <c r="B592" s="2" t="s">
        <v>49</v>
      </c>
      <c r="C592" s="21">
        <v>2</v>
      </c>
      <c r="D592" s="23">
        <v>1200</v>
      </c>
      <c r="E592" s="23"/>
      <c r="F592" s="28"/>
      <c r="G592" s="3" t="s">
        <v>844</v>
      </c>
      <c r="H592" s="6"/>
      <c r="I592" s="6"/>
      <c r="J592" s="6">
        <v>30</v>
      </c>
      <c r="K592" s="21"/>
      <c r="L592" s="21" t="s">
        <v>791</v>
      </c>
      <c r="M592" s="6" t="s">
        <v>297</v>
      </c>
      <c r="N592" s="6"/>
      <c r="O592" s="6" t="s">
        <v>793</v>
      </c>
      <c r="P592" s="6"/>
      <c r="Q592" s="27"/>
      <c r="R592" s="28" t="s">
        <v>692</v>
      </c>
      <c r="S592" s="6"/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f>AVERAGE(U592:X592)</f>
        <v>0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hidden="1" x14ac:dyDescent="0.3">
      <c r="A593" s="22" t="s">
        <v>977</v>
      </c>
      <c r="B593" s="2" t="s">
        <v>770</v>
      </c>
      <c r="C593" s="21">
        <v>2.25</v>
      </c>
      <c r="D593" s="23" t="s">
        <v>829</v>
      </c>
      <c r="E593" s="23"/>
      <c r="F593" s="28"/>
      <c r="G593" s="3" t="s">
        <v>978</v>
      </c>
      <c r="H593" s="4"/>
      <c r="I593" s="6"/>
      <c r="J593" s="4">
        <v>30</v>
      </c>
      <c r="K593" s="5"/>
      <c r="L593" s="5" t="s">
        <v>791</v>
      </c>
      <c r="M593" s="4" t="s">
        <v>119</v>
      </c>
      <c r="N593" s="4"/>
      <c r="O593" s="4" t="s">
        <v>793</v>
      </c>
      <c r="P593" s="4"/>
      <c r="Q593" s="24"/>
      <c r="R593" s="25" t="s">
        <v>692</v>
      </c>
      <c r="S593" s="6"/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f>AVERAGE(U593:X593)</f>
        <v>0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hidden="1" x14ac:dyDescent="0.3">
      <c r="A594" s="22" t="s">
        <v>979</v>
      </c>
      <c r="B594" s="2" t="s">
        <v>49</v>
      </c>
      <c r="C594" s="21">
        <v>2.25</v>
      </c>
      <c r="D594" s="23" t="s">
        <v>829</v>
      </c>
      <c r="E594" s="23"/>
      <c r="F594" s="28"/>
      <c r="G594" s="3" t="s">
        <v>980</v>
      </c>
      <c r="H594" s="6"/>
      <c r="I594" s="6"/>
      <c r="J594" s="6">
        <v>30</v>
      </c>
      <c r="K594" s="21"/>
      <c r="L594" s="21" t="s">
        <v>791</v>
      </c>
      <c r="M594" s="6" t="s">
        <v>827</v>
      </c>
      <c r="N594" s="6"/>
      <c r="O594" s="6" t="s">
        <v>793</v>
      </c>
      <c r="P594" s="6"/>
      <c r="Q594" s="27"/>
      <c r="R594" s="28" t="s">
        <v>692</v>
      </c>
      <c r="S594" s="6"/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f>AVERAGE(U594:X594)</f>
        <v>0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hidden="1" x14ac:dyDescent="0.3">
      <c r="A595" s="22" t="s">
        <v>981</v>
      </c>
      <c r="B595" s="2" t="s">
        <v>49</v>
      </c>
      <c r="C595" s="21">
        <v>2.25</v>
      </c>
      <c r="D595" s="23" t="s">
        <v>829</v>
      </c>
      <c r="E595" s="23"/>
      <c r="F595" s="28"/>
      <c r="G595" s="3" t="s">
        <v>982</v>
      </c>
      <c r="H595" s="6"/>
      <c r="I595" s="6"/>
      <c r="J595" s="6">
        <v>30</v>
      </c>
      <c r="K595" s="21"/>
      <c r="L595" s="21" t="s">
        <v>791</v>
      </c>
      <c r="M595" s="6" t="s">
        <v>119</v>
      </c>
      <c r="N595" s="6"/>
      <c r="O595" s="6" t="s">
        <v>793</v>
      </c>
      <c r="P595" s="6"/>
      <c r="Q595" s="27"/>
      <c r="R595" s="28" t="s">
        <v>692</v>
      </c>
      <c r="S595" s="6"/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f>AVERAGE(U595:X595)</f>
        <v>0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hidden="1" x14ac:dyDescent="0.3">
      <c r="A596" s="22" t="s">
        <v>344</v>
      </c>
      <c r="B596" s="2" t="s">
        <v>49</v>
      </c>
      <c r="C596" s="21">
        <v>2.5</v>
      </c>
      <c r="D596" s="23" t="s">
        <v>983</v>
      </c>
      <c r="E596" s="23"/>
      <c r="F596" s="28"/>
      <c r="G596" s="3" t="s">
        <v>984</v>
      </c>
      <c r="H596" s="6"/>
      <c r="I596" s="6"/>
      <c r="J596" s="6">
        <v>30</v>
      </c>
      <c r="K596" s="21"/>
      <c r="L596" s="21" t="s">
        <v>791</v>
      </c>
      <c r="M596" s="6" t="s">
        <v>902</v>
      </c>
      <c r="N596" s="6"/>
      <c r="O596" s="6" t="s">
        <v>793</v>
      </c>
      <c r="P596" s="6"/>
      <c r="Q596" s="27"/>
      <c r="R596" s="28" t="s">
        <v>692</v>
      </c>
      <c r="S596" s="6"/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f>AVERAGE(U596:X596)</f>
        <v>0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hidden="1" x14ac:dyDescent="0.3">
      <c r="A597" s="22" t="s">
        <v>681</v>
      </c>
      <c r="B597" s="2" t="s">
        <v>49</v>
      </c>
      <c r="C597" s="21">
        <v>2.5</v>
      </c>
      <c r="D597" s="23" t="s">
        <v>985</v>
      </c>
      <c r="E597" s="23"/>
      <c r="F597" s="28"/>
      <c r="G597" s="3" t="s">
        <v>982</v>
      </c>
      <c r="H597" s="6"/>
      <c r="I597" s="6"/>
      <c r="J597" s="6">
        <v>30</v>
      </c>
      <c r="K597" s="21"/>
      <c r="L597" s="21" t="s">
        <v>791</v>
      </c>
      <c r="M597" s="6" t="s">
        <v>865</v>
      </c>
      <c r="N597" s="6"/>
      <c r="O597" s="6" t="s">
        <v>793</v>
      </c>
      <c r="P597" s="6"/>
      <c r="Q597" s="27"/>
      <c r="R597" s="28" t="s">
        <v>692</v>
      </c>
      <c r="S597" s="6"/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f>AVERAGE(U597:X597)</f>
        <v>0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hidden="1" x14ac:dyDescent="0.3">
      <c r="A598" s="22" t="s">
        <v>986</v>
      </c>
      <c r="B598" s="2" t="s">
        <v>49</v>
      </c>
      <c r="C598" s="21">
        <v>2.5</v>
      </c>
      <c r="D598" s="23" t="s">
        <v>829</v>
      </c>
      <c r="E598" s="23"/>
      <c r="F598" s="28"/>
      <c r="G598" s="3" t="s">
        <v>854</v>
      </c>
      <c r="H598" s="4"/>
      <c r="I598" s="4"/>
      <c r="J598" s="4">
        <v>30</v>
      </c>
      <c r="K598" s="5"/>
      <c r="L598" s="5" t="s">
        <v>791</v>
      </c>
      <c r="M598" s="4" t="s">
        <v>704</v>
      </c>
      <c r="N598" s="4"/>
      <c r="O598" s="4" t="s">
        <v>793</v>
      </c>
      <c r="P598" s="4"/>
      <c r="Q598" s="24"/>
      <c r="R598" s="25" t="s">
        <v>692</v>
      </c>
      <c r="S598" s="4"/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f>AVERAGE(U598:X598)</f>
        <v>0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hidden="1" x14ac:dyDescent="0.3">
      <c r="A599" s="22" t="s">
        <v>987</v>
      </c>
      <c r="B599" s="2" t="s">
        <v>49</v>
      </c>
      <c r="C599" s="21">
        <v>2.5</v>
      </c>
      <c r="D599" s="23" t="s">
        <v>829</v>
      </c>
      <c r="E599" s="23"/>
      <c r="F599" s="28"/>
      <c r="G599" s="3" t="s">
        <v>852</v>
      </c>
      <c r="H599" s="4"/>
      <c r="I599" s="4"/>
      <c r="J599" s="4">
        <v>30</v>
      </c>
      <c r="K599" s="5"/>
      <c r="L599" s="5" t="s">
        <v>791</v>
      </c>
      <c r="M599" s="4" t="s">
        <v>908</v>
      </c>
      <c r="N599" s="4"/>
      <c r="O599" s="4" t="s">
        <v>793</v>
      </c>
      <c r="P599" s="4"/>
      <c r="Q599" s="24"/>
      <c r="R599" s="25" t="s">
        <v>692</v>
      </c>
      <c r="S599" s="4"/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f>AVERAGE(U599:X599)</f>
        <v>0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hidden="1" x14ac:dyDescent="0.3">
      <c r="A600" s="22" t="s">
        <v>988</v>
      </c>
      <c r="B600" s="2" t="s">
        <v>49</v>
      </c>
      <c r="C600" s="21">
        <v>3</v>
      </c>
      <c r="D600" s="23" t="s">
        <v>829</v>
      </c>
      <c r="E600" s="23"/>
      <c r="F600" s="28"/>
      <c r="G600" s="3" t="s">
        <v>989</v>
      </c>
      <c r="H600" s="6"/>
      <c r="I600" s="6"/>
      <c r="J600" s="6">
        <v>30</v>
      </c>
      <c r="K600" s="21"/>
      <c r="L600" s="21" t="s">
        <v>791</v>
      </c>
      <c r="M600" s="6" t="s">
        <v>827</v>
      </c>
      <c r="N600" s="6"/>
      <c r="O600" s="6" t="s">
        <v>793</v>
      </c>
      <c r="P600" s="6"/>
      <c r="Q600" s="27"/>
      <c r="R600" s="28" t="s">
        <v>692</v>
      </c>
      <c r="S600" s="6"/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f>AVERAGE(U600:X600)</f>
        <v>0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hidden="1" x14ac:dyDescent="0.3">
      <c r="A601" s="22" t="s">
        <v>990</v>
      </c>
      <c r="B601" s="2" t="s">
        <v>49</v>
      </c>
      <c r="C601" s="21">
        <v>3</v>
      </c>
      <c r="D601" s="23" t="s">
        <v>829</v>
      </c>
      <c r="E601" s="23"/>
      <c r="F601" s="28"/>
      <c r="G601" s="3" t="s">
        <v>991</v>
      </c>
      <c r="H601" s="6"/>
      <c r="I601" s="6"/>
      <c r="J601" s="6">
        <v>30</v>
      </c>
      <c r="K601" s="21"/>
      <c r="L601" s="21" t="s">
        <v>791</v>
      </c>
      <c r="M601" s="6" t="s">
        <v>787</v>
      </c>
      <c r="N601" s="6"/>
      <c r="O601" s="6" t="s">
        <v>793</v>
      </c>
      <c r="P601" s="6"/>
      <c r="Q601" s="27"/>
      <c r="R601" s="28" t="s">
        <v>692</v>
      </c>
      <c r="S601" s="6"/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f>AVERAGE(U601:X601)</f>
        <v>0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hidden="1" x14ac:dyDescent="0.3">
      <c r="A602" s="22" t="s">
        <v>992</v>
      </c>
      <c r="B602" s="2" t="s">
        <v>49</v>
      </c>
      <c r="C602" s="21">
        <v>3</v>
      </c>
      <c r="D602" s="23" t="s">
        <v>993</v>
      </c>
      <c r="E602" s="23"/>
      <c r="F602" s="28"/>
      <c r="G602" s="3" t="s">
        <v>994</v>
      </c>
      <c r="H602" s="6"/>
      <c r="I602" s="6"/>
      <c r="J602" s="6">
        <v>30</v>
      </c>
      <c r="K602" s="21"/>
      <c r="L602" s="21" t="s">
        <v>791</v>
      </c>
      <c r="M602" s="6" t="s">
        <v>119</v>
      </c>
      <c r="N602" s="6"/>
      <c r="O602" s="6" t="s">
        <v>793</v>
      </c>
      <c r="P602" s="6"/>
      <c r="Q602" s="27"/>
      <c r="R602" s="28" t="s">
        <v>692</v>
      </c>
      <c r="S602" s="6"/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f>AVERAGE(U602:X602)</f>
        <v>0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hidden="1" x14ac:dyDescent="0.3">
      <c r="A603" s="22" t="s">
        <v>995</v>
      </c>
      <c r="B603" s="2" t="s">
        <v>49</v>
      </c>
      <c r="C603" s="21">
        <v>3</v>
      </c>
      <c r="D603" s="23" t="s">
        <v>829</v>
      </c>
      <c r="E603" s="23"/>
      <c r="F603" s="28"/>
      <c r="G603" s="3" t="s">
        <v>784</v>
      </c>
      <c r="H603" s="6"/>
      <c r="I603" s="6"/>
      <c r="J603" s="6">
        <v>30</v>
      </c>
      <c r="K603" s="21"/>
      <c r="L603" s="21" t="s">
        <v>791</v>
      </c>
      <c r="M603" s="6" t="s">
        <v>869</v>
      </c>
      <c r="N603" s="6"/>
      <c r="O603" s="6" t="s">
        <v>793</v>
      </c>
      <c r="P603" s="6"/>
      <c r="Q603" s="27"/>
      <c r="R603" s="28" t="s">
        <v>692</v>
      </c>
      <c r="S603" s="6"/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f>AVERAGE(U603:X603)</f>
        <v>0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hidden="1" x14ac:dyDescent="0.3">
      <c r="A604" s="22" t="s">
        <v>996</v>
      </c>
      <c r="B604" s="2" t="s">
        <v>49</v>
      </c>
      <c r="C604" s="21">
        <v>3</v>
      </c>
      <c r="D604" s="23">
        <v>1200</v>
      </c>
      <c r="E604" s="23"/>
      <c r="F604" s="28"/>
      <c r="G604" s="3" t="s">
        <v>849</v>
      </c>
      <c r="H604" s="4"/>
      <c r="I604" s="6"/>
      <c r="J604" s="4">
        <v>30</v>
      </c>
      <c r="K604" s="5"/>
      <c r="L604" s="5" t="s">
        <v>791</v>
      </c>
      <c r="M604" s="4" t="s">
        <v>704</v>
      </c>
      <c r="N604" s="4"/>
      <c r="O604" s="4" t="s">
        <v>793</v>
      </c>
      <c r="P604" s="4"/>
      <c r="Q604" s="24"/>
      <c r="R604" s="25" t="s">
        <v>692</v>
      </c>
      <c r="S604" s="6"/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f>AVERAGE(U604:X604)</f>
        <v>0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hidden="1" x14ac:dyDescent="0.3">
      <c r="A605" s="3" t="s">
        <v>589</v>
      </c>
      <c r="B605" s="2"/>
      <c r="C605" s="21"/>
      <c r="D605" s="23"/>
      <c r="E605" s="23"/>
      <c r="F605" s="28"/>
      <c r="G605" s="3"/>
      <c r="H605" s="4"/>
      <c r="I605" s="6"/>
      <c r="J605" s="4"/>
      <c r="K605" s="5"/>
      <c r="L605" s="5" t="s">
        <v>194</v>
      </c>
      <c r="M605" s="4" t="s">
        <v>94</v>
      </c>
      <c r="N605" s="4"/>
      <c r="O605" s="4" t="s">
        <v>793</v>
      </c>
      <c r="P605" s="4"/>
      <c r="Q605" s="24"/>
      <c r="R605" s="25" t="s">
        <v>692</v>
      </c>
      <c r="S605" s="6" t="s">
        <v>55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f>AVERAGE(U605:X605)</f>
        <v>0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hidden="1" x14ac:dyDescent="0.3">
      <c r="A606" s="3" t="s">
        <v>997</v>
      </c>
      <c r="B606" s="2" t="s">
        <v>49</v>
      </c>
      <c r="C606" s="21">
        <v>3.35</v>
      </c>
      <c r="D606" s="23" t="s">
        <v>955</v>
      </c>
      <c r="E606" s="23"/>
      <c r="F606" s="28"/>
      <c r="G606" s="3" t="s">
        <v>901</v>
      </c>
      <c r="H606" s="6"/>
      <c r="I606" s="6"/>
      <c r="J606" s="6">
        <v>30</v>
      </c>
      <c r="K606" s="21"/>
      <c r="L606" s="21" t="s">
        <v>791</v>
      </c>
      <c r="M606" s="6" t="s">
        <v>865</v>
      </c>
      <c r="N606" s="6"/>
      <c r="O606" s="6" t="s">
        <v>793</v>
      </c>
      <c r="P606" s="6"/>
      <c r="Q606" s="27"/>
      <c r="R606" s="28" t="s">
        <v>692</v>
      </c>
      <c r="S606" s="6"/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f>AVERAGE(U606:X606)</f>
        <v>0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hidden="1" x14ac:dyDescent="0.3">
      <c r="A607" s="3" t="s">
        <v>998</v>
      </c>
      <c r="B607" s="2" t="s">
        <v>49</v>
      </c>
      <c r="C607" s="21">
        <v>3.35</v>
      </c>
      <c r="D607" s="23" t="s">
        <v>829</v>
      </c>
      <c r="E607" s="23"/>
      <c r="F607" s="28"/>
      <c r="G607" s="3" t="s">
        <v>901</v>
      </c>
      <c r="H607" s="6"/>
      <c r="I607" s="6"/>
      <c r="J607" s="6">
        <v>30</v>
      </c>
      <c r="K607" s="21"/>
      <c r="L607" s="21" t="s">
        <v>791</v>
      </c>
      <c r="M607" s="6" t="s">
        <v>787</v>
      </c>
      <c r="N607" s="6"/>
      <c r="O607" s="6" t="s">
        <v>793</v>
      </c>
      <c r="P607" s="6"/>
      <c r="Q607" s="27"/>
      <c r="R607" s="28" t="s">
        <v>692</v>
      </c>
      <c r="S607" s="6"/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f>AVERAGE(U607:X607)</f>
        <v>0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hidden="1" x14ac:dyDescent="0.3">
      <c r="A608" s="3" t="s">
        <v>999</v>
      </c>
      <c r="B608" s="2" t="s">
        <v>49</v>
      </c>
      <c r="C608" s="21">
        <v>3.5</v>
      </c>
      <c r="D608" s="23">
        <v>1200</v>
      </c>
      <c r="E608" s="23"/>
      <c r="F608" s="28"/>
      <c r="G608" s="3" t="s">
        <v>844</v>
      </c>
      <c r="H608" s="4"/>
      <c r="I608" s="6"/>
      <c r="J608" s="4">
        <v>30</v>
      </c>
      <c r="K608" s="5"/>
      <c r="L608" s="5" t="s">
        <v>791</v>
      </c>
      <c r="M608" s="4" t="s">
        <v>1000</v>
      </c>
      <c r="N608" s="4"/>
      <c r="O608" s="4" t="s">
        <v>793</v>
      </c>
      <c r="P608" s="4"/>
      <c r="Q608" s="24"/>
      <c r="R608" s="25" t="s">
        <v>692</v>
      </c>
      <c r="S608" s="4"/>
      <c r="T608" s="1">
        <v>0</v>
      </c>
      <c r="U608" s="1">
        <v>0</v>
      </c>
      <c r="V608" s="1">
        <v>0</v>
      </c>
      <c r="W608" s="1">
        <v>0</v>
      </c>
      <c r="X608" s="1">
        <v>0</v>
      </c>
      <c r="Y608" s="1">
        <f>AVERAGE(U608:X608)</f>
        <v>0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hidden="1" x14ac:dyDescent="0.3">
      <c r="A609" s="3" t="s">
        <v>1001</v>
      </c>
      <c r="B609" s="2" t="s">
        <v>49</v>
      </c>
      <c r="C609" s="21">
        <v>3.75</v>
      </c>
      <c r="D609" s="23" t="s">
        <v>829</v>
      </c>
      <c r="E609" s="23"/>
      <c r="F609" s="28"/>
      <c r="G609" s="3" t="s">
        <v>879</v>
      </c>
      <c r="H609" s="6"/>
      <c r="I609" s="6"/>
      <c r="J609" s="6">
        <v>30</v>
      </c>
      <c r="K609" s="21"/>
      <c r="L609" s="21" t="s">
        <v>791</v>
      </c>
      <c r="M609" s="6" t="s">
        <v>787</v>
      </c>
      <c r="N609" s="6"/>
      <c r="O609" s="6" t="s">
        <v>793</v>
      </c>
      <c r="P609" s="6"/>
      <c r="Q609" s="27"/>
      <c r="R609" s="28" t="s">
        <v>692</v>
      </c>
      <c r="S609" s="6"/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f>AVERAGE(U609:X609)</f>
        <v>0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hidden="1" x14ac:dyDescent="0.3">
      <c r="A610" s="3" t="s">
        <v>1002</v>
      </c>
      <c r="B610" s="2" t="s">
        <v>49</v>
      </c>
      <c r="C610" s="21">
        <v>4</v>
      </c>
      <c r="D610" s="23">
        <v>1200</v>
      </c>
      <c r="E610" s="23"/>
      <c r="F610" s="28"/>
      <c r="G610" s="3" t="s">
        <v>1003</v>
      </c>
      <c r="H610" s="4"/>
      <c r="I610" s="6"/>
      <c r="J610" s="4">
        <v>30</v>
      </c>
      <c r="K610" s="5"/>
      <c r="L610" s="5" t="s">
        <v>791</v>
      </c>
      <c r="M610" s="4" t="s">
        <v>119</v>
      </c>
      <c r="N610" s="4"/>
      <c r="O610" s="4" t="s">
        <v>793</v>
      </c>
      <c r="P610" s="4"/>
      <c r="Q610" s="24"/>
      <c r="R610" s="25" t="s">
        <v>692</v>
      </c>
      <c r="S610" s="6"/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f>AVERAGE(U610:X610)</f>
        <v>0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hidden="1" x14ac:dyDescent="0.3">
      <c r="A611" s="3" t="s">
        <v>1004</v>
      </c>
      <c r="B611" s="2" t="s">
        <v>49</v>
      </c>
      <c r="C611" s="21">
        <v>4</v>
      </c>
      <c r="D611" s="23" t="s">
        <v>955</v>
      </c>
      <c r="E611" s="23"/>
      <c r="F611" s="28"/>
      <c r="G611" s="3" t="s">
        <v>899</v>
      </c>
      <c r="H611" s="4"/>
      <c r="I611" s="6"/>
      <c r="J611" s="4">
        <v>30</v>
      </c>
      <c r="K611" s="5"/>
      <c r="L611" s="5" t="s">
        <v>791</v>
      </c>
      <c r="M611" s="4" t="s">
        <v>704</v>
      </c>
      <c r="N611" s="4"/>
      <c r="O611" s="4" t="s">
        <v>793</v>
      </c>
      <c r="P611" s="4"/>
      <c r="Q611" s="24"/>
      <c r="R611" s="25" t="s">
        <v>692</v>
      </c>
      <c r="S611" s="6"/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f>AVERAGE(U611:X611)</f>
        <v>0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hidden="1" x14ac:dyDescent="0.3">
      <c r="A612" s="3" t="s">
        <v>1005</v>
      </c>
      <c r="B612" s="2" t="s">
        <v>49</v>
      </c>
      <c r="C612" s="21">
        <v>4</v>
      </c>
      <c r="D612" s="23" t="s">
        <v>829</v>
      </c>
      <c r="E612" s="23"/>
      <c r="F612" s="28"/>
      <c r="G612" s="3" t="s">
        <v>991</v>
      </c>
      <c r="H612" s="4"/>
      <c r="I612" s="6"/>
      <c r="J612" s="4">
        <v>30</v>
      </c>
      <c r="K612" s="5"/>
      <c r="L612" s="5" t="s">
        <v>791</v>
      </c>
      <c r="M612" s="4" t="s">
        <v>902</v>
      </c>
      <c r="N612" s="4"/>
      <c r="O612" s="4" t="s">
        <v>793</v>
      </c>
      <c r="P612" s="4"/>
      <c r="Q612" s="24"/>
      <c r="R612" s="25" t="s">
        <v>692</v>
      </c>
      <c r="S612" s="6"/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f>AVERAGE(U612:X612)</f>
        <v>0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hidden="1" x14ac:dyDescent="0.3">
      <c r="A613" s="3" t="s">
        <v>1006</v>
      </c>
      <c r="B613" s="2" t="s">
        <v>49</v>
      </c>
      <c r="C613" s="21">
        <v>4</v>
      </c>
      <c r="D613" s="23" t="s">
        <v>829</v>
      </c>
      <c r="E613" s="23"/>
      <c r="F613" s="28"/>
      <c r="G613" s="3" t="s">
        <v>852</v>
      </c>
      <c r="H613" s="6"/>
      <c r="I613" s="6"/>
      <c r="J613" s="6">
        <v>30</v>
      </c>
      <c r="K613" s="21"/>
      <c r="L613" s="21" t="s">
        <v>791</v>
      </c>
      <c r="M613" s="6" t="s">
        <v>119</v>
      </c>
      <c r="N613" s="6"/>
      <c r="O613" s="6" t="s">
        <v>793</v>
      </c>
      <c r="P613" s="6"/>
      <c r="Q613" s="27"/>
      <c r="R613" s="28" t="s">
        <v>692</v>
      </c>
      <c r="S613" s="6"/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f>AVERAGE(U613:X613)</f>
        <v>0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hidden="1" x14ac:dyDescent="0.3">
      <c r="A614" s="3" t="s">
        <v>1007</v>
      </c>
      <c r="B614" s="2" t="s">
        <v>49</v>
      </c>
      <c r="C614" s="21">
        <v>4</v>
      </c>
      <c r="D614" s="23" t="s">
        <v>829</v>
      </c>
      <c r="E614" s="23"/>
      <c r="F614" s="28"/>
      <c r="G614" s="3" t="s">
        <v>1008</v>
      </c>
      <c r="H614" s="4"/>
      <c r="I614" s="6"/>
      <c r="J614" s="4">
        <v>30</v>
      </c>
      <c r="K614" s="5"/>
      <c r="L614" s="5" t="s">
        <v>791</v>
      </c>
      <c r="M614" s="4" t="s">
        <v>119</v>
      </c>
      <c r="N614" s="4"/>
      <c r="O614" s="4" t="s">
        <v>793</v>
      </c>
      <c r="P614" s="4"/>
      <c r="Q614" s="24"/>
      <c r="R614" s="25" t="s">
        <v>692</v>
      </c>
      <c r="S614" s="6"/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f>AVERAGE(U614:X614)</f>
        <v>0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hidden="1" x14ac:dyDescent="0.3">
      <c r="A615" s="3" t="s">
        <v>1009</v>
      </c>
      <c r="B615" s="2" t="s">
        <v>49</v>
      </c>
      <c r="C615" s="21">
        <v>4</v>
      </c>
      <c r="D615" s="23" t="s">
        <v>829</v>
      </c>
      <c r="E615" s="23"/>
      <c r="F615" s="28"/>
      <c r="G615" s="3" t="s">
        <v>826</v>
      </c>
      <c r="H615" s="6"/>
      <c r="I615" s="6"/>
      <c r="J615" s="6">
        <v>30</v>
      </c>
      <c r="K615" s="21"/>
      <c r="L615" s="21" t="s">
        <v>791</v>
      </c>
      <c r="M615" s="6" t="s">
        <v>297</v>
      </c>
      <c r="N615" s="6"/>
      <c r="O615" s="6" t="s">
        <v>793</v>
      </c>
      <c r="P615" s="6"/>
      <c r="Q615" s="27"/>
      <c r="R615" s="28" t="s">
        <v>692</v>
      </c>
      <c r="S615" s="6"/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f>AVERAGE(U615:X615)</f>
        <v>0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hidden="1" x14ac:dyDescent="0.3">
      <c r="A616" s="3" t="s">
        <v>1010</v>
      </c>
      <c r="B616" s="2" t="s">
        <v>49</v>
      </c>
      <c r="C616" s="21">
        <v>4.25</v>
      </c>
      <c r="D616" s="23" t="s">
        <v>829</v>
      </c>
      <c r="E616" s="23"/>
      <c r="F616" s="28"/>
      <c r="G616" s="3" t="s">
        <v>901</v>
      </c>
      <c r="H616" s="4"/>
      <c r="I616" s="4"/>
      <c r="J616" s="4">
        <v>30</v>
      </c>
      <c r="K616" s="5"/>
      <c r="L616" s="5" t="s">
        <v>791</v>
      </c>
      <c r="M616" s="4" t="s">
        <v>865</v>
      </c>
      <c r="N616" s="4"/>
      <c r="O616" s="4" t="s">
        <v>793</v>
      </c>
      <c r="P616" s="4"/>
      <c r="Q616" s="24"/>
      <c r="R616" s="25" t="s">
        <v>692</v>
      </c>
      <c r="S616" s="4"/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f>AVERAGE(U616:X616)</f>
        <v>0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hidden="1" x14ac:dyDescent="0.3">
      <c r="A617" s="3" t="s">
        <v>1011</v>
      </c>
      <c r="B617" s="2" t="s">
        <v>49</v>
      </c>
      <c r="C617" s="21">
        <v>4</v>
      </c>
      <c r="D617" s="23" t="s">
        <v>829</v>
      </c>
      <c r="E617" s="23"/>
      <c r="F617" s="28"/>
      <c r="G617" s="3" t="s">
        <v>1012</v>
      </c>
      <c r="H617" s="4"/>
      <c r="I617" s="6"/>
      <c r="J617" s="4">
        <v>30</v>
      </c>
      <c r="K617" s="5"/>
      <c r="L617" s="5" t="s">
        <v>791</v>
      </c>
      <c r="M617" s="4" t="s">
        <v>704</v>
      </c>
      <c r="N617" s="4"/>
      <c r="O617" s="4" t="s">
        <v>793</v>
      </c>
      <c r="P617" s="4"/>
      <c r="Q617" s="24"/>
      <c r="R617" s="25" t="s">
        <v>692</v>
      </c>
      <c r="S617" s="6"/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f>AVERAGE(U617:X617)</f>
        <v>0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hidden="1" x14ac:dyDescent="0.3">
      <c r="A618" s="3" t="s">
        <v>1013</v>
      </c>
      <c r="B618" s="2" t="s">
        <v>49</v>
      </c>
      <c r="C618" s="21">
        <v>4.25</v>
      </c>
      <c r="D618" s="23" t="s">
        <v>829</v>
      </c>
      <c r="E618" s="23"/>
      <c r="F618" s="28"/>
      <c r="G618" s="3" t="s">
        <v>901</v>
      </c>
      <c r="H618" s="4"/>
      <c r="I618" s="4"/>
      <c r="J618" s="4">
        <v>30</v>
      </c>
      <c r="K618" s="5"/>
      <c r="L618" s="5" t="s">
        <v>791</v>
      </c>
      <c r="M618" s="4" t="s">
        <v>865</v>
      </c>
      <c r="N618" s="4"/>
      <c r="O618" s="4" t="s">
        <v>793</v>
      </c>
      <c r="P618" s="4"/>
      <c r="Q618" s="24"/>
      <c r="R618" s="25" t="s">
        <v>692</v>
      </c>
      <c r="S618" s="4"/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f>AVERAGE(U618:X618)</f>
        <v>0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hidden="1" x14ac:dyDescent="0.3">
      <c r="A619" s="3" t="s">
        <v>1014</v>
      </c>
      <c r="B619" s="2" t="s">
        <v>49</v>
      </c>
      <c r="C619" s="21">
        <v>4.25</v>
      </c>
      <c r="D619" s="23" t="s">
        <v>829</v>
      </c>
      <c r="E619" s="23"/>
      <c r="F619" s="28"/>
      <c r="G619" s="3" t="s">
        <v>901</v>
      </c>
      <c r="H619" s="4"/>
      <c r="I619" s="4"/>
      <c r="J619" s="4">
        <v>30</v>
      </c>
      <c r="K619" s="5"/>
      <c r="L619" s="5" t="s">
        <v>791</v>
      </c>
      <c r="M619" s="4" t="s">
        <v>973</v>
      </c>
      <c r="N619" s="4"/>
      <c r="O619" s="4" t="s">
        <v>793</v>
      </c>
      <c r="P619" s="4"/>
      <c r="Q619" s="24"/>
      <c r="R619" s="25" t="s">
        <v>692</v>
      </c>
      <c r="S619" s="4"/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f>AVERAGE(U619:X619)</f>
        <v>0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hidden="1" x14ac:dyDescent="0.3">
      <c r="A620" s="3" t="s">
        <v>1015</v>
      </c>
      <c r="B620" s="2" t="s">
        <v>49</v>
      </c>
      <c r="C620" s="21">
        <v>4.75</v>
      </c>
      <c r="D620" s="23" t="s">
        <v>829</v>
      </c>
      <c r="E620" s="23"/>
      <c r="F620" s="28"/>
      <c r="G620" s="3" t="s">
        <v>901</v>
      </c>
      <c r="H620" s="6"/>
      <c r="I620" s="6"/>
      <c r="J620" s="6">
        <v>30</v>
      </c>
      <c r="K620" s="21"/>
      <c r="L620" s="21" t="s">
        <v>791</v>
      </c>
      <c r="M620" s="6" t="s">
        <v>902</v>
      </c>
      <c r="N620" s="6"/>
      <c r="O620" s="6" t="s">
        <v>793</v>
      </c>
      <c r="P620" s="6"/>
      <c r="Q620" s="27"/>
      <c r="R620" s="28" t="s">
        <v>692</v>
      </c>
      <c r="S620" s="6"/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f>AVERAGE(U620:X620)</f>
        <v>0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hidden="1" x14ac:dyDescent="0.3">
      <c r="A621" s="3" t="s">
        <v>1016</v>
      </c>
      <c r="B621" s="2" t="s">
        <v>49</v>
      </c>
      <c r="C621" s="21">
        <v>5</v>
      </c>
      <c r="D621" s="23">
        <v>1450</v>
      </c>
      <c r="E621" s="23"/>
      <c r="F621" s="28"/>
      <c r="G621" s="3" t="s">
        <v>715</v>
      </c>
      <c r="H621" s="6"/>
      <c r="I621" s="6" t="s">
        <v>687</v>
      </c>
      <c r="J621" s="6">
        <v>59</v>
      </c>
      <c r="K621" s="21"/>
      <c r="L621" s="21" t="s">
        <v>791</v>
      </c>
      <c r="M621" s="6" t="s">
        <v>723</v>
      </c>
      <c r="N621" s="6" t="s">
        <v>798</v>
      </c>
      <c r="O621" s="6" t="s">
        <v>793</v>
      </c>
      <c r="P621" s="6"/>
      <c r="Q621" s="27"/>
      <c r="R621" s="28" t="s">
        <v>692</v>
      </c>
      <c r="S621" s="6"/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f>AVERAGE(U621:X621)</f>
        <v>0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hidden="1" x14ac:dyDescent="0.3">
      <c r="A622" s="3" t="s">
        <v>1017</v>
      </c>
      <c r="B622" s="2" t="s">
        <v>49</v>
      </c>
      <c r="C622" s="21">
        <v>6</v>
      </c>
      <c r="D622" s="23" t="s">
        <v>829</v>
      </c>
      <c r="E622" s="23"/>
      <c r="F622" s="28"/>
      <c r="G622" s="3" t="s">
        <v>991</v>
      </c>
      <c r="H622" s="6"/>
      <c r="I622" s="6"/>
      <c r="J622" s="6">
        <v>30</v>
      </c>
      <c r="K622" s="21"/>
      <c r="L622" s="21" t="s">
        <v>791</v>
      </c>
      <c r="M622" s="6" t="s">
        <v>902</v>
      </c>
      <c r="N622" s="6"/>
      <c r="O622" s="6" t="s">
        <v>793</v>
      </c>
      <c r="P622" s="6"/>
      <c r="Q622" s="27"/>
      <c r="R622" s="28" t="s">
        <v>692</v>
      </c>
      <c r="S622" s="6"/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f>AVERAGE(U622:X622)</f>
        <v>0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hidden="1" x14ac:dyDescent="0.3">
      <c r="A623" s="3" t="s">
        <v>1018</v>
      </c>
      <c r="B623" s="2" t="s">
        <v>49</v>
      </c>
      <c r="C623" s="21">
        <v>6</v>
      </c>
      <c r="D623" s="23" t="s">
        <v>829</v>
      </c>
      <c r="E623" s="23"/>
      <c r="F623" s="28"/>
      <c r="G623" s="3" t="s">
        <v>844</v>
      </c>
      <c r="H623" s="6"/>
      <c r="I623" s="6"/>
      <c r="J623" s="6">
        <v>30</v>
      </c>
      <c r="K623" s="21"/>
      <c r="L623" s="21" t="s">
        <v>791</v>
      </c>
      <c r="M623" s="6" t="s">
        <v>902</v>
      </c>
      <c r="N623" s="6"/>
      <c r="O623" s="6" t="s">
        <v>793</v>
      </c>
      <c r="P623" s="6"/>
      <c r="Q623" s="27"/>
      <c r="R623" s="28" t="s">
        <v>692</v>
      </c>
      <c r="S623" s="6"/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f>AVERAGE(U623:X623)</f>
        <v>0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hidden="1" x14ac:dyDescent="0.3">
      <c r="A624" s="3" t="s">
        <v>1019</v>
      </c>
      <c r="B624" s="2" t="s">
        <v>49</v>
      </c>
      <c r="C624" s="21">
        <v>6</v>
      </c>
      <c r="D624" s="23" t="s">
        <v>829</v>
      </c>
      <c r="E624" s="23"/>
      <c r="F624" s="28"/>
      <c r="G624" s="3" t="s">
        <v>854</v>
      </c>
      <c r="H624" s="6"/>
      <c r="I624" s="6"/>
      <c r="J624" s="6">
        <v>30</v>
      </c>
      <c r="K624" s="21"/>
      <c r="L624" s="21" t="s">
        <v>791</v>
      </c>
      <c r="M624" s="6" t="s">
        <v>1020</v>
      </c>
      <c r="N624" s="6"/>
      <c r="O624" s="6" t="s">
        <v>793</v>
      </c>
      <c r="P624" s="6"/>
      <c r="Q624" s="27"/>
      <c r="R624" s="28" t="s">
        <v>692</v>
      </c>
      <c r="S624" s="6"/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f>AVERAGE(U624:X624)</f>
        <v>0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hidden="1" x14ac:dyDescent="0.3">
      <c r="A625" s="3" t="s">
        <v>1021</v>
      </c>
      <c r="B625" s="2" t="s">
        <v>49</v>
      </c>
      <c r="C625" s="21">
        <v>6.3</v>
      </c>
      <c r="D625" s="23" t="s">
        <v>829</v>
      </c>
      <c r="E625" s="23"/>
      <c r="F625" s="28"/>
      <c r="G625" s="3" t="s">
        <v>1022</v>
      </c>
      <c r="H625" s="6"/>
      <c r="I625" s="6"/>
      <c r="J625" s="6">
        <v>30</v>
      </c>
      <c r="K625" s="21"/>
      <c r="L625" s="21" t="s">
        <v>791</v>
      </c>
      <c r="M625" s="6" t="s">
        <v>827</v>
      </c>
      <c r="N625" s="6"/>
      <c r="O625" s="6" t="s">
        <v>793</v>
      </c>
      <c r="P625" s="6"/>
      <c r="Q625" s="27"/>
      <c r="R625" s="28" t="s">
        <v>692</v>
      </c>
      <c r="S625" s="6"/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f>AVERAGE(U625:X625)</f>
        <v>0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hidden="1" x14ac:dyDescent="0.3">
      <c r="A626" s="3" t="s">
        <v>1023</v>
      </c>
      <c r="B626" s="2" t="s">
        <v>49</v>
      </c>
      <c r="C626" s="21">
        <v>6.3</v>
      </c>
      <c r="D626" s="23" t="s">
        <v>829</v>
      </c>
      <c r="E626" s="23"/>
      <c r="F626" s="28"/>
      <c r="G626" s="3" t="s">
        <v>1024</v>
      </c>
      <c r="H626" s="6"/>
      <c r="I626" s="6"/>
      <c r="J626" s="6">
        <v>30</v>
      </c>
      <c r="K626" s="21"/>
      <c r="L626" s="21" t="s">
        <v>791</v>
      </c>
      <c r="M626" s="6" t="s">
        <v>865</v>
      </c>
      <c r="N626" s="6"/>
      <c r="O626" s="6" t="s">
        <v>793</v>
      </c>
      <c r="P626" s="6"/>
      <c r="Q626" s="27"/>
      <c r="R626" s="28" t="s">
        <v>692</v>
      </c>
      <c r="S626" s="6"/>
      <c r="T626" s="1">
        <v>0</v>
      </c>
      <c r="U626" s="1">
        <v>0</v>
      </c>
      <c r="V626" s="1">
        <v>0</v>
      </c>
      <c r="W626" s="1">
        <v>0</v>
      </c>
      <c r="X626" s="1">
        <v>0</v>
      </c>
      <c r="Y626" s="1">
        <f>AVERAGE(U626:X626)</f>
        <v>0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hidden="1" x14ac:dyDescent="0.3">
      <c r="A627" s="3" t="s">
        <v>1025</v>
      </c>
      <c r="B627" s="2" t="s">
        <v>49</v>
      </c>
      <c r="C627" s="21">
        <v>6.3</v>
      </c>
      <c r="D627" s="23" t="s">
        <v>829</v>
      </c>
      <c r="E627" s="23"/>
      <c r="F627" s="28"/>
      <c r="G627" s="3" t="s">
        <v>881</v>
      </c>
      <c r="H627" s="6"/>
      <c r="I627" s="6"/>
      <c r="J627" s="6">
        <v>30</v>
      </c>
      <c r="K627" s="21"/>
      <c r="L627" s="21" t="s">
        <v>791</v>
      </c>
      <c r="M627" s="6" t="s">
        <v>902</v>
      </c>
      <c r="N627" s="6"/>
      <c r="O627" s="6" t="s">
        <v>793</v>
      </c>
      <c r="P627" s="6"/>
      <c r="Q627" s="27"/>
      <c r="R627" s="28" t="s">
        <v>692</v>
      </c>
      <c r="S627" s="6"/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f>AVERAGE(U627:X627)</f>
        <v>0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hidden="1" x14ac:dyDescent="0.3">
      <c r="A628" s="3" t="s">
        <v>1026</v>
      </c>
      <c r="B628" s="2" t="s">
        <v>49</v>
      </c>
      <c r="C628" s="21">
        <v>6.3</v>
      </c>
      <c r="D628" s="23">
        <v>1100</v>
      </c>
      <c r="E628" s="23"/>
      <c r="F628" s="28"/>
      <c r="G628" s="3">
        <v>1008</v>
      </c>
      <c r="H628" s="6"/>
      <c r="I628" s="6"/>
      <c r="J628" s="6">
        <v>30</v>
      </c>
      <c r="K628" s="21"/>
      <c r="L628" s="21" t="s">
        <v>791</v>
      </c>
      <c r="M628" s="6" t="s">
        <v>902</v>
      </c>
      <c r="N628" s="6"/>
      <c r="O628" s="6" t="s">
        <v>793</v>
      </c>
      <c r="P628" s="6"/>
      <c r="Q628" s="27"/>
      <c r="R628" s="28" t="s">
        <v>692</v>
      </c>
      <c r="S628" s="6"/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f>AVERAGE(U628:X628)</f>
        <v>0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hidden="1" x14ac:dyDescent="0.3">
      <c r="A629" s="3" t="s">
        <v>1027</v>
      </c>
      <c r="B629" s="2" t="s">
        <v>49</v>
      </c>
      <c r="C629" s="21">
        <v>6.75</v>
      </c>
      <c r="D629" s="23">
        <v>1100</v>
      </c>
      <c r="E629" s="23"/>
      <c r="F629" s="28"/>
      <c r="G629" s="3" t="s">
        <v>844</v>
      </c>
      <c r="H629" s="6"/>
      <c r="I629" s="6"/>
      <c r="J629" s="6">
        <v>30</v>
      </c>
      <c r="K629" s="5"/>
      <c r="L629" s="5" t="s">
        <v>791</v>
      </c>
      <c r="M629" s="6" t="s">
        <v>865</v>
      </c>
      <c r="N629" s="6"/>
      <c r="O629" s="6" t="s">
        <v>793</v>
      </c>
      <c r="P629" s="6"/>
      <c r="Q629" s="27"/>
      <c r="R629" s="28" t="s">
        <v>692</v>
      </c>
      <c r="S629" s="6"/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f>AVERAGE(U629:X629)</f>
        <v>0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hidden="1" x14ac:dyDescent="0.3">
      <c r="A630" s="3" t="s">
        <v>1028</v>
      </c>
      <c r="B630" s="2" t="s">
        <v>49</v>
      </c>
      <c r="C630" s="21">
        <v>6.8</v>
      </c>
      <c r="D630" s="23" t="s">
        <v>906</v>
      </c>
      <c r="E630" s="23"/>
      <c r="F630" s="28"/>
      <c r="G630" s="3" t="s">
        <v>1029</v>
      </c>
      <c r="H630" s="6"/>
      <c r="I630" s="6"/>
      <c r="J630" s="6">
        <v>30</v>
      </c>
      <c r="K630" s="21"/>
      <c r="L630" s="21" t="s">
        <v>791</v>
      </c>
      <c r="M630" s="4" t="s">
        <v>704</v>
      </c>
      <c r="N630" s="6"/>
      <c r="O630" s="6" t="s">
        <v>793</v>
      </c>
      <c r="P630" s="6"/>
      <c r="Q630" s="27"/>
      <c r="R630" s="28" t="s">
        <v>692</v>
      </c>
      <c r="S630" s="6"/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f>AVERAGE(U630:X630)</f>
        <v>0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hidden="1" x14ac:dyDescent="0.3">
      <c r="A631" s="3" t="s">
        <v>1030</v>
      </c>
      <c r="B631" s="2" t="s">
        <v>49</v>
      </c>
      <c r="C631" s="21">
        <v>7.75</v>
      </c>
      <c r="D631" s="23">
        <v>1350</v>
      </c>
      <c r="E631" s="23"/>
      <c r="F631" s="28"/>
      <c r="G631" s="3" t="s">
        <v>1031</v>
      </c>
      <c r="H631" s="4"/>
      <c r="I631" s="4"/>
      <c r="J631" s="4">
        <v>30</v>
      </c>
      <c r="K631" s="5"/>
      <c r="L631" s="5" t="s">
        <v>791</v>
      </c>
      <c r="M631" s="4" t="s">
        <v>704</v>
      </c>
      <c r="N631" s="4"/>
      <c r="O631" s="4" t="s">
        <v>793</v>
      </c>
      <c r="P631" s="4"/>
      <c r="Q631" s="24"/>
      <c r="R631" s="25" t="s">
        <v>692</v>
      </c>
      <c r="S631" s="4"/>
      <c r="T631" s="1">
        <v>0</v>
      </c>
      <c r="U631" s="1">
        <v>0</v>
      </c>
      <c r="V631" s="1">
        <v>0</v>
      </c>
      <c r="W631" s="1">
        <v>0</v>
      </c>
      <c r="X631" s="1">
        <v>0</v>
      </c>
      <c r="Y631" s="1">
        <f>AVERAGE(U631:X631)</f>
        <v>0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hidden="1" x14ac:dyDescent="0.3">
      <c r="A632" s="3" t="s">
        <v>1032</v>
      </c>
      <c r="B632" s="2" t="s">
        <v>49</v>
      </c>
      <c r="C632" s="21">
        <v>8</v>
      </c>
      <c r="D632" s="23" t="s">
        <v>1033</v>
      </c>
      <c r="E632" s="23"/>
      <c r="F632" s="28"/>
      <c r="G632" s="3">
        <v>1008</v>
      </c>
      <c r="H632" s="6"/>
      <c r="I632" s="6"/>
      <c r="J632" s="6">
        <v>30</v>
      </c>
      <c r="K632" s="21"/>
      <c r="L632" s="21" t="s">
        <v>791</v>
      </c>
      <c r="M632" s="6" t="s">
        <v>865</v>
      </c>
      <c r="N632" s="6"/>
      <c r="O632" s="6" t="s">
        <v>793</v>
      </c>
      <c r="P632" s="6"/>
      <c r="Q632" s="27"/>
      <c r="R632" s="28" t="s">
        <v>692</v>
      </c>
      <c r="S632" s="6"/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f>AVERAGE(U632:X632)</f>
        <v>0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hidden="1" x14ac:dyDescent="0.3">
      <c r="A633" s="3" t="s">
        <v>1034</v>
      </c>
      <c r="B633" s="2" t="s">
        <v>49</v>
      </c>
      <c r="C633" s="21">
        <v>8</v>
      </c>
      <c r="D633" s="23" t="s">
        <v>829</v>
      </c>
      <c r="E633" s="23"/>
      <c r="F633" s="28"/>
      <c r="G633" s="3" t="s">
        <v>1035</v>
      </c>
      <c r="H633" s="6"/>
      <c r="I633" s="6"/>
      <c r="J633" s="6">
        <v>30</v>
      </c>
      <c r="K633" s="21"/>
      <c r="L633" s="21" t="s">
        <v>791</v>
      </c>
      <c r="M633" s="6" t="s">
        <v>787</v>
      </c>
      <c r="N633" s="6"/>
      <c r="O633" s="6" t="s">
        <v>793</v>
      </c>
      <c r="P633" s="6"/>
      <c r="Q633" s="27"/>
      <c r="R633" s="28" t="s">
        <v>692</v>
      </c>
      <c r="S633" s="6"/>
      <c r="T633" s="1">
        <v>0</v>
      </c>
      <c r="U633" s="1">
        <v>0</v>
      </c>
      <c r="V633" s="1">
        <v>0</v>
      </c>
      <c r="W633" s="1">
        <v>0</v>
      </c>
      <c r="X633" s="1">
        <v>0</v>
      </c>
      <c r="Y633" s="1">
        <f>AVERAGE(U633:X633)</f>
        <v>0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hidden="1" x14ac:dyDescent="0.3">
      <c r="A634" s="3" t="s">
        <v>1036</v>
      </c>
      <c r="B634" s="2" t="s">
        <v>49</v>
      </c>
      <c r="C634" s="21">
        <v>8</v>
      </c>
      <c r="D634" s="23">
        <v>1350</v>
      </c>
      <c r="E634" s="23"/>
      <c r="F634" s="28"/>
      <c r="G634" s="3" t="s">
        <v>1037</v>
      </c>
      <c r="H634" s="4"/>
      <c r="I634" s="4"/>
      <c r="J634" s="4">
        <v>30</v>
      </c>
      <c r="K634" s="5"/>
      <c r="L634" s="5" t="s">
        <v>791</v>
      </c>
      <c r="M634" s="4" t="s">
        <v>119</v>
      </c>
      <c r="N634" s="4"/>
      <c r="O634" s="4" t="s">
        <v>793</v>
      </c>
      <c r="P634" s="4"/>
      <c r="Q634" s="24"/>
      <c r="R634" s="25" t="s">
        <v>692</v>
      </c>
      <c r="S634" s="4"/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f>AVERAGE(U634:X634)</f>
        <v>0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hidden="1" x14ac:dyDescent="0.3">
      <c r="A635" s="3" t="s">
        <v>1038</v>
      </c>
      <c r="B635" s="2" t="s">
        <v>49</v>
      </c>
      <c r="C635" s="21">
        <v>8</v>
      </c>
      <c r="D635" s="23">
        <v>1200</v>
      </c>
      <c r="E635" s="23"/>
      <c r="F635" s="28"/>
      <c r="G635" s="3" t="s">
        <v>806</v>
      </c>
      <c r="H635" s="4"/>
      <c r="I635" s="4" t="s">
        <v>687</v>
      </c>
      <c r="J635" s="4">
        <v>59</v>
      </c>
      <c r="K635" s="5"/>
      <c r="L635" s="5" t="s">
        <v>194</v>
      </c>
      <c r="M635" s="4" t="s">
        <v>807</v>
      </c>
      <c r="N635" s="4"/>
      <c r="O635" s="4" t="s">
        <v>793</v>
      </c>
      <c r="P635" s="4"/>
      <c r="Q635" s="24"/>
      <c r="R635" s="25" t="s">
        <v>692</v>
      </c>
      <c r="S635" s="4" t="s">
        <v>55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f>AVERAGE(U635:X635)</f>
        <v>0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hidden="1" x14ac:dyDescent="0.3">
      <c r="A636" s="3" t="s">
        <v>1039</v>
      </c>
      <c r="B636" s="2" t="s">
        <v>49</v>
      </c>
      <c r="C636" s="21">
        <v>8</v>
      </c>
      <c r="D636" s="23">
        <v>1200</v>
      </c>
      <c r="E636" s="23"/>
      <c r="F636" s="28"/>
      <c r="G636" s="3" t="s">
        <v>748</v>
      </c>
      <c r="H636" s="4"/>
      <c r="I636" s="4" t="s">
        <v>687</v>
      </c>
      <c r="J636" s="4">
        <v>59</v>
      </c>
      <c r="K636" s="5"/>
      <c r="L636" s="5" t="s">
        <v>194</v>
      </c>
      <c r="M636" s="4" t="s">
        <v>94</v>
      </c>
      <c r="N636" s="4"/>
      <c r="O636" s="4" t="s">
        <v>793</v>
      </c>
      <c r="P636" s="4"/>
      <c r="Q636" s="24"/>
      <c r="R636" s="25" t="s">
        <v>692</v>
      </c>
      <c r="S636" s="4" t="s">
        <v>55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f>AVERAGE(U636:X636)</f>
        <v>0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hidden="1" x14ac:dyDescent="0.3">
      <c r="A637" s="3" t="s">
        <v>1040</v>
      </c>
      <c r="B637" s="2" t="s">
        <v>49</v>
      </c>
      <c r="C637" s="21">
        <v>8</v>
      </c>
      <c r="D637" s="23">
        <v>1200</v>
      </c>
      <c r="E637" s="23"/>
      <c r="F637" s="28"/>
      <c r="G637" s="3" t="s">
        <v>748</v>
      </c>
      <c r="H637" s="4"/>
      <c r="I637" s="4" t="s">
        <v>687</v>
      </c>
      <c r="J637" s="4">
        <v>59</v>
      </c>
      <c r="K637" s="5"/>
      <c r="L637" s="5" t="s">
        <v>194</v>
      </c>
      <c r="M637" s="4" t="s">
        <v>94</v>
      </c>
      <c r="N637" s="4"/>
      <c r="O637" s="4" t="s">
        <v>793</v>
      </c>
      <c r="P637" s="4"/>
      <c r="Q637" s="24"/>
      <c r="R637" s="25" t="s">
        <v>692</v>
      </c>
      <c r="S637" s="4" t="s">
        <v>55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f>AVERAGE(U637:X637)</f>
        <v>0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hidden="1" x14ac:dyDescent="0.3">
      <c r="A638" s="3" t="s">
        <v>1041</v>
      </c>
      <c r="B638" s="2" t="s">
        <v>49</v>
      </c>
      <c r="C638" s="21">
        <v>9.5</v>
      </c>
      <c r="D638" s="23" t="s">
        <v>829</v>
      </c>
      <c r="E638" s="23"/>
      <c r="F638" s="28"/>
      <c r="G638" s="3" t="s">
        <v>1042</v>
      </c>
      <c r="H638" s="6"/>
      <c r="I638" s="6"/>
      <c r="J638" s="6">
        <v>30</v>
      </c>
      <c r="K638" s="21"/>
      <c r="L638" s="21" t="s">
        <v>791</v>
      </c>
      <c r="M638" s="6" t="s">
        <v>787</v>
      </c>
      <c r="N638" s="6"/>
      <c r="O638" s="6" t="s">
        <v>793</v>
      </c>
      <c r="P638" s="6"/>
      <c r="Q638" s="27"/>
      <c r="R638" s="28" t="s">
        <v>692</v>
      </c>
      <c r="S638" s="6"/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f>AVERAGE(U638:X638)</f>
        <v>0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hidden="1" x14ac:dyDescent="0.3">
      <c r="A639" s="3" t="s">
        <v>1043</v>
      </c>
      <c r="B639" s="2" t="s">
        <v>49</v>
      </c>
      <c r="C639" s="21">
        <v>9.5</v>
      </c>
      <c r="D639" s="23">
        <v>1200</v>
      </c>
      <c r="E639" s="23"/>
      <c r="F639" s="28"/>
      <c r="G639" s="3" t="s">
        <v>788</v>
      </c>
      <c r="H639" s="6"/>
      <c r="I639" s="6"/>
      <c r="J639" s="6">
        <v>30</v>
      </c>
      <c r="K639" s="21"/>
      <c r="L639" s="21" t="s">
        <v>791</v>
      </c>
      <c r="M639" s="4" t="s">
        <v>704</v>
      </c>
      <c r="N639" s="6"/>
      <c r="O639" s="6" t="s">
        <v>793</v>
      </c>
      <c r="P639" s="6"/>
      <c r="Q639" s="27"/>
      <c r="R639" s="28" t="s">
        <v>692</v>
      </c>
      <c r="S639" s="6"/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f>AVERAGE(U639:X639)</f>
        <v>0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hidden="1" x14ac:dyDescent="0.3">
      <c r="A640" s="3" t="s">
        <v>1044</v>
      </c>
      <c r="B640" s="2" t="s">
        <v>49</v>
      </c>
      <c r="C640" s="21">
        <v>9.5</v>
      </c>
      <c r="D640" s="23" t="s">
        <v>829</v>
      </c>
      <c r="E640" s="23"/>
      <c r="F640" s="28"/>
      <c r="G640" s="3" t="s">
        <v>991</v>
      </c>
      <c r="H640" s="6"/>
      <c r="I640" s="6"/>
      <c r="J640" s="6">
        <v>30</v>
      </c>
      <c r="K640" s="21"/>
      <c r="L640" s="21" t="s">
        <v>791</v>
      </c>
      <c r="M640" s="6" t="s">
        <v>723</v>
      </c>
      <c r="N640" s="6"/>
      <c r="O640" s="6" t="s">
        <v>793</v>
      </c>
      <c r="P640" s="6"/>
      <c r="Q640" s="27"/>
      <c r="R640" s="28" t="s">
        <v>692</v>
      </c>
      <c r="S640" s="6"/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f>AVERAGE(U640:X640)</f>
        <v>0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hidden="1" x14ac:dyDescent="0.3">
      <c r="A641" s="3" t="s">
        <v>1045</v>
      </c>
      <c r="B641" s="2" t="s">
        <v>49</v>
      </c>
      <c r="C641" s="21">
        <v>9.5</v>
      </c>
      <c r="D641" s="23">
        <v>1200</v>
      </c>
      <c r="E641" s="23"/>
      <c r="F641" s="28"/>
      <c r="G641" s="3" t="s">
        <v>774</v>
      </c>
      <c r="H641" s="4"/>
      <c r="I641" s="4" t="s">
        <v>687</v>
      </c>
      <c r="J641" s="4">
        <v>59</v>
      </c>
      <c r="K641" s="5"/>
      <c r="L641" s="5" t="s">
        <v>815</v>
      </c>
      <c r="M641" s="4" t="s">
        <v>842</v>
      </c>
      <c r="N641" s="4"/>
      <c r="O641" s="4" t="s">
        <v>793</v>
      </c>
      <c r="P641" s="4"/>
      <c r="Q641" s="24"/>
      <c r="R641" s="25" t="s">
        <v>692</v>
      </c>
      <c r="S641" s="4" t="s">
        <v>55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f>AVERAGE(U641:X641)</f>
        <v>0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hidden="1" x14ac:dyDescent="0.3">
      <c r="A642" s="3" t="s">
        <v>1046</v>
      </c>
      <c r="B642" s="2" t="s">
        <v>49</v>
      </c>
      <c r="C642" s="21">
        <v>9.5</v>
      </c>
      <c r="D642" s="23">
        <v>1200</v>
      </c>
      <c r="E642" s="23"/>
      <c r="F642" s="28"/>
      <c r="G642" s="3" t="s">
        <v>774</v>
      </c>
      <c r="H642" s="4"/>
      <c r="I642" s="4" t="s">
        <v>687</v>
      </c>
      <c r="J642" s="4">
        <v>59</v>
      </c>
      <c r="K642" s="5"/>
      <c r="L642" s="5" t="s">
        <v>815</v>
      </c>
      <c r="M642" s="4" t="s">
        <v>842</v>
      </c>
      <c r="N642" s="4"/>
      <c r="O642" s="4" t="s">
        <v>793</v>
      </c>
      <c r="P642" s="4"/>
      <c r="Q642" s="24"/>
      <c r="R642" s="25" t="s">
        <v>692</v>
      </c>
      <c r="S642" s="4" t="s">
        <v>55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f>AVERAGE(U642:X642)</f>
        <v>0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hidden="1" x14ac:dyDescent="0.3">
      <c r="A643" s="3" t="s">
        <v>1047</v>
      </c>
      <c r="B643" s="2" t="s">
        <v>49</v>
      </c>
      <c r="C643" s="21">
        <v>10</v>
      </c>
      <c r="D643" s="23">
        <v>1300</v>
      </c>
      <c r="E643" s="23"/>
      <c r="F643" s="28"/>
      <c r="G643" s="3" t="s">
        <v>1048</v>
      </c>
      <c r="H643" s="4"/>
      <c r="I643" s="6"/>
      <c r="J643" s="4">
        <v>30</v>
      </c>
      <c r="K643" s="5"/>
      <c r="L643" s="5" t="s">
        <v>791</v>
      </c>
      <c r="M643" s="4" t="s">
        <v>297</v>
      </c>
      <c r="N643" s="4"/>
      <c r="O643" s="4" t="s">
        <v>793</v>
      </c>
      <c r="P643" s="4"/>
      <c r="Q643" s="24"/>
      <c r="R643" s="25" t="s">
        <v>692</v>
      </c>
      <c r="S643" s="6"/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f>AVERAGE(U643:X643)</f>
        <v>0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hidden="1" x14ac:dyDescent="0.3">
      <c r="A644" s="22" t="s">
        <v>1049</v>
      </c>
      <c r="B644" s="2" t="s">
        <v>49</v>
      </c>
      <c r="C644" s="21">
        <v>12</v>
      </c>
      <c r="D644" s="23">
        <v>1200</v>
      </c>
      <c r="E644" s="23"/>
      <c r="F644" s="28"/>
      <c r="G644" s="3" t="s">
        <v>1048</v>
      </c>
      <c r="H644" s="4"/>
      <c r="I644" s="4"/>
      <c r="J644" s="4">
        <v>30</v>
      </c>
      <c r="K644" s="5"/>
      <c r="L644" s="5" t="s">
        <v>791</v>
      </c>
      <c r="M644" s="4" t="s">
        <v>119</v>
      </c>
      <c r="N644" s="4"/>
      <c r="O644" s="4" t="s">
        <v>793</v>
      </c>
      <c r="P644" s="4"/>
      <c r="Q644" s="24"/>
      <c r="R644" s="25" t="s">
        <v>692</v>
      </c>
      <c r="S644" s="4"/>
      <c r="T644" s="1">
        <v>0</v>
      </c>
      <c r="U644" s="1">
        <v>0</v>
      </c>
      <c r="V644" s="1">
        <v>0</v>
      </c>
      <c r="W644" s="1">
        <v>0</v>
      </c>
      <c r="X644" s="1">
        <v>0</v>
      </c>
      <c r="Y644" s="1">
        <f>AVERAGE(U644:X644)</f>
        <v>0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hidden="1" x14ac:dyDescent="0.3">
      <c r="A645" s="22" t="s">
        <v>1050</v>
      </c>
      <c r="B645" s="2" t="s">
        <v>49</v>
      </c>
      <c r="C645" s="21">
        <v>12</v>
      </c>
      <c r="D645" s="23">
        <v>1000</v>
      </c>
      <c r="E645" s="23"/>
      <c r="F645" s="28"/>
      <c r="G645" s="3" t="s">
        <v>1051</v>
      </c>
      <c r="H645" s="4"/>
      <c r="I645" s="4"/>
      <c r="J645" s="4">
        <v>30</v>
      </c>
      <c r="K645" s="5"/>
      <c r="L645" s="5" t="s">
        <v>791</v>
      </c>
      <c r="M645" s="4" t="s">
        <v>704</v>
      </c>
      <c r="N645" s="4"/>
      <c r="O645" s="4" t="s">
        <v>793</v>
      </c>
      <c r="P645" s="4"/>
      <c r="Q645" s="24"/>
      <c r="R645" s="25" t="s">
        <v>692</v>
      </c>
      <c r="S645" s="4"/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f>AVERAGE(U645:X645)</f>
        <v>0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hidden="1" x14ac:dyDescent="0.3">
      <c r="A646" s="22" t="s">
        <v>1052</v>
      </c>
      <c r="B646" s="2" t="s">
        <v>49</v>
      </c>
      <c r="C646" s="21">
        <v>12.25</v>
      </c>
      <c r="D646" s="23">
        <v>1250</v>
      </c>
      <c r="E646" s="23"/>
      <c r="F646" s="28"/>
      <c r="G646" s="3" t="s">
        <v>1003</v>
      </c>
      <c r="H646" s="4"/>
      <c r="I646" s="4"/>
      <c r="J646" s="4">
        <v>30</v>
      </c>
      <c r="K646" s="5"/>
      <c r="L646" s="5" t="s">
        <v>791</v>
      </c>
      <c r="M646" s="4" t="s">
        <v>704</v>
      </c>
      <c r="N646" s="4"/>
      <c r="O646" s="4" t="s">
        <v>793</v>
      </c>
      <c r="P646" s="4"/>
      <c r="Q646" s="24"/>
      <c r="R646" s="25" t="s">
        <v>692</v>
      </c>
      <c r="S646" s="4"/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f>AVERAGE(U646:X646)</f>
        <v>0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hidden="1" x14ac:dyDescent="0.3">
      <c r="A647" s="22" t="s">
        <v>1053</v>
      </c>
      <c r="B647" s="2" t="s">
        <v>770</v>
      </c>
      <c r="C647" s="21">
        <v>1.5</v>
      </c>
      <c r="D647" s="23">
        <v>490</v>
      </c>
      <c r="E647" s="23"/>
      <c r="F647" s="28"/>
      <c r="G647" s="3" t="s">
        <v>863</v>
      </c>
      <c r="H647" s="6"/>
      <c r="I647" s="6"/>
      <c r="J647" s="6">
        <v>63</v>
      </c>
      <c r="K647" s="21"/>
      <c r="L647" s="21" t="s">
        <v>864</v>
      </c>
      <c r="M647" s="6" t="s">
        <v>865</v>
      </c>
      <c r="N647" s="6"/>
      <c r="O647" s="6" t="s">
        <v>793</v>
      </c>
      <c r="P647" s="6"/>
      <c r="Q647" s="27"/>
      <c r="R647" s="28" t="s">
        <v>692</v>
      </c>
      <c r="S647" s="6"/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f>AVERAGE(U647:X647)</f>
        <v>0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hidden="1" x14ac:dyDescent="0.3">
      <c r="A648" s="22" t="s">
        <v>1054</v>
      </c>
      <c r="B648" s="2" t="s">
        <v>770</v>
      </c>
      <c r="C648" s="21">
        <v>1.5</v>
      </c>
      <c r="D648" s="23">
        <v>755</v>
      </c>
      <c r="E648" s="23"/>
      <c r="F648" s="28"/>
      <c r="G648" s="3" t="s">
        <v>863</v>
      </c>
      <c r="H648" s="6"/>
      <c r="I648" s="6"/>
      <c r="J648" s="6">
        <v>63</v>
      </c>
      <c r="K648" s="21"/>
      <c r="L648" s="21" t="s">
        <v>864</v>
      </c>
      <c r="M648" s="6" t="s">
        <v>865</v>
      </c>
      <c r="N648" s="6"/>
      <c r="O648" s="6" t="s">
        <v>793</v>
      </c>
      <c r="P648" s="6"/>
      <c r="Q648" s="27"/>
      <c r="R648" s="28" t="s">
        <v>692</v>
      </c>
      <c r="S648" s="6"/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f>AVERAGE(U648:X648)</f>
        <v>0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hidden="1" x14ac:dyDescent="0.3">
      <c r="A649" s="22" t="s">
        <v>1055</v>
      </c>
      <c r="B649" s="2" t="s">
        <v>49</v>
      </c>
      <c r="C649" s="21">
        <v>11</v>
      </c>
      <c r="D649" s="23">
        <v>2370</v>
      </c>
      <c r="E649" s="23"/>
      <c r="F649" s="28"/>
      <c r="G649" s="3" t="s">
        <v>701</v>
      </c>
      <c r="H649" s="6"/>
      <c r="I649" s="6" t="s">
        <v>687</v>
      </c>
      <c r="J649" s="6">
        <v>59</v>
      </c>
      <c r="K649" s="21">
        <v>32</v>
      </c>
      <c r="L649" s="21" t="s">
        <v>703</v>
      </c>
      <c r="M649" s="6" t="s">
        <v>1056</v>
      </c>
      <c r="N649" s="6" t="s">
        <v>1056</v>
      </c>
      <c r="O649" s="6" t="s">
        <v>793</v>
      </c>
      <c r="P649" s="6"/>
      <c r="Q649" s="27"/>
      <c r="R649" s="28" t="s">
        <v>692</v>
      </c>
      <c r="S649" s="6" t="s">
        <v>692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f>AVERAGE(U649:X649)</f>
        <v>0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hidden="1" x14ac:dyDescent="0.3">
      <c r="A650" s="22" t="s">
        <v>384</v>
      </c>
      <c r="B650" s="2" t="s">
        <v>49</v>
      </c>
      <c r="C650" s="21">
        <v>2</v>
      </c>
      <c r="D650" s="23">
        <v>1200</v>
      </c>
      <c r="E650" s="23"/>
      <c r="F650" s="28"/>
      <c r="G650" s="3" t="s">
        <v>1062</v>
      </c>
      <c r="H650" s="6"/>
      <c r="I650" s="6"/>
      <c r="J650" s="6">
        <v>32</v>
      </c>
      <c r="K650" s="21"/>
      <c r="L650" s="21" t="s">
        <v>791</v>
      </c>
      <c r="M650" s="6"/>
      <c r="N650" s="6"/>
      <c r="O650" s="6"/>
      <c r="P650" s="6"/>
      <c r="Q650" s="27"/>
      <c r="R650" s="28" t="s">
        <v>692</v>
      </c>
      <c r="S650" s="6"/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f>AVERAGE(U650:X650)</f>
        <v>0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hidden="1" x14ac:dyDescent="0.3">
      <c r="A651" s="22" t="s">
        <v>1063</v>
      </c>
      <c r="B651" s="2"/>
      <c r="C651" s="21"/>
      <c r="D651" s="23"/>
      <c r="E651" s="23"/>
      <c r="F651" s="28"/>
      <c r="G651" s="3"/>
      <c r="H651" s="4"/>
      <c r="I651" s="4"/>
      <c r="J651" s="4"/>
      <c r="K651" s="5"/>
      <c r="L651" s="5"/>
      <c r="M651" s="4" t="s">
        <v>1064</v>
      </c>
      <c r="N651" s="4"/>
      <c r="O651" s="4"/>
      <c r="P651" s="4"/>
      <c r="Q651" s="24"/>
      <c r="R651" s="25" t="s">
        <v>692</v>
      </c>
      <c r="S651" s="4"/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f>AVERAGE(U651:X651)</f>
        <v>0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hidden="1" x14ac:dyDescent="0.3">
      <c r="A652" s="22" t="s">
        <v>1065</v>
      </c>
      <c r="B652" s="2"/>
      <c r="C652" s="21"/>
      <c r="D652" s="23"/>
      <c r="E652" s="23"/>
      <c r="F652" s="28"/>
      <c r="G652" s="3"/>
      <c r="H652" s="6"/>
      <c r="I652" s="6"/>
      <c r="J652" s="6"/>
      <c r="K652" s="21"/>
      <c r="L652" s="21"/>
      <c r="M652" s="6" t="s">
        <v>1064</v>
      </c>
      <c r="N652" s="6"/>
      <c r="O652" s="6"/>
      <c r="P652" s="6"/>
      <c r="Q652" s="27"/>
      <c r="R652" s="28" t="s">
        <v>692</v>
      </c>
      <c r="S652" s="6"/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f>AVERAGE(U652:X652)</f>
        <v>0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hidden="1" x14ac:dyDescent="0.3">
      <c r="A653" s="22" t="s">
        <v>1066</v>
      </c>
      <c r="B653" s="2"/>
      <c r="C653" s="21"/>
      <c r="D653" s="23"/>
      <c r="E653" s="23"/>
      <c r="F653" s="28"/>
      <c r="G653" s="3"/>
      <c r="H653" s="6"/>
      <c r="I653" s="6"/>
      <c r="J653" s="6"/>
      <c r="K653" s="21"/>
      <c r="L653" s="21"/>
      <c r="M653" s="6" t="s">
        <v>1064</v>
      </c>
      <c r="N653" s="6"/>
      <c r="O653" s="6"/>
      <c r="P653" s="6"/>
      <c r="Q653" s="27"/>
      <c r="R653" s="28" t="s">
        <v>692</v>
      </c>
      <c r="S653" s="6"/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f>AVERAGE(U653:X653)</f>
        <v>0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hidden="1" x14ac:dyDescent="0.3">
      <c r="A654" s="22" t="s">
        <v>1067</v>
      </c>
      <c r="B654" s="2"/>
      <c r="C654" s="21"/>
      <c r="D654" s="23"/>
      <c r="E654" s="23"/>
      <c r="F654" s="28"/>
      <c r="G654" s="3"/>
      <c r="H654" s="6"/>
      <c r="I654" s="6"/>
      <c r="J654" s="6"/>
      <c r="K654" s="21"/>
      <c r="L654" s="21"/>
      <c r="M654" s="6" t="s">
        <v>1064</v>
      </c>
      <c r="N654" s="6"/>
      <c r="O654" s="6"/>
      <c r="P654" s="6"/>
      <c r="Q654" s="27"/>
      <c r="R654" s="28" t="s">
        <v>692</v>
      </c>
      <c r="S654" s="6"/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f>AVERAGE(U654:X654)</f>
        <v>0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hidden="1" x14ac:dyDescent="0.3">
      <c r="A655" s="22" t="s">
        <v>1068</v>
      </c>
      <c r="B655" s="2"/>
      <c r="C655" s="21"/>
      <c r="D655" s="23"/>
      <c r="E655" s="23"/>
      <c r="F655" s="28"/>
      <c r="G655" s="3"/>
      <c r="H655" s="6"/>
      <c r="I655" s="6"/>
      <c r="J655" s="6"/>
      <c r="K655" s="21"/>
      <c r="L655" s="21"/>
      <c r="M655" s="6" t="s">
        <v>1064</v>
      </c>
      <c r="N655" s="6"/>
      <c r="O655" s="6"/>
      <c r="P655" s="6"/>
      <c r="Q655" s="27"/>
      <c r="R655" s="28" t="s">
        <v>692</v>
      </c>
      <c r="S655" s="6"/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f>AVERAGE(U655:X655)</f>
        <v>0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hidden="1" x14ac:dyDescent="0.3">
      <c r="A656" s="19" t="s">
        <v>1241</v>
      </c>
      <c r="B656" s="21" t="s">
        <v>49</v>
      </c>
      <c r="C656" s="21">
        <v>2</v>
      </c>
      <c r="D656" s="23">
        <v>1000</v>
      </c>
      <c r="E656" s="23"/>
      <c r="F656" s="23"/>
      <c r="G656" s="20" t="s">
        <v>1242</v>
      </c>
      <c r="H656" s="6"/>
      <c r="I656" s="6" t="s">
        <v>1084</v>
      </c>
      <c r="J656" s="6">
        <v>69</v>
      </c>
      <c r="K656" s="21" t="s">
        <v>41</v>
      </c>
      <c r="L656" s="21" t="s">
        <v>703</v>
      </c>
      <c r="M656" s="6" t="s">
        <v>164</v>
      </c>
      <c r="N656" s="6" t="s">
        <v>1150</v>
      </c>
      <c r="O656" s="6"/>
      <c r="P656" s="6"/>
      <c r="Q656" s="27"/>
      <c r="R656" s="28" t="s">
        <v>108</v>
      </c>
      <c r="S656" s="6" t="s">
        <v>71</v>
      </c>
      <c r="T656" s="1">
        <v>4.7999999999999996E-3</v>
      </c>
      <c r="U656" s="1">
        <v>0</v>
      </c>
      <c r="V656" s="1">
        <v>0</v>
      </c>
      <c r="W656" s="1">
        <v>0</v>
      </c>
      <c r="X656" s="1">
        <v>0</v>
      </c>
      <c r="Y656" s="1">
        <f>AVERAGE(U656:X656)</f>
        <v>0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hidden="1" x14ac:dyDescent="0.3">
      <c r="A657" s="19" t="s">
        <v>1243</v>
      </c>
      <c r="B657" s="21" t="s">
        <v>68</v>
      </c>
      <c r="C657" s="21">
        <v>0.7</v>
      </c>
      <c r="D657" s="23">
        <v>1200</v>
      </c>
      <c r="E657" s="23"/>
      <c r="F657" s="23"/>
      <c r="G657" s="20" t="s">
        <v>1244</v>
      </c>
      <c r="H657" s="6"/>
      <c r="I657" s="6"/>
      <c r="J657" s="6">
        <v>30</v>
      </c>
      <c r="K657" s="21"/>
      <c r="L657" s="21" t="s">
        <v>296</v>
      </c>
      <c r="M657" s="6" t="s">
        <v>164</v>
      </c>
      <c r="N657" s="6" t="s">
        <v>1150</v>
      </c>
      <c r="O657" s="6"/>
      <c r="P657" s="6"/>
      <c r="Q657" s="27"/>
      <c r="R657" s="28" t="s">
        <v>108</v>
      </c>
      <c r="S657" s="6" t="s">
        <v>71</v>
      </c>
      <c r="T657" s="1">
        <v>1.2600000000000001E-3</v>
      </c>
      <c r="U657" s="1">
        <v>0</v>
      </c>
      <c r="V657" s="1">
        <v>0</v>
      </c>
      <c r="W657" s="1">
        <v>0</v>
      </c>
      <c r="X657" s="1">
        <v>0</v>
      </c>
      <c r="Y657" s="1">
        <f>AVERAGE(U657:X657)</f>
        <v>0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hidden="1" x14ac:dyDescent="0.3">
      <c r="A658" s="19" t="s">
        <v>234</v>
      </c>
      <c r="B658" s="21" t="s">
        <v>68</v>
      </c>
      <c r="C658" s="21">
        <v>1</v>
      </c>
      <c r="D658" s="23">
        <v>1200</v>
      </c>
      <c r="E658" s="23"/>
      <c r="F658" s="23"/>
      <c r="G658" s="20" t="s">
        <v>1245</v>
      </c>
      <c r="H658" s="6"/>
      <c r="I658" s="6" t="s">
        <v>702</v>
      </c>
      <c r="J658" s="6">
        <v>60</v>
      </c>
      <c r="K658" s="21"/>
      <c r="L658" s="21" t="s">
        <v>296</v>
      </c>
      <c r="M658" s="6" t="s">
        <v>164</v>
      </c>
      <c r="N658" s="6" t="s">
        <v>1150</v>
      </c>
      <c r="O658" s="6"/>
      <c r="P658" s="6"/>
      <c r="Q658" s="27"/>
      <c r="R658" s="28" t="s">
        <v>108</v>
      </c>
      <c r="S658" s="6"/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f>AVERAGE(U658:X658)</f>
        <v>0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hidden="1" x14ac:dyDescent="0.3">
      <c r="A659" s="19" t="s">
        <v>1246</v>
      </c>
      <c r="B659" s="21" t="s">
        <v>40</v>
      </c>
      <c r="C659" s="21">
        <v>1</v>
      </c>
      <c r="D659" s="23">
        <v>1150</v>
      </c>
      <c r="E659" s="23"/>
      <c r="F659" s="23"/>
      <c r="G659" s="20" t="s">
        <v>1247</v>
      </c>
      <c r="H659" s="6"/>
      <c r="I659" s="6" t="s">
        <v>1084</v>
      </c>
      <c r="J659" s="6">
        <v>69</v>
      </c>
      <c r="K659" s="21">
        <v>26</v>
      </c>
      <c r="L659" s="21" t="s">
        <v>703</v>
      </c>
      <c r="M659" s="6" t="s">
        <v>164</v>
      </c>
      <c r="N659" s="6" t="s">
        <v>1150</v>
      </c>
      <c r="O659" s="6"/>
      <c r="P659" s="6"/>
      <c r="Q659" s="27"/>
      <c r="R659" s="28" t="s">
        <v>108</v>
      </c>
      <c r="S659" s="6" t="s">
        <v>71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f>AVERAGE(U659:X659)</f>
        <v>0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hidden="1" x14ac:dyDescent="0.3">
      <c r="A660" s="19" t="s">
        <v>1248</v>
      </c>
      <c r="B660" s="21" t="s">
        <v>40</v>
      </c>
      <c r="C660" s="21">
        <v>0.8</v>
      </c>
      <c r="D660" s="23">
        <v>1200</v>
      </c>
      <c r="E660" s="23"/>
      <c r="F660" s="23"/>
      <c r="G660" s="20" t="s">
        <v>1249</v>
      </c>
      <c r="H660" s="6"/>
      <c r="I660" s="6" t="s">
        <v>1084</v>
      </c>
      <c r="J660" s="6">
        <v>69</v>
      </c>
      <c r="K660" s="21">
        <v>26</v>
      </c>
      <c r="L660" s="21" t="s">
        <v>703</v>
      </c>
      <c r="M660" s="6" t="s">
        <v>164</v>
      </c>
      <c r="N660" s="6" t="s">
        <v>1150</v>
      </c>
      <c r="O660" s="6"/>
      <c r="P660" s="6"/>
      <c r="Q660" s="27"/>
      <c r="R660" s="28" t="s">
        <v>108</v>
      </c>
      <c r="S660" s="6" t="s">
        <v>71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f>AVERAGE(U660:X660)</f>
        <v>0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hidden="1" x14ac:dyDescent="0.3">
      <c r="A661" s="22" t="s">
        <v>514</v>
      </c>
      <c r="B661" s="2" t="s">
        <v>1330</v>
      </c>
      <c r="C661" s="21">
        <v>0.65</v>
      </c>
      <c r="D661" s="23">
        <v>1000</v>
      </c>
      <c r="E661" s="23" t="s">
        <v>41</v>
      </c>
      <c r="F661" s="23"/>
      <c r="G661" s="3" t="s">
        <v>512</v>
      </c>
      <c r="H661" s="4"/>
      <c r="I661" s="6"/>
      <c r="J661" s="4"/>
      <c r="K661" s="5"/>
      <c r="L661" s="5" t="s">
        <v>703</v>
      </c>
      <c r="M661" s="4" t="s">
        <v>1282</v>
      </c>
      <c r="N661" s="4"/>
      <c r="O661" s="4"/>
      <c r="P661" s="4"/>
      <c r="Q661" s="24"/>
      <c r="R661" s="24" t="s">
        <v>146</v>
      </c>
      <c r="S661" s="6" t="s">
        <v>1331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AVERAGE(U661:X661)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hidden="1" x14ac:dyDescent="0.3">
      <c r="A662" s="22" t="s">
        <v>1332</v>
      </c>
      <c r="B662" s="2"/>
      <c r="C662" s="21">
        <v>18</v>
      </c>
      <c r="D662" s="23"/>
      <c r="E662" s="23"/>
      <c r="F662" s="23"/>
      <c r="G662" s="3" t="s">
        <v>1333</v>
      </c>
      <c r="H662" s="4"/>
      <c r="I662" s="6"/>
      <c r="J662" s="4"/>
      <c r="K662" s="5"/>
      <c r="L662" s="5" t="s">
        <v>1259</v>
      </c>
      <c r="M662" s="4"/>
      <c r="N662" s="4"/>
      <c r="O662" s="4"/>
      <c r="P662" s="4"/>
      <c r="Q662" s="24"/>
      <c r="R662" s="27" t="s">
        <v>146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AVERAGE(U662:X662)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hidden="1" x14ac:dyDescent="0.3">
      <c r="A663" s="22" t="s">
        <v>1334</v>
      </c>
      <c r="B663" s="2"/>
      <c r="C663" s="21">
        <v>1</v>
      </c>
      <c r="D663" s="23"/>
      <c r="E663" s="23"/>
      <c r="F663" s="23"/>
      <c r="G663" s="3" t="s">
        <v>1335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146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AVERAGE(U663:X663)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hidden="1" x14ac:dyDescent="0.3">
      <c r="A664" s="22" t="s">
        <v>1336</v>
      </c>
      <c r="B664" s="2"/>
      <c r="C664" s="21">
        <v>7.75</v>
      </c>
      <c r="D664" s="23"/>
      <c r="E664" s="23"/>
      <c r="F664" s="23"/>
      <c r="G664" s="3" t="s">
        <v>1337</v>
      </c>
      <c r="H664" s="4"/>
      <c r="I664" s="6"/>
      <c r="J664" s="4"/>
      <c r="K664" s="5"/>
      <c r="L664" s="5" t="s">
        <v>1259</v>
      </c>
      <c r="M664" s="4"/>
      <c r="N664" s="4"/>
      <c r="O664" s="4"/>
      <c r="P664" s="4"/>
      <c r="Q664" s="24"/>
      <c r="R664" s="27" t="s">
        <v>146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AVERAGE(U664:X664)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hidden="1" x14ac:dyDescent="0.3">
      <c r="A665" s="22" t="s">
        <v>1338</v>
      </c>
      <c r="B665" s="2"/>
      <c r="C665" s="21">
        <v>2</v>
      </c>
      <c r="D665" s="23"/>
      <c r="E665" s="23"/>
      <c r="F665" s="23"/>
      <c r="G665" s="3" t="s">
        <v>1310</v>
      </c>
      <c r="H665" s="6"/>
      <c r="I665" s="6"/>
      <c r="J665" s="6"/>
      <c r="K665" s="21"/>
      <c r="L665" s="21" t="s">
        <v>1266</v>
      </c>
      <c r="M665" s="6"/>
      <c r="N665" s="6"/>
      <c r="O665" s="6"/>
      <c r="P665" s="6"/>
      <c r="Q665" s="27"/>
      <c r="R665" s="27" t="s">
        <v>146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AVERAGE(U665:X665)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hidden="1" x14ac:dyDescent="0.3">
      <c r="A666" s="22" t="s">
        <v>1339</v>
      </c>
      <c r="B666" s="2"/>
      <c r="C666" s="21">
        <v>5</v>
      </c>
      <c r="D666" s="23"/>
      <c r="E666" s="23"/>
      <c r="F666" s="23"/>
      <c r="G666" s="3" t="s">
        <v>1310</v>
      </c>
      <c r="H666" s="6"/>
      <c r="I666" s="6"/>
      <c r="J666" s="6"/>
      <c r="K666" s="21"/>
      <c r="L666" s="21" t="s">
        <v>1266</v>
      </c>
      <c r="M666" s="6"/>
      <c r="N666" s="6"/>
      <c r="O666" s="6"/>
      <c r="P666" s="6"/>
      <c r="Q666" s="27"/>
      <c r="R666" s="27" t="s">
        <v>146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AVERAGE(U666:X666)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hidden="1" x14ac:dyDescent="0.3">
      <c r="A667" s="22" t="s">
        <v>1340</v>
      </c>
      <c r="B667" s="2"/>
      <c r="C667" s="21">
        <v>1.9</v>
      </c>
      <c r="D667" s="23"/>
      <c r="E667" s="23"/>
      <c r="F667" s="23"/>
      <c r="G667" s="3" t="s">
        <v>1341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146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AVERAGE(U667:X667)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hidden="1" x14ac:dyDescent="0.3">
      <c r="A668" s="22" t="s">
        <v>1342</v>
      </c>
      <c r="B668" s="2"/>
      <c r="C668" s="21">
        <v>3</v>
      </c>
      <c r="D668" s="23"/>
      <c r="E668" s="23"/>
      <c r="F668" s="23"/>
      <c r="G668" s="3" t="s">
        <v>1343</v>
      </c>
      <c r="H668" s="6"/>
      <c r="I668" s="6"/>
      <c r="J668" s="6"/>
      <c r="K668" s="21"/>
      <c r="L668" s="5" t="s">
        <v>1266</v>
      </c>
      <c r="M668" s="6"/>
      <c r="N668" s="6"/>
      <c r="O668" s="6"/>
      <c r="P668" s="6"/>
      <c r="Q668" s="27"/>
      <c r="R668" s="27" t="s">
        <v>146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AVERAGE(U668:X668)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hidden="1" x14ac:dyDescent="0.3">
      <c r="A669" s="22" t="s">
        <v>1344</v>
      </c>
      <c r="B669" s="2"/>
      <c r="C669" s="21">
        <v>5</v>
      </c>
      <c r="D669" s="23"/>
      <c r="E669" s="23"/>
      <c r="F669" s="23"/>
      <c r="G669" s="3" t="s">
        <v>1343</v>
      </c>
      <c r="H669" s="4"/>
      <c r="I669" s="6"/>
      <c r="J669" s="4"/>
      <c r="K669" s="5"/>
      <c r="L669" s="5" t="s">
        <v>1266</v>
      </c>
      <c r="M669" s="4"/>
      <c r="N669" s="4"/>
      <c r="O669" s="4"/>
      <c r="P669" s="4"/>
      <c r="Q669" s="24"/>
      <c r="R669" s="27" t="s">
        <v>146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AVERAGE(U669:X669)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hidden="1" x14ac:dyDescent="0.3">
      <c r="A670" s="22" t="s">
        <v>1345</v>
      </c>
      <c r="B670" s="2"/>
      <c r="C670" s="21">
        <v>15.88</v>
      </c>
      <c r="D670" s="23"/>
      <c r="E670" s="23"/>
      <c r="F670" s="23"/>
      <c r="G670" s="3" t="s">
        <v>1333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146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AVERAGE(U670:X670)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hidden="1" x14ac:dyDescent="0.3">
      <c r="A671" s="22" t="s">
        <v>1346</v>
      </c>
      <c r="B671" s="2"/>
      <c r="C671" s="21">
        <v>16</v>
      </c>
      <c r="D671" s="23"/>
      <c r="E671" s="23"/>
      <c r="F671" s="23"/>
      <c r="G671" s="3" t="s">
        <v>1333</v>
      </c>
      <c r="H671" s="4"/>
      <c r="I671" s="6"/>
      <c r="J671" s="4"/>
      <c r="K671" s="5"/>
      <c r="L671" s="5" t="s">
        <v>1266</v>
      </c>
      <c r="M671" s="4"/>
      <c r="N671" s="4"/>
      <c r="O671" s="4"/>
      <c r="P671" s="4"/>
      <c r="Q671" s="24"/>
      <c r="R671" s="27" t="s">
        <v>146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AVERAGE(U671:X671)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hidden="1" x14ac:dyDescent="0.3">
      <c r="A672" s="22" t="s">
        <v>1347</v>
      </c>
      <c r="B672" s="2"/>
      <c r="C672" s="21">
        <v>10</v>
      </c>
      <c r="D672" s="23"/>
      <c r="E672" s="23"/>
      <c r="F672" s="23"/>
      <c r="G672" s="3" t="s">
        <v>1262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146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AVERAGE(U672:X672)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hidden="1" x14ac:dyDescent="0.3">
      <c r="A673" s="22" t="s">
        <v>1348</v>
      </c>
      <c r="B673" s="2"/>
      <c r="C673" s="21">
        <v>1.5</v>
      </c>
      <c r="D673" s="23"/>
      <c r="E673" s="23"/>
      <c r="F673" s="23"/>
      <c r="G673" s="3" t="s">
        <v>1262</v>
      </c>
      <c r="H673" s="6"/>
      <c r="I673" s="6"/>
      <c r="J673" s="6"/>
      <c r="K673" s="21"/>
      <c r="L673" s="5" t="s">
        <v>1266</v>
      </c>
      <c r="M673" s="6"/>
      <c r="N673" s="6"/>
      <c r="O673" s="6"/>
      <c r="P673" s="6"/>
      <c r="Q673" s="27"/>
      <c r="R673" s="27" t="s">
        <v>146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AVERAGE(U673:X673)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hidden="1" x14ac:dyDescent="0.3">
      <c r="A674" s="22" t="s">
        <v>1349</v>
      </c>
      <c r="B674" s="2"/>
      <c r="C674" s="21">
        <v>2</v>
      </c>
      <c r="D674" s="23"/>
      <c r="E674" s="23"/>
      <c r="F674" s="23"/>
      <c r="G674" s="3" t="s">
        <v>1262</v>
      </c>
      <c r="H674" s="6"/>
      <c r="I674" s="6"/>
      <c r="J674" s="6"/>
      <c r="K674" s="21"/>
      <c r="L674" s="21" t="s">
        <v>1266</v>
      </c>
      <c r="M674" s="6"/>
      <c r="N674" s="6"/>
      <c r="O674" s="6"/>
      <c r="P674" s="6"/>
      <c r="Q674" s="27"/>
      <c r="R674" s="27" t="s">
        <v>146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AVERAGE(U674:X674)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hidden="1" x14ac:dyDescent="0.3">
      <c r="A675" s="22" t="s">
        <v>1350</v>
      </c>
      <c r="B675" s="2"/>
      <c r="C675" s="21">
        <v>2</v>
      </c>
      <c r="D675" s="23"/>
      <c r="E675" s="23"/>
      <c r="F675" s="23"/>
      <c r="G675" s="3" t="s">
        <v>1262</v>
      </c>
      <c r="H675" s="4"/>
      <c r="I675" s="6"/>
      <c r="J675" s="4"/>
      <c r="K675" s="5"/>
      <c r="L675" s="5" t="s">
        <v>1266</v>
      </c>
      <c r="M675" s="4"/>
      <c r="N675" s="4"/>
      <c r="O675" s="4"/>
      <c r="P675" s="4"/>
      <c r="Q675" s="24"/>
      <c r="R675" s="27" t="s">
        <v>146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AVERAGE(U675:X675)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hidden="1" x14ac:dyDescent="0.3">
      <c r="A676" s="22" t="s">
        <v>1351</v>
      </c>
      <c r="B676" s="2"/>
      <c r="C676" s="21">
        <v>2.5</v>
      </c>
      <c r="D676" s="23"/>
      <c r="E676" s="23"/>
      <c r="F676" s="23"/>
      <c r="G676" s="3" t="s">
        <v>1258</v>
      </c>
      <c r="H676" s="4"/>
      <c r="I676" s="4"/>
      <c r="J676" s="4"/>
      <c r="K676" s="5"/>
      <c r="L676" s="5" t="s">
        <v>1259</v>
      </c>
      <c r="M676" s="4"/>
      <c r="N676" s="4"/>
      <c r="O676" s="4"/>
      <c r="P676" s="4"/>
      <c r="Q676" s="24"/>
      <c r="R676" s="27" t="s">
        <v>146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AVERAGE(U676:X676)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hidden="1" x14ac:dyDescent="0.3">
      <c r="A677" s="22" t="s">
        <v>1352</v>
      </c>
      <c r="B677" s="2"/>
      <c r="C677" s="21">
        <v>3</v>
      </c>
      <c r="D677" s="23"/>
      <c r="E677" s="23"/>
      <c r="F677" s="23"/>
      <c r="G677" s="3" t="s">
        <v>1300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146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AVERAGE(U677:X677)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hidden="1" x14ac:dyDescent="0.3">
      <c r="A678" s="22" t="s">
        <v>813</v>
      </c>
      <c r="B678" s="2"/>
      <c r="C678" s="21">
        <v>3</v>
      </c>
      <c r="D678" s="23"/>
      <c r="E678" s="23"/>
      <c r="F678" s="23"/>
      <c r="G678" s="3" t="s">
        <v>1300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146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AVERAGE(U678:X678)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hidden="1" x14ac:dyDescent="0.3">
      <c r="A679" s="22" t="s">
        <v>1353</v>
      </c>
      <c r="B679" s="2"/>
      <c r="C679" s="21">
        <v>3</v>
      </c>
      <c r="D679" s="23"/>
      <c r="E679" s="23"/>
      <c r="F679" s="23"/>
      <c r="G679" s="3" t="s">
        <v>1262</v>
      </c>
      <c r="H679" s="6"/>
      <c r="I679" s="6"/>
      <c r="J679" s="6"/>
      <c r="K679" s="21"/>
      <c r="L679" s="21" t="s">
        <v>1266</v>
      </c>
      <c r="M679" s="6"/>
      <c r="N679" s="6"/>
      <c r="O679" s="6"/>
      <c r="P679" s="6"/>
      <c r="Q679" s="27"/>
      <c r="R679" s="27" t="s">
        <v>146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AVERAGE(U679:X679)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hidden="1" x14ac:dyDescent="0.3">
      <c r="A680" s="22" t="s">
        <v>1354</v>
      </c>
      <c r="B680" s="2"/>
      <c r="C680" s="21">
        <v>3</v>
      </c>
      <c r="D680" s="23"/>
      <c r="E680" s="23"/>
      <c r="F680" s="23"/>
      <c r="G680" s="3" t="s">
        <v>1258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146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AVERAGE(U680:X680)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hidden="1" x14ac:dyDescent="0.3">
      <c r="A681" s="22" t="s">
        <v>1355</v>
      </c>
      <c r="B681" s="2"/>
      <c r="C681" s="21">
        <v>3</v>
      </c>
      <c r="D681" s="23"/>
      <c r="E681" s="23"/>
      <c r="F681" s="23"/>
      <c r="G681" s="3" t="s">
        <v>1258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146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AVERAGE(U681:X681)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hidden="1" x14ac:dyDescent="0.3">
      <c r="A682" s="22" t="s">
        <v>1356</v>
      </c>
      <c r="B682" s="2"/>
      <c r="C682" s="21">
        <v>4</v>
      </c>
      <c r="D682" s="23"/>
      <c r="E682" s="23"/>
      <c r="F682" s="23"/>
      <c r="G682" s="3" t="s">
        <v>1273</v>
      </c>
      <c r="H682" s="6"/>
      <c r="I682" s="6"/>
      <c r="J682" s="6"/>
      <c r="K682" s="21"/>
      <c r="L682" s="21" t="s">
        <v>1315</v>
      </c>
      <c r="M682" s="6"/>
      <c r="N682" s="6"/>
      <c r="O682" s="6"/>
      <c r="P682" s="6"/>
      <c r="Q682" s="27"/>
      <c r="R682" s="27" t="s">
        <v>146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AVERAGE(U682:X682)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hidden="1" x14ac:dyDescent="0.3">
      <c r="A683" s="22" t="s">
        <v>1357</v>
      </c>
      <c r="B683" s="2"/>
      <c r="C683" s="21">
        <v>4</v>
      </c>
      <c r="D683" s="23"/>
      <c r="E683" s="23"/>
      <c r="F683" s="23"/>
      <c r="G683" s="3" t="s">
        <v>1262</v>
      </c>
      <c r="H683" s="6"/>
      <c r="I683" s="6"/>
      <c r="J683" s="6"/>
      <c r="K683" s="21"/>
      <c r="L683" s="21" t="s">
        <v>1259</v>
      </c>
      <c r="M683" s="6"/>
      <c r="N683" s="6"/>
      <c r="O683" s="6"/>
      <c r="P683" s="6"/>
      <c r="Q683" s="27"/>
      <c r="R683" s="27" t="s">
        <v>146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AVERAGE(U683:X683)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hidden="1" x14ac:dyDescent="0.3">
      <c r="A684" s="22" t="s">
        <v>1358</v>
      </c>
      <c r="B684" s="2"/>
      <c r="C684" s="21">
        <v>4</v>
      </c>
      <c r="D684" s="23"/>
      <c r="E684" s="23"/>
      <c r="F684" s="23"/>
      <c r="G684" s="3" t="s">
        <v>1262</v>
      </c>
      <c r="H684" s="4"/>
      <c r="I684" s="4"/>
      <c r="J684" s="4"/>
      <c r="K684" s="5"/>
      <c r="L684" s="5" t="s">
        <v>1259</v>
      </c>
      <c r="M684" s="4"/>
      <c r="N684" s="4"/>
      <c r="O684" s="4"/>
      <c r="P684" s="4"/>
      <c r="Q684" s="24"/>
      <c r="R684" s="27" t="s">
        <v>146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AVERAGE(U684:X684)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hidden="1" x14ac:dyDescent="0.3">
      <c r="A685" s="22" t="s">
        <v>1359</v>
      </c>
      <c r="B685" s="2"/>
      <c r="C685" s="21">
        <v>4</v>
      </c>
      <c r="D685" s="23"/>
      <c r="E685" s="23"/>
      <c r="F685" s="23"/>
      <c r="G685" s="3" t="s">
        <v>1262</v>
      </c>
      <c r="H685" s="4"/>
      <c r="I685" s="4"/>
      <c r="J685" s="4"/>
      <c r="K685" s="5"/>
      <c r="L685" s="5" t="s">
        <v>1259</v>
      </c>
      <c r="M685" s="4"/>
      <c r="N685" s="4"/>
      <c r="O685" s="4"/>
      <c r="P685" s="4"/>
      <c r="Q685" s="24"/>
      <c r="R685" s="27" t="s">
        <v>146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AVERAGE(U685:X685)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hidden="1" x14ac:dyDescent="0.3">
      <c r="A686" s="22" t="s">
        <v>1360</v>
      </c>
      <c r="B686" s="2"/>
      <c r="C686" s="21">
        <v>4</v>
      </c>
      <c r="D686" s="23"/>
      <c r="E686" s="23"/>
      <c r="F686" s="23"/>
      <c r="G686" s="3" t="s">
        <v>1262</v>
      </c>
      <c r="H686" s="6"/>
      <c r="I686" s="6"/>
      <c r="J686" s="6"/>
      <c r="K686" s="21"/>
      <c r="L686" s="21" t="s">
        <v>1259</v>
      </c>
      <c r="M686" s="6"/>
      <c r="N686" s="6"/>
      <c r="O686" s="6"/>
      <c r="P686" s="6"/>
      <c r="Q686" s="27"/>
      <c r="R686" s="27" t="s">
        <v>146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AVERAGE(U686:X686)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hidden="1" x14ac:dyDescent="0.3">
      <c r="A687" s="22" t="s">
        <v>1361</v>
      </c>
      <c r="B687" s="2"/>
      <c r="C687" s="21">
        <v>4.75</v>
      </c>
      <c r="D687" s="23"/>
      <c r="E687" s="23"/>
      <c r="F687" s="23"/>
      <c r="G687" s="3" t="s">
        <v>1262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146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AVERAGE(U687:X687)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hidden="1" x14ac:dyDescent="0.3">
      <c r="A688" s="22" t="s">
        <v>1362</v>
      </c>
      <c r="B688" s="2"/>
      <c r="C688" s="21">
        <v>4.75</v>
      </c>
      <c r="D688" s="23"/>
      <c r="E688" s="23"/>
      <c r="F688" s="23"/>
      <c r="G688" s="3" t="s">
        <v>1262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146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AVERAGE(U688:X688)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hidden="1" x14ac:dyDescent="0.3">
      <c r="A689" s="22" t="s">
        <v>1363</v>
      </c>
      <c r="B689" s="2"/>
      <c r="C689" s="21">
        <v>4.75</v>
      </c>
      <c r="D689" s="23"/>
      <c r="E689" s="23"/>
      <c r="F689" s="23"/>
      <c r="G689" s="3" t="s">
        <v>1262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146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AVERAGE(U689:X689)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hidden="1" x14ac:dyDescent="0.3">
      <c r="A690" s="22" t="s">
        <v>1364</v>
      </c>
      <c r="B690" s="2"/>
      <c r="C690" s="21">
        <v>4.75</v>
      </c>
      <c r="D690" s="23"/>
      <c r="E690" s="23"/>
      <c r="F690" s="23"/>
      <c r="G690" s="3" t="s">
        <v>1280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146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AVERAGE(U690:X690)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hidden="1" x14ac:dyDescent="0.3">
      <c r="A691" s="22" t="s">
        <v>1365</v>
      </c>
      <c r="B691" s="2"/>
      <c r="C691" s="21">
        <v>4.75</v>
      </c>
      <c r="D691" s="23"/>
      <c r="E691" s="23"/>
      <c r="F691" s="23"/>
      <c r="G691" s="3" t="s">
        <v>1258</v>
      </c>
      <c r="H691" s="6"/>
      <c r="I691" s="6"/>
      <c r="J691" s="6"/>
      <c r="K691" s="21"/>
      <c r="L691" s="21" t="s">
        <v>1259</v>
      </c>
      <c r="M691" s="6"/>
      <c r="N691" s="6"/>
      <c r="O691" s="6"/>
      <c r="P691" s="6"/>
      <c r="Q691" s="27"/>
      <c r="R691" s="27" t="s">
        <v>146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AVERAGE(U691:X691)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hidden="1" x14ac:dyDescent="0.3">
      <c r="A692" s="22" t="s">
        <v>1366</v>
      </c>
      <c r="B692" s="2"/>
      <c r="C692" s="21">
        <v>4.75</v>
      </c>
      <c r="D692" s="23"/>
      <c r="E692" s="23"/>
      <c r="F692" s="23"/>
      <c r="G692" s="3" t="s">
        <v>1258</v>
      </c>
      <c r="H692" s="6"/>
      <c r="I692" s="6"/>
      <c r="J692" s="6"/>
      <c r="K692" s="21"/>
      <c r="L692" s="21" t="s">
        <v>1259</v>
      </c>
      <c r="M692" s="6"/>
      <c r="N692" s="6"/>
      <c r="O692" s="6"/>
      <c r="P692" s="6"/>
      <c r="Q692" s="27"/>
      <c r="R692" s="27" t="s">
        <v>146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AVERAGE(U692:X692)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hidden="1" x14ac:dyDescent="0.3">
      <c r="A693" s="22" t="s">
        <v>1367</v>
      </c>
      <c r="B693" s="2"/>
      <c r="C693" s="21">
        <v>4.75</v>
      </c>
      <c r="D693" s="23"/>
      <c r="E693" s="23"/>
      <c r="F693" s="23"/>
      <c r="G693" s="3" t="s">
        <v>1258</v>
      </c>
      <c r="H693" s="6"/>
      <c r="I693" s="6"/>
      <c r="J693" s="6"/>
      <c r="K693" s="21"/>
      <c r="L693" s="21" t="s">
        <v>1259</v>
      </c>
      <c r="M693" s="6"/>
      <c r="N693" s="6"/>
      <c r="O693" s="6"/>
      <c r="P693" s="6"/>
      <c r="Q693" s="27"/>
      <c r="R693" s="27" t="s">
        <v>146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AVERAGE(U693:X693)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hidden="1" x14ac:dyDescent="0.3">
      <c r="A694" s="22" t="s">
        <v>1016</v>
      </c>
      <c r="B694" s="2"/>
      <c r="C694" s="21">
        <v>5</v>
      </c>
      <c r="D694" s="23"/>
      <c r="E694" s="23"/>
      <c r="F694" s="23"/>
      <c r="G694" s="3" t="s">
        <v>1368</v>
      </c>
      <c r="H694" s="6"/>
      <c r="I694" s="6"/>
      <c r="J694" s="6"/>
      <c r="K694" s="21"/>
      <c r="L694" s="21" t="s">
        <v>1259</v>
      </c>
      <c r="M694" s="6"/>
      <c r="N694" s="6"/>
      <c r="O694" s="6"/>
      <c r="P694" s="6"/>
      <c r="Q694" s="27"/>
      <c r="R694" s="27" t="s">
        <v>146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AVERAGE(U694:X694)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hidden="1" x14ac:dyDescent="0.3">
      <c r="A695" s="22" t="s">
        <v>1369</v>
      </c>
      <c r="B695" s="2"/>
      <c r="C695" s="21">
        <v>5.75</v>
      </c>
      <c r="D695" s="23"/>
      <c r="E695" s="23"/>
      <c r="F695" s="23"/>
      <c r="G695" s="3" t="s">
        <v>1292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146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AVERAGE(U695:X695)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hidden="1" x14ac:dyDescent="0.3">
      <c r="A696" s="22" t="s">
        <v>1370</v>
      </c>
      <c r="B696" s="2"/>
      <c r="C696" s="21">
        <v>6</v>
      </c>
      <c r="D696" s="23"/>
      <c r="E696" s="23"/>
      <c r="F696" s="23"/>
      <c r="G696" s="3" t="s">
        <v>1368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146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AVERAGE(U696:X696)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hidden="1" x14ac:dyDescent="0.3">
      <c r="A697" s="22" t="s">
        <v>1371</v>
      </c>
      <c r="B697" s="2"/>
      <c r="C697" s="21">
        <v>6</v>
      </c>
      <c r="D697" s="23"/>
      <c r="E697" s="23"/>
      <c r="F697" s="23"/>
      <c r="G697" s="3" t="s">
        <v>1262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146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AVERAGE(U697:X697)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hidden="1" x14ac:dyDescent="0.3">
      <c r="A698" s="22" t="s">
        <v>1372</v>
      </c>
      <c r="B698" s="2"/>
      <c r="C698" s="21">
        <v>6</v>
      </c>
      <c r="D698" s="23"/>
      <c r="E698" s="23"/>
      <c r="F698" s="23"/>
      <c r="G698" s="3" t="s">
        <v>1262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146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AVERAGE(U698:X698)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hidden="1" x14ac:dyDescent="0.3">
      <c r="A699" s="22" t="s">
        <v>1373</v>
      </c>
      <c r="B699" s="2"/>
      <c r="C699" s="21">
        <v>6.3</v>
      </c>
      <c r="D699" s="23"/>
      <c r="E699" s="23"/>
      <c r="F699" s="23"/>
      <c r="G699" s="3" t="s">
        <v>1262</v>
      </c>
      <c r="H699" s="4"/>
      <c r="I699" s="4"/>
      <c r="J699" s="4"/>
      <c r="K699" s="5"/>
      <c r="L699" s="5" t="s">
        <v>1259</v>
      </c>
      <c r="M699" s="4"/>
      <c r="N699" s="4"/>
      <c r="O699" s="4"/>
      <c r="P699" s="4"/>
      <c r="Q699" s="24"/>
      <c r="R699" s="27" t="s">
        <v>146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AVERAGE(U699:X699)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hidden="1" x14ac:dyDescent="0.3">
      <c r="A700" s="22" t="s">
        <v>1374</v>
      </c>
      <c r="B700" s="2"/>
      <c r="C700" s="21">
        <v>8</v>
      </c>
      <c r="D700" s="23"/>
      <c r="E700" s="23"/>
      <c r="F700" s="23"/>
      <c r="G700" s="3" t="s">
        <v>1262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146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AVERAGE(U700:X700)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hidden="1" x14ac:dyDescent="0.3">
      <c r="A701" s="22" t="s">
        <v>1044</v>
      </c>
      <c r="B701" s="2"/>
      <c r="C701" s="21">
        <v>9.5</v>
      </c>
      <c r="D701" s="23"/>
      <c r="E701" s="23"/>
      <c r="F701" s="23"/>
      <c r="G701" s="3" t="s">
        <v>1270</v>
      </c>
      <c r="H701" s="6"/>
      <c r="I701" s="6"/>
      <c r="J701" s="6"/>
      <c r="K701" s="21"/>
      <c r="L701" s="21" t="s">
        <v>1266</v>
      </c>
      <c r="M701" s="6"/>
      <c r="N701" s="6"/>
      <c r="O701" s="6"/>
      <c r="P701" s="6"/>
      <c r="Q701" s="27"/>
      <c r="R701" s="27" t="s">
        <v>146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AVERAGE(U701:X701)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hidden="1" x14ac:dyDescent="0.3">
      <c r="A702" s="22" t="s">
        <v>1375</v>
      </c>
      <c r="B702" s="2"/>
      <c r="C702" s="21">
        <v>9.75</v>
      </c>
      <c r="D702" s="23"/>
      <c r="E702" s="23"/>
      <c r="F702" s="23"/>
      <c r="G702" s="3" t="s">
        <v>1305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146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AVERAGE(U702:X702)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hidden="1" x14ac:dyDescent="0.3">
      <c r="A703" s="22" t="s">
        <v>1376</v>
      </c>
      <c r="B703" s="2"/>
      <c r="C703" s="21">
        <v>9.75</v>
      </c>
      <c r="D703" s="23"/>
      <c r="E703" s="23"/>
      <c r="F703" s="23"/>
      <c r="G703" s="3" t="s">
        <v>1305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146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AVERAGE(U703:X703)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hidden="1" x14ac:dyDescent="0.3">
      <c r="A704" s="22" t="s">
        <v>1377</v>
      </c>
      <c r="B704" s="2"/>
      <c r="C704" s="21">
        <v>11.75</v>
      </c>
      <c r="D704" s="23"/>
      <c r="E704" s="23"/>
      <c r="F704" s="23"/>
      <c r="G704" s="3" t="s">
        <v>701</v>
      </c>
      <c r="H704" s="6"/>
      <c r="I704" s="6"/>
      <c r="J704" s="6"/>
      <c r="K704" s="21"/>
      <c r="L704" s="21" t="s">
        <v>1259</v>
      </c>
      <c r="M704" s="6"/>
      <c r="N704" s="6"/>
      <c r="O704" s="6"/>
      <c r="P704" s="6"/>
      <c r="Q704" s="27"/>
      <c r="R704" s="27" t="s">
        <v>146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AVERAGE(U704:X704)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hidden="1" x14ac:dyDescent="0.3">
      <c r="A705" s="22" t="s">
        <v>1378</v>
      </c>
      <c r="B705" s="2"/>
      <c r="C705" s="21">
        <v>12</v>
      </c>
      <c r="D705" s="23"/>
      <c r="E705" s="23"/>
      <c r="F705" s="23"/>
      <c r="G705" s="3" t="s">
        <v>1333</v>
      </c>
      <c r="H705" s="6"/>
      <c r="I705" s="6"/>
      <c r="J705" s="6"/>
      <c r="K705" s="21"/>
      <c r="L705" s="21" t="s">
        <v>1255</v>
      </c>
      <c r="M705" s="6"/>
      <c r="N705" s="6"/>
      <c r="O705" s="6"/>
      <c r="P705" s="6"/>
      <c r="Q705" s="27"/>
      <c r="R705" s="27" t="s">
        <v>146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AVERAGE(U705:X705)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hidden="1" x14ac:dyDescent="0.3">
      <c r="A706" s="22" t="s">
        <v>1379</v>
      </c>
      <c r="B706" s="2"/>
      <c r="C706" s="21">
        <v>1.4</v>
      </c>
      <c r="D706" s="23"/>
      <c r="E706" s="23"/>
      <c r="F706" s="23"/>
      <c r="G706" s="3" t="s">
        <v>464</v>
      </c>
      <c r="H706" s="6"/>
      <c r="I706" s="6"/>
      <c r="J706" s="6"/>
      <c r="K706" s="21"/>
      <c r="L706" s="21" t="s">
        <v>703</v>
      </c>
      <c r="M706" s="6"/>
      <c r="N706" s="6"/>
      <c r="O706" s="6"/>
      <c r="P706" s="6"/>
      <c r="Q706" s="27"/>
      <c r="R706" s="27" t="s">
        <v>146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AVERAGE(U706:X706)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hidden="1" x14ac:dyDescent="0.3">
      <c r="A707" s="22" t="s">
        <v>1380</v>
      </c>
      <c r="B707" s="2"/>
      <c r="C707" s="21">
        <v>1.4</v>
      </c>
      <c r="D707" s="23"/>
      <c r="E707" s="23"/>
      <c r="F707" s="23"/>
      <c r="G707" s="3" t="s">
        <v>464</v>
      </c>
      <c r="H707" s="6"/>
      <c r="I707" s="6"/>
      <c r="J707" s="6"/>
      <c r="K707" s="21"/>
      <c r="L707" s="21" t="s">
        <v>703</v>
      </c>
      <c r="M707" s="6"/>
      <c r="N707" s="6"/>
      <c r="O707" s="6"/>
      <c r="P707" s="6"/>
      <c r="Q707" s="27"/>
      <c r="R707" s="27" t="s">
        <v>146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AVERAGE(U707:X707)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1381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filterColumn colId="17">
      <filters>
        <filter val="Diadema"/>
      </filters>
    </filterColumn>
    <sortState xmlns:xlrd2="http://schemas.microsoft.com/office/spreadsheetml/2017/richdata2" ref="A3:AL707">
      <sortCondition descending="1" ref="Y2:Y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A2EE8-1335-4D6B-B158-248E4A1AFF5C}">
  <dimension ref="A1"/>
  <sheetViews>
    <sheetView workbookViewId="0"/>
  </sheetViews>
  <sheetFormatPr defaultRowHeight="14.4" x14ac:dyDescent="0.3"/>
  <sheetData>
    <row r="1" spans="1:1" x14ac:dyDescent="0.3">
      <c r="A1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E6" sqref="E6"/>
    </sheetView>
  </sheetViews>
  <sheetFormatPr defaultRowHeight="14.4" x14ac:dyDescent="0.3"/>
  <cols>
    <col min="1" max="1" width="24.5546875" bestFit="1" customWidth="1"/>
    <col min="2" max="2" width="12.6640625" bestFit="1" customWidth="1"/>
    <col min="3" max="3" width="16.33203125" bestFit="1" customWidth="1"/>
    <col min="4" max="4" width="26" bestFit="1" customWidth="1"/>
    <col min="5" max="5" width="21.6640625" bestFit="1" customWidth="1"/>
    <col min="6" max="6" width="16.33203125" bestFit="1" customWidth="1"/>
    <col min="7" max="8" width="21.6640625" bestFit="1" customWidth="1"/>
  </cols>
  <sheetData>
    <row r="1" spans="1:6" x14ac:dyDescent="0.3">
      <c r="A1" s="69" t="s">
        <v>1382</v>
      </c>
      <c r="B1" s="69" t="s">
        <v>1383</v>
      </c>
      <c r="C1" s="70" t="s">
        <v>1384</v>
      </c>
      <c r="D1" s="69" t="s">
        <v>1385</v>
      </c>
      <c r="E1" s="69" t="s">
        <v>1386</v>
      </c>
      <c r="F1" s="69" t="s">
        <v>1387</v>
      </c>
    </row>
    <row r="2" spans="1:6" x14ac:dyDescent="0.3">
      <c r="A2" t="s">
        <v>692</v>
      </c>
      <c r="B2" s="50">
        <f>COUNTIF(Controle!$R$4:$R$708,A2)</f>
        <v>218</v>
      </c>
      <c r="C2" s="52">
        <f>SUMIF(Controle!$R$4:$R$708,Formulas!A2,Controle!$Y$4:$Y$708)</f>
        <v>1754.5867599849994</v>
      </c>
      <c r="D2" s="52">
        <f>SUMIF(Controle!R:R,Formulas!A2,Controle!AH:AH)</f>
        <v>1322.6778035000002</v>
      </c>
      <c r="E2" s="49">
        <f>D2/C2</f>
        <v>0.75384006859330699</v>
      </c>
      <c r="F2" s="66">
        <f>SUMIF(Controle!$R:$R,Formulas!A2,Controle!$AK:$AK)</f>
        <v>885025.4800000001</v>
      </c>
    </row>
    <row r="3" spans="1:6" x14ac:dyDescent="0.3">
      <c r="A3" t="s">
        <v>47</v>
      </c>
      <c r="B3" s="50">
        <f>COUNTIF(Controle!$R$4:$R$708,A3)</f>
        <v>276</v>
      </c>
      <c r="C3" s="52">
        <f>SUMIF(Controle!$R$4:$R$708,Formulas!A3,Controle!$Y$4:$Y$708)</f>
        <v>1634.528671</v>
      </c>
      <c r="D3" s="52">
        <f>SUMIF(Controle!R:R,Formulas!A3,Controle!AH:AH)</f>
        <v>562.44972749999999</v>
      </c>
      <c r="E3" s="49">
        <f t="shared" ref="E3:E5" si="0">D3/C3</f>
        <v>0.34410514632080136</v>
      </c>
      <c r="F3" s="66">
        <f>SUMIF(Controle!$R:$R,Formulas!A3,Controle!$AK:$AK)</f>
        <v>50984.49</v>
      </c>
    </row>
    <row r="4" spans="1:6" x14ac:dyDescent="0.3">
      <c r="A4" t="s">
        <v>108</v>
      </c>
      <c r="B4" s="50">
        <f>COUNTIF(Controle!$R$4:$R$708,A4)</f>
        <v>90</v>
      </c>
      <c r="C4" s="52">
        <f>SUMIF(Controle!$R$4:$R$708,Formulas!A4,Controle!$Y$4:$Y$708)</f>
        <v>1113.3518362500006</v>
      </c>
      <c r="D4" s="52">
        <f>SUMIF(Controle!R:R,Formulas!A4,Controle!AH:AH)</f>
        <v>0</v>
      </c>
      <c r="E4" s="49">
        <f t="shared" si="0"/>
        <v>0</v>
      </c>
      <c r="F4" s="66">
        <f>SUMIF(Controle!$R:$R,Formulas!A4,Controle!$AK:$AK)</f>
        <v>0</v>
      </c>
    </row>
    <row r="5" spans="1:6" x14ac:dyDescent="0.3">
      <c r="A5" t="s">
        <v>146</v>
      </c>
      <c r="B5" s="50">
        <f>COUNTIF(Controle!$R$4:$R$708,A5)</f>
        <v>120</v>
      </c>
      <c r="C5" s="52">
        <f>SUMIF(Controle!$R$4:$R$708,Formulas!A5,Controle!$Y$4:$Y$708)</f>
        <v>49.376945486109825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1388</v>
      </c>
      <c r="B6" s="54">
        <f>SUM(B2:B5)</f>
        <v>704</v>
      </c>
      <c r="C6" s="55">
        <f t="shared" ref="C6:F6" si="1">SUM(C2:C5)</f>
        <v>4551.8442127211092</v>
      </c>
      <c r="D6" s="55">
        <f t="shared" si="1"/>
        <v>1885.1275310000001</v>
      </c>
      <c r="E6" s="56">
        <f>D6/C6</f>
        <v>0.41414588085673165</v>
      </c>
      <c r="F6" s="67">
        <f t="shared" si="1"/>
        <v>936009.97000000009</v>
      </c>
    </row>
    <row r="9" spans="1:6" x14ac:dyDescent="0.3">
      <c r="A9" s="69" t="s">
        <v>1389</v>
      </c>
      <c r="B9" s="69" t="s">
        <v>1390</v>
      </c>
      <c r="C9" s="69" t="s">
        <v>1391</v>
      </c>
      <c r="D9" s="69" t="s">
        <v>1392</v>
      </c>
      <c r="E9" s="69" t="s">
        <v>1393</v>
      </c>
    </row>
    <row r="10" spans="1:6" x14ac:dyDescent="0.3">
      <c r="A10" s="47" t="s">
        <v>703</v>
      </c>
      <c r="B10">
        <f>COUNTIF(Controle!L:L,Formulas!A11)</f>
        <v>49</v>
      </c>
      <c r="C10" s="57">
        <f>SUMIF(Controle!L:L,Formulas!A11,Controle!Y:Y)</f>
        <v>779.27075549999995</v>
      </c>
      <c r="D10" s="58">
        <f>C10/SUM($C$10:$C$41)</f>
        <v>0.16097826056862818</v>
      </c>
      <c r="E10" s="66">
        <f>SUMIF(Controle!$L:$L,A10,Controle!$AK:$AK)</f>
        <v>362915.71</v>
      </c>
    </row>
    <row r="11" spans="1:6" x14ac:dyDescent="0.3">
      <c r="A11" s="47" t="s">
        <v>1073</v>
      </c>
      <c r="B11">
        <f>COUNTIF(Controle!L:L,Formulas!A13)</f>
        <v>19</v>
      </c>
      <c r="C11" s="57">
        <f>SUMIF(Controle!L:L,Formulas!A13,Controle!Y:Y)</f>
        <v>587.27701949999994</v>
      </c>
      <c r="D11" s="58">
        <f t="shared" ref="D11:D41" si="2">C11/SUM($C$10:$C$41)</f>
        <v>0.12131705495656615</v>
      </c>
      <c r="E11" s="66">
        <f>SUMIF(Controle!$L:$L,A11,Controle!$AK:$AK)</f>
        <v>0</v>
      </c>
    </row>
    <row r="12" spans="1:6" x14ac:dyDescent="0.3">
      <c r="A12" s="47" t="s">
        <v>688</v>
      </c>
      <c r="B12">
        <f>COUNTIF(Controle!L:L,Formulas!A10)</f>
        <v>116</v>
      </c>
      <c r="C12" s="57">
        <f>SUMIF(Controle!L:L,Formulas!A10,Controle!Y:Y)</f>
        <v>1555.2682025256472</v>
      </c>
      <c r="D12" s="58">
        <f t="shared" si="2"/>
        <v>0.32128033574111919</v>
      </c>
      <c r="E12" s="66">
        <f>SUMIF(Controle!$L:$L,A12,Controle!$AK:$AK)</f>
        <v>404193.38</v>
      </c>
    </row>
    <row r="13" spans="1:6" x14ac:dyDescent="0.3">
      <c r="A13" s="47" t="s">
        <v>74</v>
      </c>
      <c r="B13">
        <f>COUNTIF(Controle!L:L,Formulas!A14)</f>
        <v>49</v>
      </c>
      <c r="C13" s="57">
        <f>SUMIF(Controle!L:L,Formulas!A14,Controle!Y:Y)</f>
        <v>449.23930799999988</v>
      </c>
      <c r="D13" s="58">
        <f t="shared" si="2"/>
        <v>9.2801843095591682E-2</v>
      </c>
      <c r="E13" s="66">
        <f>SUMIF(Controle!$L:$L,A13,Controle!$AK:$AK)</f>
        <v>156090.16999999998</v>
      </c>
    </row>
    <row r="14" spans="1:6" x14ac:dyDescent="0.3">
      <c r="A14" s="47" t="s">
        <v>64</v>
      </c>
      <c r="B14">
        <f>COUNTIF(Controle!L:L,Formulas!A16)</f>
        <v>5</v>
      </c>
      <c r="C14" s="57">
        <f>SUMIF(Controle!L:L,Formulas!A16,Controle!Y:Y)</f>
        <v>158.05838175</v>
      </c>
      <c r="D14" s="58">
        <f t="shared" si="2"/>
        <v>3.2650992203706798E-2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597.29238750000013</v>
      </c>
      <c r="D15" s="58">
        <f t="shared" si="2"/>
        <v>0.12338598479669632</v>
      </c>
      <c r="E15" s="66">
        <f>SUMIF(Controle!$L:$L,A15,Controle!$AK:$AK)</f>
        <v>12810.71</v>
      </c>
    </row>
    <row r="16" spans="1:6" x14ac:dyDescent="0.3">
      <c r="A16" s="47" t="s">
        <v>71</v>
      </c>
      <c r="B16">
        <f>COUNTIF(Controle!L:L,Formulas!A17)</f>
        <v>3</v>
      </c>
      <c r="C16" s="57">
        <f>SUMIF(Controle!L:L,Formulas!A17,Controle!Y:Y)</f>
        <v>93.174978499999995</v>
      </c>
      <c r="D16" s="58">
        <f t="shared" si="2"/>
        <v>1.9247669518696994E-2</v>
      </c>
      <c r="E16" s="66">
        <f>SUMIF(Controle!$L:$L,A16,Controle!$AK:$AK)</f>
        <v>0</v>
      </c>
    </row>
    <row r="17" spans="1:5" x14ac:dyDescent="0.3">
      <c r="A17" s="47" t="s">
        <v>1085</v>
      </c>
      <c r="B17">
        <f>COUNTIF(Controle!L:L,Formulas!A15)</f>
        <v>5</v>
      </c>
      <c r="C17" s="57">
        <f>SUMIF(Controle!L:L,Formulas!A15,Controle!Y:Y)</f>
        <v>274.22247000000004</v>
      </c>
      <c r="D17" s="58">
        <f t="shared" si="2"/>
        <v>5.6647648994743817E-2</v>
      </c>
      <c r="E17" s="66">
        <f>SUMIF(Controle!$L:$L,A17,Controle!$AK:$AK)</f>
        <v>0</v>
      </c>
    </row>
    <row r="18" spans="1:5" x14ac:dyDescent="0.3">
      <c r="A18" s="47" t="s">
        <v>785</v>
      </c>
      <c r="B18">
        <f>COUNTIF(Controle!L:L,Formulas!A19)</f>
        <v>32</v>
      </c>
      <c r="C18" s="57">
        <f>SUMIF(Controle!L:L,Formulas!A18,Controle!Y:Y)</f>
        <v>70.655276250000014</v>
      </c>
      <c r="D18" s="58">
        <f t="shared" si="2"/>
        <v>1.4595650344177338E-2</v>
      </c>
      <c r="E18" s="66">
        <f>SUMIF(Controle!$L:$L,A18,Controle!$AK:$AK)</f>
        <v>0</v>
      </c>
    </row>
    <row r="19" spans="1:5" x14ac:dyDescent="0.3">
      <c r="A19" s="47" t="s">
        <v>194</v>
      </c>
      <c r="B19">
        <f>COUNTIF(Controle!L:L,Formulas!A23)</f>
        <v>3</v>
      </c>
      <c r="C19" s="57">
        <f>SUMIF(Controle!L:L,Formulas!A23,Controle!Y:Y)</f>
        <v>18.635887500000003</v>
      </c>
      <c r="D19" s="58">
        <f t="shared" si="2"/>
        <v>3.849718127787026E-3</v>
      </c>
      <c r="E19" s="66">
        <f>SUMIF(Controle!$L:$L,A19,Controle!$AK:$AK)</f>
        <v>0</v>
      </c>
    </row>
    <row r="20" spans="1:5" x14ac:dyDescent="0.3">
      <c r="A20" s="47" t="s">
        <v>1095</v>
      </c>
      <c r="B20">
        <f>COUNTIF(Controle!L:L,Formulas!A18)</f>
        <v>9</v>
      </c>
      <c r="C20" s="57">
        <f>SUMIF(Controle!L:L,Formulas!A19,Controle!Y:Y)</f>
        <v>64.168937874999997</v>
      </c>
      <c r="D20" s="58">
        <f t="shared" si="2"/>
        <v>1.3255731629536126E-2</v>
      </c>
      <c r="E20" s="66">
        <f>SUMIF(Controle!$L:$L,A20,Controle!$AK:$AK)</f>
        <v>0</v>
      </c>
    </row>
    <row r="21" spans="1:5" x14ac:dyDescent="0.3">
      <c r="A21" s="47" t="s">
        <v>815</v>
      </c>
      <c r="B21">
        <f>COUNTIF(Controle!L:L,Formulas!A25)</f>
        <v>1</v>
      </c>
      <c r="C21" s="57">
        <f>SUMIF(Controle!L:L,Formulas!A25,Controle!Y:Y)</f>
        <v>13.456200000000001</v>
      </c>
      <c r="D21" s="58">
        <f t="shared" si="2"/>
        <v>2.7797214954816494E-3</v>
      </c>
      <c r="E21" s="66">
        <f>SUMIF(Controle!$L:$L,A21,Controle!$AK:$AK)</f>
        <v>0</v>
      </c>
    </row>
    <row r="22" spans="1:5" x14ac:dyDescent="0.3">
      <c r="A22" s="47" t="s">
        <v>296</v>
      </c>
      <c r="B22">
        <f>COUNTIF(Controle!L:L,Formulas!A30)</f>
        <v>5</v>
      </c>
      <c r="C22" s="57">
        <f>SUMIF(Controle!L:L,Formulas!A30,Controle!Y:Y)</f>
        <v>7.8133499999999998</v>
      </c>
      <c r="D22" s="58">
        <f t="shared" si="2"/>
        <v>1.6140468294705446E-3</v>
      </c>
      <c r="E22" s="66">
        <f>SUMIF(Controle!$L:$L,A22,Controle!$AK:$AK)</f>
        <v>0</v>
      </c>
    </row>
    <row r="23" spans="1:5" x14ac:dyDescent="0.3">
      <c r="A23" s="47" t="s">
        <v>186</v>
      </c>
      <c r="B23">
        <f>COUNTIF(Controle!L:L,Formulas!A21)</f>
        <v>27</v>
      </c>
      <c r="C23" s="57">
        <f>SUMIF(Controle!L:L,Formulas!A21,Controle!Y:Y)</f>
        <v>31.530336749999996</v>
      </c>
      <c r="D23" s="58">
        <f t="shared" si="2"/>
        <v>6.5133956706759704E-3</v>
      </c>
      <c r="E23" s="66">
        <f>SUMIF(Controle!$L:$L,A23,Controle!$AK:$AK)</f>
        <v>0</v>
      </c>
    </row>
    <row r="24" spans="1:5" x14ac:dyDescent="0.3">
      <c r="A24" s="47" t="s">
        <v>1259</v>
      </c>
      <c r="B24">
        <f>COUNTIF(Controle!L:L,Formulas!A32)</f>
        <v>4</v>
      </c>
      <c r="C24" s="57">
        <f>SUMIF(Controle!L:L,Formulas!A33,Controle!Y:Y)</f>
        <v>6.1935694999999997</v>
      </c>
      <c r="D24" s="58">
        <f t="shared" si="2"/>
        <v>1.2794398324125333E-3</v>
      </c>
      <c r="E24" s="66">
        <f>SUMIF(Controle!$L:$L,A24,Controle!$AK:$AK)</f>
        <v>0</v>
      </c>
    </row>
    <row r="25" spans="1:5" x14ac:dyDescent="0.3">
      <c r="A25" s="47" t="s">
        <v>183</v>
      </c>
      <c r="B25">
        <f>COUNTIF(Controle!L:L,Formulas!A20)</f>
        <v>1</v>
      </c>
      <c r="C25" s="57">
        <f>SUMIF(Controle!L:L,Formulas!A20,Controle!Y:Y)</f>
        <v>36.516480000000001</v>
      </c>
      <c r="D25" s="58">
        <f t="shared" si="2"/>
        <v>7.5434107991353971E-3</v>
      </c>
      <c r="E25" s="66">
        <f>SUMIF(Controle!$L:$L,A25,Controle!$AK:$AK)</f>
        <v>0</v>
      </c>
    </row>
    <row r="26" spans="1:5" x14ac:dyDescent="0.3">
      <c r="A26" s="47" t="s">
        <v>1139</v>
      </c>
      <c r="B26">
        <f>COUNTIF(Controle!L:L,Formulas!A22)</f>
        <v>163</v>
      </c>
      <c r="C26" s="57">
        <f>SUMIF(Controle!L:L,Formulas!A22,Controle!Y:Y)</f>
        <v>20.819694314666538</v>
      </c>
      <c r="D26" s="58">
        <f t="shared" si="2"/>
        <v>4.3008391533891927E-3</v>
      </c>
      <c r="E26" s="66">
        <f>SUMIF(Controle!$L:$L,A26,Controle!$AK:$AK)</f>
        <v>0</v>
      </c>
    </row>
    <row r="27" spans="1:5" x14ac:dyDescent="0.3">
      <c r="A27" s="47" t="s">
        <v>260</v>
      </c>
      <c r="B27">
        <f>COUNTIF(Controle!L:L,Formulas!A27)</f>
        <v>4</v>
      </c>
      <c r="C27" s="57">
        <f>SUMIF(Controle!L:L,Formulas!A27,Controle!Y:Y)</f>
        <v>11.531072500000001</v>
      </c>
      <c r="D27" s="58">
        <f t="shared" si="2"/>
        <v>2.3820372834981139E-3</v>
      </c>
      <c r="E27" s="66">
        <f>SUMIF(Controle!$L:$L,A27,Controle!$AK:$AK)</f>
        <v>0</v>
      </c>
    </row>
    <row r="28" spans="1:5" x14ac:dyDescent="0.3">
      <c r="A28" s="47" t="s">
        <v>301</v>
      </c>
      <c r="B28">
        <f>COUNTIF(Controle!L:L,Formulas!A31)</f>
        <v>3</v>
      </c>
      <c r="C28" s="57">
        <f>SUMIF(Controle!L:L,Formulas!A31,Controle!Y:Y)</f>
        <v>7.402843250000001</v>
      </c>
      <c r="D28" s="58">
        <f t="shared" si="2"/>
        <v>1.5292461846365419E-3</v>
      </c>
      <c r="E28" s="66">
        <f>SUMIF(Controle!$L:$L,A28,Controle!$AK:$AK)</f>
        <v>0</v>
      </c>
    </row>
    <row r="29" spans="1:5" x14ac:dyDescent="0.3">
      <c r="A29" s="47" t="s">
        <v>209</v>
      </c>
      <c r="B29">
        <f>COUNTIF(Controle!L:L,Formulas!A24)</f>
        <v>40</v>
      </c>
      <c r="C29" s="57">
        <f>SUMIF(Controle!L:L,Formulas!A24,Controle!Y:Y)</f>
        <v>13.524723311494334</v>
      </c>
      <c r="D29" s="58">
        <f t="shared" si="2"/>
        <v>2.7938767341004556E-3</v>
      </c>
      <c r="E29" s="66">
        <f>SUMIF(Controle!$L:$L,A29,Controle!$AK:$AK)</f>
        <v>0</v>
      </c>
    </row>
    <row r="30" spans="1:5" x14ac:dyDescent="0.3">
      <c r="A30" s="47" t="s">
        <v>248</v>
      </c>
      <c r="B30">
        <f>COUNTIF(Controle!L:L,Formulas!A26)</f>
        <v>1</v>
      </c>
      <c r="C30" s="57">
        <f>SUMIF(Controle!L:L,Formulas!A26,Controle!Y:Y)</f>
        <v>11.650443750000001</v>
      </c>
      <c r="D30" s="58">
        <f t="shared" si="2"/>
        <v>2.4066964613913911E-3</v>
      </c>
      <c r="E30" s="66">
        <f>SUMIF(Controle!$L:$L,A30,Controle!$AK:$AK)</f>
        <v>0</v>
      </c>
    </row>
    <row r="31" spans="1:5" x14ac:dyDescent="0.3">
      <c r="A31" s="47" t="s">
        <v>824</v>
      </c>
      <c r="B31">
        <f>COUNTIF(Controle!L:L,Formulas!A29)</f>
        <v>1</v>
      </c>
      <c r="C31" s="57">
        <f>SUMIF(Controle!L:L,Formulas!A29,Controle!Y:Y)</f>
        <v>8.3682499999999997</v>
      </c>
      <c r="D31" s="58">
        <f t="shared" si="2"/>
        <v>1.7286755848281319E-3</v>
      </c>
      <c r="E31" s="66">
        <f>SUMIF(Controle!$L:$L,A31,Controle!$AK:$AK)</f>
        <v>0</v>
      </c>
    </row>
    <row r="32" spans="1:5" x14ac:dyDescent="0.3">
      <c r="A32" s="47" t="s">
        <v>1255</v>
      </c>
      <c r="B32">
        <f>COUNTIF(Controle!L:L,Formulas!A28)</f>
        <v>12</v>
      </c>
      <c r="C32" s="57">
        <f>SUMIF(Controle!L:L,Formulas!A28,Controle!Y:Y)</f>
        <v>9.0827825000000004</v>
      </c>
      <c r="D32" s="58">
        <f t="shared" si="2"/>
        <v>1.876280506683503E-3</v>
      </c>
      <c r="E32" s="66">
        <f>SUMIF(Controle!$L:$L,A32,Controle!$AK:$AK)</f>
        <v>0</v>
      </c>
    </row>
    <row r="33" spans="1:5" x14ac:dyDescent="0.3">
      <c r="A33" s="47" t="s">
        <v>791</v>
      </c>
      <c r="B33">
        <f>COUNTIF(Controle!L:L,Formulas!A33)</f>
        <v>95</v>
      </c>
      <c r="C33" s="57">
        <f>SUMIF(Controle!L:L,Formulas!A32,Controle!Y:Y)</f>
        <v>6.6915925516121648</v>
      </c>
      <c r="D33" s="58">
        <f t="shared" si="2"/>
        <v>1.3823192026516573E-3</v>
      </c>
      <c r="E33" s="66">
        <f>SUMIF(Controle!$L:$L,A33,Controle!$AK:$AK)</f>
        <v>0</v>
      </c>
    </row>
    <row r="34" spans="1:5" x14ac:dyDescent="0.3">
      <c r="A34" s="47" t="s">
        <v>1263</v>
      </c>
      <c r="B34">
        <f>COUNTIF(Controle!L:L,Formulas!A34)</f>
        <v>6</v>
      </c>
      <c r="C34" s="57">
        <f>SUMIF(Controle!L:L,Formulas!A35,Controle!Y:Y)</f>
        <v>2.4214985000000002</v>
      </c>
      <c r="D34" s="58">
        <f t="shared" si="2"/>
        <v>5.0022230880386522E-4</v>
      </c>
      <c r="E34" s="66">
        <f>SUMIF(Controle!$L:$L,A34,Controle!$AK:$AK)</f>
        <v>0</v>
      </c>
    </row>
    <row r="35" spans="1:5" x14ac:dyDescent="0.3">
      <c r="A35" s="47" t="s">
        <v>864</v>
      </c>
      <c r="B35">
        <f>COUNTIF(Controle!L:L,Formulas!A35)</f>
        <v>8</v>
      </c>
      <c r="C35" s="57">
        <f>SUMIF(Controle!L:L,Formulas!A34,Controle!Y:Y)</f>
        <v>4.3631100301899206</v>
      </c>
      <c r="D35" s="58">
        <f t="shared" si="2"/>
        <v>9.0131171787506941E-4</v>
      </c>
      <c r="E35" s="66">
        <f>SUMIF(Controle!$L:$L,A35,Controle!$AK:$AK)</f>
        <v>0</v>
      </c>
    </row>
    <row r="36" spans="1:5" x14ac:dyDescent="0.3">
      <c r="A36" s="47" t="s">
        <v>106</v>
      </c>
      <c r="B36">
        <f>COUNTIF(Controle!L:L,Formulas!A36)</f>
        <v>7</v>
      </c>
      <c r="C36" s="57">
        <f>SUMIF(Controle!L:L,Formulas!A36,Controle!Y:Y)</f>
        <v>1.0965267500000002</v>
      </c>
      <c r="D36" s="58">
        <f t="shared" si="2"/>
        <v>2.2651558221084949E-4</v>
      </c>
      <c r="E36" s="66">
        <f>SUMIF(Controle!$L:$L,A36,Controle!$AK:$AK)</f>
        <v>0</v>
      </c>
    </row>
    <row r="37" spans="1:5" x14ac:dyDescent="0.3">
      <c r="A37" s="47" t="s">
        <v>891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1293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1315</v>
      </c>
      <c r="B39">
        <f>COUNTIF(Controle!L:L,Formulas!A39)</f>
        <v>5</v>
      </c>
      <c r="C39" s="57">
        <f>SUMIF(Controle!L:L,Formulas!A39,Controle!Y:Y)</f>
        <v>9.7426112499999995E-2</v>
      </c>
      <c r="D39" s="58">
        <f t="shared" si="2"/>
        <v>2.0125849730047367E-5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0.62854749999999993</v>
      </c>
      <c r="D40" s="58">
        <f t="shared" si="2"/>
        <v>1.2984252587515432E-4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0.392623</v>
      </c>
      <c r="D41" s="58">
        <f t="shared" si="2"/>
        <v>8.110629990045418E-5</v>
      </c>
      <c r="E41" s="66">
        <f>SUMIF(Controle!$L:$L,A41,Controle!$AK:$AK)</f>
        <v>0</v>
      </c>
    </row>
    <row r="42" spans="1:5" x14ac:dyDescent="0.3">
      <c r="A42" s="59" t="s">
        <v>1388</v>
      </c>
      <c r="B42" s="53">
        <f>SUM(B10:B41)</f>
        <v>717</v>
      </c>
      <c r="C42" s="61">
        <f>SUM(C10:C41)</f>
        <v>4840.8446752211094</v>
      </c>
      <c r="D42" s="60">
        <f>SUM(D10:D41)</f>
        <v>1.0000000000000002</v>
      </c>
      <c r="E42" s="68">
        <f>SUM(E10:E41)</f>
        <v>936009.97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c06ce65c-ed18-47f4-a957-afd315448c9c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f5ab1930-d403-4c69-b2cd-8cc48f527d10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Planilha1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2026-05-07T19:02:33Z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