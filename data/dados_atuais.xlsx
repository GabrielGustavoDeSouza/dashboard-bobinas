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https://delgadiadema.sharepoint.com/sites/GestoEstratgica/Documentos Compartilhados/Controle Master/BSW/Novo controle (Em processo)/"/>
    </mc:Choice>
  </mc:AlternateContent>
  <xr:revisionPtr revIDLastSave="6411" documentId="1_{DDE4A242-D13A-46DE-8B65-653B9F6ECEB2}" xr6:coauthVersionLast="47" xr6:coauthVersionMax="47" xr10:uidLastSave="{5F73B7B7-4976-46BF-AF44-869F635B11B7}"/>
  <bookViews>
    <workbookView xWindow="20370" yWindow="-120" windowWidth="20730" windowHeight="11040" tabRatio="598" firstSheet="3" activeTab="3" xr2:uid="{3E398004-7492-4AA0-94C2-EA9B761AAA49}"/>
  </bookViews>
  <sheets>
    <sheet name="Insights Propostas" sheetId="5" r:id="rId1"/>
    <sheet name="Análise Propostas" sheetId="4" r:id="rId2"/>
    <sheet name="Controle" sheetId="1" r:id="rId3"/>
    <sheet name="A.Propostas" sheetId="3" r:id="rId4"/>
    <sheet name="Formulas" sheetId="2" r:id="rId5"/>
  </sheets>
  <externalReferences>
    <externalReference r:id="rId6"/>
  </externalReferences>
  <definedNames>
    <definedName name="_xlnm._FilterDatabase" localSheetId="3" hidden="1">A.Propostas!$A$5:$AM$111</definedName>
    <definedName name="_xlnm._FilterDatabase" localSheetId="2" hidden="1">Controle!$A$2:$AP$710</definedName>
    <definedName name="_xlnm._FilterDatabase" localSheetId="4" hidden="1">Formulas!$A$9:$D$41</definedName>
    <definedName name="_FiltrarBaseDados" localSheetId="3" hidden="1">A.Propostas!$A$5:$AM$111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3" l="1"/>
  <c r="F48" i="3"/>
  <c r="J25" i="3" l="1"/>
  <c r="AK307" i="1" l="1"/>
  <c r="AK303" i="1" l="1"/>
  <c r="AK298" i="1"/>
  <c r="AK292" i="1"/>
  <c r="AK289" i="1"/>
  <c r="AK287" i="1"/>
  <c r="AK283" i="1"/>
  <c r="AK281" i="1"/>
  <c r="AK280" i="1"/>
  <c r="AK279" i="1"/>
  <c r="AK284" i="1"/>
  <c r="AK304" i="1"/>
  <c r="AK309" i="1"/>
  <c r="A8" i="5" l="1"/>
  <c r="E8" i="5" a="1"/>
  <c r="F8" i="5" a="1"/>
  <c r="S7" i="5"/>
  <c r="S6" i="5"/>
  <c r="S5" i="5"/>
  <c r="S3" i="5"/>
  <c r="F7" i="4" a="1"/>
  <c r="A7" i="4"/>
  <c r="D7" i="4"/>
  <c r="E7" i="4" a="1"/>
  <c r="R7" i="4"/>
  <c r="R6" i="4"/>
  <c r="R5" i="4"/>
  <c r="R3" i="4"/>
  <c r="AG24" i="1"/>
  <c r="AK57" i="1"/>
  <c r="AK31" i="1"/>
  <c r="AK53" i="1"/>
  <c r="AK48" i="1" l="1"/>
  <c r="F45" i="3" l="1"/>
  <c r="F35" i="3"/>
  <c r="J31" i="3"/>
  <c r="J27" i="3"/>
  <c r="F27" i="3"/>
  <c r="J26" i="3"/>
  <c r="F25" i="3"/>
  <c r="J24" i="3"/>
  <c r="J23" i="3"/>
  <c r="F22" i="3"/>
  <c r="J16" i="3"/>
  <c r="F16" i="3"/>
  <c r="J15" i="3"/>
  <c r="F15" i="3"/>
  <c r="J14" i="3"/>
  <c r="J10" i="3"/>
  <c r="F10" i="3"/>
  <c r="J9" i="3"/>
  <c r="AK8" i="1"/>
  <c r="O279" i="1"/>
  <c r="H3" i="2"/>
  <c r="H5" i="2"/>
  <c r="H2" i="2"/>
  <c r="D8" i="5" l="1" a="1"/>
  <c r="B7" i="4"/>
  <c r="C7" i="4" s="1"/>
  <c r="R4" i="4"/>
  <c r="S4" i="5"/>
  <c r="B8" i="5"/>
  <c r="C8" i="5" a="1"/>
  <c r="AG519" i="1"/>
  <c r="AG518" i="1"/>
  <c r="AG583" i="1"/>
  <c r="AK556" i="1"/>
  <c r="AK553" i="1"/>
  <c r="AK545" i="1"/>
  <c r="AK542" i="1"/>
  <c r="AK528" i="1"/>
  <c r="AK562" i="1"/>
  <c r="AK569" i="1"/>
  <c r="AK564" i="1"/>
  <c r="AK563" i="1"/>
  <c r="AK560" i="1"/>
  <c r="AK548" i="1"/>
  <c r="AK546" i="1"/>
  <c r="AK544" i="1"/>
  <c r="AK538" i="1"/>
  <c r="AK539" i="1"/>
  <c r="AK537" i="1"/>
  <c r="AJ535" i="1"/>
  <c r="AK534" i="1"/>
  <c r="AK531" i="1"/>
  <c r="AK527" i="1"/>
  <c r="AK526" i="1"/>
  <c r="AK524" i="1"/>
  <c r="AK515" i="1"/>
  <c r="AK521" i="1"/>
  <c r="AK520" i="1"/>
  <c r="AK517" i="1"/>
  <c r="AK516" i="1"/>
  <c r="AK502" i="1"/>
  <c r="AK501" i="1"/>
  <c r="AK500" i="1"/>
  <c r="AK499" i="1"/>
  <c r="AK498" i="1"/>
  <c r="AK525" i="1"/>
  <c r="AK523" i="1"/>
  <c r="AK522" i="1"/>
  <c r="AK514" i="1"/>
  <c r="AK513" i="1"/>
  <c r="AK512" i="1"/>
  <c r="AK511" i="1"/>
  <c r="AK509" i="1"/>
  <c r="AK508" i="1"/>
  <c r="AK507" i="1"/>
  <c r="AK506" i="1"/>
  <c r="AK505" i="1"/>
  <c r="AK503" i="1"/>
  <c r="AG527" i="1"/>
  <c r="F2" i="2"/>
  <c r="Y4" i="1"/>
  <c r="Y5" i="1"/>
  <c r="Y6" i="1"/>
  <c r="Y7" i="1"/>
  <c r="Y9" i="1"/>
  <c r="Y8" i="1"/>
  <c r="Y10" i="1"/>
  <c r="Y11" i="1"/>
  <c r="Y14" i="1"/>
  <c r="Y15" i="1"/>
  <c r="Y12" i="1"/>
  <c r="Y16" i="1"/>
  <c r="Y13" i="1"/>
  <c r="Y21" i="1"/>
  <c r="Y18" i="1"/>
  <c r="Y17" i="1"/>
  <c r="Y19" i="1"/>
  <c r="Y20" i="1"/>
  <c r="Y26" i="1"/>
  <c r="Y24" i="1"/>
  <c r="Y23" i="1"/>
  <c r="Y22" i="1"/>
  <c r="Y27" i="1"/>
  <c r="Y28" i="1"/>
  <c r="Y25" i="1"/>
  <c r="Y32" i="1"/>
  <c r="Y29" i="1"/>
  <c r="Y33" i="1"/>
  <c r="Y30" i="1"/>
  <c r="Y31" i="1"/>
  <c r="Y34" i="1"/>
  <c r="Y35" i="1"/>
  <c r="Y36" i="1"/>
  <c r="Y37" i="1"/>
  <c r="Y40" i="1"/>
  <c r="Y38" i="1"/>
  <c r="Y41" i="1"/>
  <c r="Y39" i="1"/>
  <c r="Y45" i="1"/>
  <c r="Y44" i="1"/>
  <c r="Y42" i="1"/>
  <c r="Y43" i="1"/>
  <c r="Y47" i="1"/>
  <c r="Y46" i="1"/>
  <c r="Y48" i="1"/>
  <c r="Y49" i="1"/>
  <c r="Y52" i="1"/>
  <c r="Y50" i="1"/>
  <c r="Y51" i="1"/>
  <c r="Y53" i="1"/>
  <c r="Y54" i="1"/>
  <c r="Y55" i="1"/>
  <c r="Y56" i="1"/>
  <c r="Y58" i="1"/>
  <c r="Y62" i="1"/>
  <c r="Y59" i="1"/>
  <c r="Y57" i="1"/>
  <c r="Y60" i="1"/>
  <c r="Y66" i="1"/>
  <c r="Y68" i="1"/>
  <c r="Y61" i="1"/>
  <c r="Y63" i="1"/>
  <c r="Y64" i="1"/>
  <c r="Y67" i="1"/>
  <c r="Y69" i="1"/>
  <c r="Y65" i="1"/>
  <c r="Y73" i="1"/>
  <c r="Y71" i="1"/>
  <c r="Y70" i="1"/>
  <c r="Y75" i="1"/>
  <c r="Y76" i="1"/>
  <c r="Y72" i="1"/>
  <c r="Y77" i="1"/>
  <c r="Y74" i="1"/>
  <c r="Y78" i="1"/>
  <c r="Y80" i="1"/>
  <c r="Y79" i="1"/>
  <c r="Y81" i="1"/>
  <c r="Y82" i="1"/>
  <c r="Y83" i="1"/>
  <c r="Y85" i="1"/>
  <c r="Y84" i="1"/>
  <c r="Y87" i="1"/>
  <c r="Y88" i="1"/>
  <c r="Y89" i="1"/>
  <c r="Y86" i="1"/>
  <c r="Y91" i="1"/>
  <c r="Y93" i="1"/>
  <c r="Y92" i="1"/>
  <c r="Y94" i="1"/>
  <c r="Y96" i="1"/>
  <c r="Y98" i="1"/>
  <c r="Y97" i="1"/>
  <c r="Y99" i="1"/>
  <c r="Y100" i="1"/>
  <c r="Y102" i="1"/>
  <c r="Y101" i="1"/>
  <c r="Y103" i="1"/>
  <c r="Y110" i="1"/>
  <c r="Y111" i="1"/>
  <c r="Y105" i="1"/>
  <c r="Y114" i="1"/>
  <c r="Y104" i="1"/>
  <c r="Y108" i="1"/>
  <c r="Y106" i="1"/>
  <c r="Y109" i="1"/>
  <c r="Y112" i="1"/>
  <c r="Y115" i="1"/>
  <c r="Y116" i="1"/>
  <c r="Y113" i="1"/>
  <c r="Y117" i="1"/>
  <c r="Y118" i="1"/>
  <c r="Y119" i="1"/>
  <c r="Y90" i="1"/>
  <c r="Y121" i="1"/>
  <c r="Y123" i="1"/>
  <c r="Y125" i="1"/>
  <c r="Y126" i="1"/>
  <c r="Y127" i="1"/>
  <c r="Y128" i="1"/>
  <c r="Y124" i="1"/>
  <c r="Y130" i="1"/>
  <c r="Y132" i="1"/>
  <c r="Y133" i="1"/>
  <c r="Y131" i="1"/>
  <c r="Y134" i="1"/>
  <c r="Y136" i="1"/>
  <c r="Y138" i="1"/>
  <c r="Y141" i="1"/>
  <c r="Y140" i="1"/>
  <c r="Y144" i="1"/>
  <c r="Y145" i="1"/>
  <c r="Y146" i="1"/>
  <c r="Y147" i="1"/>
  <c r="Y150" i="1"/>
  <c r="Y95" i="1"/>
  <c r="Y107" i="1"/>
  <c r="Y120" i="1"/>
  <c r="Y122" i="1"/>
  <c r="Y129" i="1"/>
  <c r="Y135" i="1"/>
  <c r="Y137" i="1"/>
  <c r="Y139" i="1"/>
  <c r="Y142" i="1"/>
  <c r="Y143" i="1"/>
  <c r="Y148" i="1"/>
  <c r="Y149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3" i="1"/>
  <c r="Y284" i="1"/>
  <c r="Y285" i="1"/>
  <c r="Y287" i="1"/>
  <c r="Y282" i="1"/>
  <c r="Y286" i="1"/>
  <c r="Y288" i="1"/>
  <c r="Y290" i="1"/>
  <c r="Y291" i="1"/>
  <c r="Y292" i="1"/>
  <c r="Y294" i="1"/>
  <c r="Y302" i="1"/>
  <c r="Y312" i="1"/>
  <c r="Y318" i="1"/>
  <c r="Y405" i="1"/>
  <c r="Y289" i="1"/>
  <c r="Y293" i="1"/>
  <c r="Y295" i="1"/>
  <c r="Y296" i="1"/>
  <c r="Y298" i="1"/>
  <c r="Y297" i="1"/>
  <c r="Y300" i="1"/>
  <c r="Y301" i="1"/>
  <c r="Y306" i="1"/>
  <c r="Y305" i="1"/>
  <c r="Y310" i="1"/>
  <c r="Y308" i="1"/>
  <c r="Y309" i="1"/>
  <c r="Y311" i="1"/>
  <c r="Y317" i="1"/>
  <c r="Y325" i="1"/>
  <c r="Y406" i="1"/>
  <c r="Y299" i="1"/>
  <c r="Y303" i="1"/>
  <c r="Y307" i="1"/>
  <c r="Y304" i="1"/>
  <c r="Y314" i="1"/>
  <c r="Y315" i="1"/>
  <c r="Y316" i="1"/>
  <c r="Y321" i="1"/>
  <c r="Y320" i="1"/>
  <c r="Y319" i="1"/>
  <c r="Y322" i="1"/>
  <c r="Y324" i="1"/>
  <c r="Y327" i="1"/>
  <c r="Y326" i="1"/>
  <c r="Y328" i="1"/>
  <c r="Y329" i="1"/>
  <c r="Y331" i="1"/>
  <c r="Y330" i="1"/>
  <c r="Y332" i="1"/>
  <c r="Y333" i="1"/>
  <c r="Y338" i="1"/>
  <c r="Y334" i="1"/>
  <c r="Y336" i="1"/>
  <c r="Y337" i="1"/>
  <c r="Y339" i="1"/>
  <c r="Y335" i="1"/>
  <c r="Y340" i="1"/>
  <c r="Y345" i="1"/>
  <c r="Y344" i="1"/>
  <c r="Y342" i="1"/>
  <c r="Y343" i="1"/>
  <c r="Y341" i="1"/>
  <c r="Y346" i="1"/>
  <c r="Y348" i="1"/>
  <c r="Y352" i="1"/>
  <c r="Y350" i="1"/>
  <c r="Y351" i="1"/>
  <c r="Y353" i="1"/>
  <c r="Y354" i="1"/>
  <c r="Y356" i="1"/>
  <c r="Y349" i="1"/>
  <c r="Y355" i="1"/>
  <c r="Y357" i="1"/>
  <c r="Y359" i="1"/>
  <c r="Y362" i="1"/>
  <c r="Y358" i="1"/>
  <c r="Y360" i="1"/>
  <c r="Y361" i="1"/>
  <c r="Y363" i="1"/>
  <c r="Y364" i="1"/>
  <c r="Y368" i="1"/>
  <c r="Y370" i="1"/>
  <c r="Y365" i="1"/>
  <c r="Y372" i="1"/>
  <c r="Y367" i="1"/>
  <c r="Y373" i="1"/>
  <c r="Y366" i="1"/>
  <c r="Y371" i="1"/>
  <c r="Y376" i="1"/>
  <c r="Y375" i="1"/>
  <c r="Y377" i="1"/>
  <c r="Y369" i="1"/>
  <c r="Y378" i="1"/>
  <c r="Y379" i="1"/>
  <c r="Y374" i="1"/>
  <c r="Y381" i="1"/>
  <c r="Y384" i="1"/>
  <c r="Y383" i="1"/>
  <c r="Y387" i="1"/>
  <c r="Y385" i="1"/>
  <c r="Y386" i="1"/>
  <c r="Y380" i="1"/>
  <c r="Y388" i="1"/>
  <c r="Y389" i="1"/>
  <c r="Y390" i="1"/>
  <c r="Y391" i="1"/>
  <c r="Y392" i="1"/>
  <c r="Y394" i="1"/>
  <c r="Y396" i="1"/>
  <c r="Y395" i="1"/>
  <c r="Y397" i="1"/>
  <c r="Y398" i="1"/>
  <c r="Y393" i="1"/>
  <c r="Y399" i="1"/>
  <c r="Y400" i="1"/>
  <c r="Y401" i="1"/>
  <c r="Y402" i="1"/>
  <c r="Y403" i="1"/>
  <c r="Y404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98" i="1"/>
  <c r="Y499" i="1"/>
  <c r="Y501" i="1"/>
  <c r="Y500" i="1"/>
  <c r="Y502" i="1"/>
  <c r="Y503" i="1"/>
  <c r="Y504" i="1"/>
  <c r="Y505" i="1"/>
  <c r="Y507" i="1"/>
  <c r="Y506" i="1"/>
  <c r="Y508" i="1"/>
  <c r="Y510" i="1"/>
  <c r="Y509" i="1"/>
  <c r="Y511" i="1"/>
  <c r="Y512" i="1"/>
  <c r="Y513" i="1"/>
  <c r="Y514" i="1"/>
  <c r="Y515" i="1"/>
  <c r="Y516" i="1"/>
  <c r="Y517" i="1"/>
  <c r="Y520" i="1"/>
  <c r="Y523" i="1"/>
  <c r="Y521" i="1"/>
  <c r="Y522" i="1"/>
  <c r="Y524" i="1"/>
  <c r="Y313" i="1"/>
  <c r="Y525" i="1"/>
  <c r="Y526" i="1"/>
  <c r="Y527" i="1"/>
  <c r="Y529" i="1"/>
  <c r="Y530" i="1"/>
  <c r="Y528" i="1"/>
  <c r="Y533" i="1"/>
  <c r="Y532" i="1"/>
  <c r="Y531" i="1"/>
  <c r="Y534" i="1"/>
  <c r="Y591" i="1"/>
  <c r="Y540" i="1"/>
  <c r="Y536" i="1"/>
  <c r="Y535" i="1"/>
  <c r="Y537" i="1"/>
  <c r="Y539" i="1"/>
  <c r="Y538" i="1"/>
  <c r="Y541" i="1"/>
  <c r="Y543" i="1"/>
  <c r="Y323" i="1"/>
  <c r="Y544" i="1"/>
  <c r="Y542" i="1"/>
  <c r="Y549" i="1"/>
  <c r="Y547" i="1"/>
  <c r="Y551" i="1"/>
  <c r="Y550" i="1"/>
  <c r="Y546" i="1"/>
  <c r="Y548" i="1"/>
  <c r="Y545" i="1"/>
  <c r="Y553" i="1"/>
  <c r="Y552" i="1"/>
  <c r="Y592" i="1"/>
  <c r="Y554" i="1"/>
  <c r="Y555" i="1"/>
  <c r="Y557" i="1"/>
  <c r="Y556" i="1"/>
  <c r="Y559" i="1"/>
  <c r="Y558" i="1"/>
  <c r="Y561" i="1"/>
  <c r="Y593" i="1"/>
  <c r="Y560" i="1"/>
  <c r="Y563" i="1"/>
  <c r="Y594" i="1"/>
  <c r="Y562" i="1"/>
  <c r="Y564" i="1"/>
  <c r="Y595" i="1"/>
  <c r="Y596" i="1"/>
  <c r="Y598" i="1"/>
  <c r="Y599" i="1"/>
  <c r="Y600" i="1"/>
  <c r="Y597" i="1"/>
  <c r="Y601" i="1"/>
  <c r="Y604" i="1"/>
  <c r="Y602" i="1"/>
  <c r="Y566" i="1"/>
  <c r="Y603" i="1"/>
  <c r="Y565" i="1"/>
  <c r="Y606" i="1"/>
  <c r="Y567" i="1"/>
  <c r="Y605" i="1"/>
  <c r="Y568" i="1"/>
  <c r="Y607" i="1"/>
  <c r="Y608" i="1"/>
  <c r="Y609" i="1"/>
  <c r="Y569" i="1"/>
  <c r="Y610" i="1"/>
  <c r="Y571" i="1"/>
  <c r="Y347" i="1"/>
  <c r="Y570" i="1"/>
  <c r="Y611" i="1"/>
  <c r="Y612" i="1"/>
  <c r="Y572" i="1"/>
  <c r="Y614" i="1"/>
  <c r="Y617" i="1"/>
  <c r="Y613" i="1"/>
  <c r="Y616" i="1"/>
  <c r="Y574" i="1"/>
  <c r="Y575" i="1"/>
  <c r="Y573" i="1"/>
  <c r="Y615" i="1"/>
  <c r="Y620" i="1"/>
  <c r="Y623" i="1"/>
  <c r="Y622" i="1"/>
  <c r="Y618" i="1"/>
  <c r="Y621" i="1"/>
  <c r="Y619" i="1"/>
  <c r="Y626" i="1"/>
  <c r="Y624" i="1"/>
  <c r="Y627" i="1"/>
  <c r="Y576" i="1"/>
  <c r="Y625" i="1"/>
  <c r="Y577" i="1"/>
  <c r="Y631" i="1"/>
  <c r="Y628" i="1"/>
  <c r="Y630" i="1"/>
  <c r="Y634" i="1"/>
  <c r="Y629" i="1"/>
  <c r="Y632" i="1"/>
  <c r="Y633" i="1"/>
  <c r="Y382" i="1"/>
  <c r="Y578" i="1"/>
  <c r="Y635" i="1"/>
  <c r="Y636" i="1"/>
  <c r="Y637" i="1"/>
  <c r="Y580" i="1"/>
  <c r="Y579" i="1"/>
  <c r="Y640" i="1"/>
  <c r="Y638" i="1"/>
  <c r="Y639" i="1"/>
  <c r="Y643" i="1"/>
  <c r="Y642" i="1"/>
  <c r="Y644" i="1"/>
  <c r="Y641" i="1"/>
  <c r="Y645" i="1"/>
  <c r="Y581" i="1"/>
  <c r="Y646" i="1"/>
  <c r="Y647" i="1"/>
  <c r="Y650" i="1"/>
  <c r="Y648" i="1"/>
  <c r="Y649" i="1"/>
  <c r="Y652" i="1"/>
  <c r="Y651" i="1"/>
  <c r="Y656" i="1"/>
  <c r="Y654" i="1"/>
  <c r="Y653" i="1"/>
  <c r="Y582" i="1"/>
  <c r="Y655" i="1"/>
  <c r="Y657" i="1"/>
  <c r="Y658" i="1"/>
  <c r="Y659" i="1"/>
  <c r="Y660" i="1"/>
  <c r="Y584" i="1"/>
  <c r="Y661" i="1"/>
  <c r="Y585" i="1"/>
  <c r="Y662" i="1"/>
  <c r="Y663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586" i="1"/>
  <c r="Y587" i="1"/>
  <c r="Y588" i="1"/>
  <c r="Y589" i="1"/>
  <c r="Y590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3" i="1"/>
  <c r="H4" i="2" l="1"/>
  <c r="H6" i="2" s="1"/>
  <c r="C2" i="2"/>
  <c r="E20" i="2"/>
  <c r="E25" i="2"/>
  <c r="E26" i="2"/>
  <c r="E29" i="2"/>
  <c r="E38" i="2"/>
  <c r="E40" i="2"/>
  <c r="E23" i="2" l="1"/>
  <c r="E12" i="2"/>
  <c r="E32" i="2"/>
  <c r="E34" i="2"/>
  <c r="E21" i="2"/>
  <c r="E31" i="2"/>
  <c r="E30" i="2"/>
  <c r="E39" i="2"/>
  <c r="E41" i="2"/>
  <c r="E27" i="2"/>
  <c r="E15" i="2"/>
  <c r="E11" i="2"/>
  <c r="E33" i="2"/>
  <c r="E17" i="2"/>
  <c r="E10" i="2"/>
  <c r="E18" i="2"/>
  <c r="E35" i="2"/>
  <c r="E19" i="2"/>
  <c r="E37" i="2"/>
  <c r="E36" i="2"/>
  <c r="E28" i="2"/>
  <c r="E13" i="2"/>
  <c r="E22" i="2"/>
  <c r="E24" i="2"/>
  <c r="E16" i="2"/>
  <c r="F5" i="2"/>
  <c r="F4" i="2"/>
  <c r="F3" i="2"/>
  <c r="AG279" i="1" l="1"/>
  <c r="AG280" i="1"/>
  <c r="E14" i="2"/>
  <c r="E42" i="2" s="1"/>
  <c r="T711" i="1"/>
  <c r="U711" i="1"/>
  <c r="V711" i="1"/>
  <c r="W711" i="1"/>
  <c r="X711" i="1"/>
  <c r="B5" i="2"/>
  <c r="B4" i="2"/>
  <c r="B3" i="2"/>
  <c r="B2" i="2"/>
  <c r="B6" i="2" l="1"/>
  <c r="F6" i="2"/>
  <c r="B40" i="2"/>
  <c r="B41" i="2"/>
  <c r="B10" i="2"/>
  <c r="B15" i="2"/>
  <c r="B11" i="2"/>
  <c r="B13" i="2"/>
  <c r="B17" i="2"/>
  <c r="B14" i="2"/>
  <c r="B16" i="2"/>
  <c r="B20" i="2"/>
  <c r="B18" i="2"/>
  <c r="B25" i="2"/>
  <c r="B23" i="2"/>
  <c r="B26" i="2"/>
  <c r="B19" i="2"/>
  <c r="B29" i="2"/>
  <c r="B21" i="2"/>
  <c r="B30" i="2"/>
  <c r="B27" i="2"/>
  <c r="B32" i="2"/>
  <c r="B31" i="2"/>
  <c r="B22" i="2"/>
  <c r="B28" i="2"/>
  <c r="B24" i="2"/>
  <c r="B33" i="2"/>
  <c r="B34" i="2"/>
  <c r="B35" i="2"/>
  <c r="B36" i="2"/>
  <c r="B38" i="2"/>
  <c r="B37" i="2"/>
  <c r="B39" i="2"/>
  <c r="B12" i="2"/>
  <c r="AG41" i="1"/>
  <c r="B42" i="2" l="1"/>
  <c r="AG281" i="1"/>
  <c r="AG3" i="1"/>
  <c r="AG498" i="1"/>
  <c r="AH498" i="1" s="1"/>
  <c r="AG499" i="1"/>
  <c r="AH499" i="1" s="1"/>
  <c r="AG4" i="1"/>
  <c r="AG283" i="1"/>
  <c r="AG284" i="1"/>
  <c r="AG5" i="1"/>
  <c r="AG285" i="1"/>
  <c r="AG287" i="1"/>
  <c r="AG282" i="1"/>
  <c r="AG501" i="1"/>
  <c r="AH501" i="1" s="1"/>
  <c r="AG500" i="1"/>
  <c r="AH500" i="1" s="1"/>
  <c r="AG502" i="1"/>
  <c r="AH502" i="1" s="1"/>
  <c r="AG286" i="1"/>
  <c r="AG6" i="1"/>
  <c r="AG7" i="1"/>
  <c r="AG289" i="1"/>
  <c r="AG288" i="1"/>
  <c r="AG290" i="1"/>
  <c r="AH290" i="1" s="1"/>
  <c r="AG291" i="1"/>
  <c r="AG292" i="1"/>
  <c r="AH292" i="1" s="1"/>
  <c r="AG503" i="1"/>
  <c r="AH503" i="1" s="1"/>
  <c r="AG9" i="1"/>
  <c r="AG8" i="1"/>
  <c r="AH8" i="1" s="1"/>
  <c r="AG293" i="1"/>
  <c r="AG10" i="1"/>
  <c r="AG295" i="1"/>
  <c r="AH295" i="1" s="1"/>
  <c r="AG504" i="1"/>
  <c r="AH504" i="1" s="1"/>
  <c r="AG11" i="1"/>
  <c r="AH11" i="1" s="1"/>
  <c r="AG505" i="1"/>
  <c r="AH505" i="1" s="1"/>
  <c r="AG507" i="1"/>
  <c r="AH507" i="1" s="1"/>
  <c r="AG506" i="1"/>
  <c r="AH506" i="1" s="1"/>
  <c r="AG14" i="1"/>
  <c r="AH14" i="1" s="1"/>
  <c r="AG508" i="1"/>
  <c r="AH508" i="1" s="1"/>
  <c r="AG15" i="1"/>
  <c r="AH15" i="1" s="1"/>
  <c r="AG12" i="1"/>
  <c r="AH12" i="1" s="1"/>
  <c r="AG16" i="1"/>
  <c r="AG13" i="1"/>
  <c r="AG294" i="1"/>
  <c r="AH294" i="1" s="1"/>
  <c r="AG21" i="1"/>
  <c r="AG18" i="1"/>
  <c r="AG17" i="1"/>
  <c r="AH17" i="1" s="1"/>
  <c r="AG19" i="1"/>
  <c r="AH19" i="1" s="1"/>
  <c r="AG296" i="1"/>
  <c r="AH296" i="1" s="1"/>
  <c r="AG298" i="1"/>
  <c r="AH298" i="1" s="1"/>
  <c r="AG20" i="1"/>
  <c r="AH20" i="1" s="1"/>
  <c r="AG297" i="1"/>
  <c r="AH297" i="1" s="1"/>
  <c r="AG26" i="1"/>
  <c r="AH26" i="1" s="1"/>
  <c r="AG300" i="1"/>
  <c r="AH300" i="1" s="1"/>
  <c r="AG510" i="1"/>
  <c r="AH510" i="1" s="1"/>
  <c r="AG23" i="1"/>
  <c r="AG22" i="1"/>
  <c r="AH22" i="1" s="1"/>
  <c r="AG299" i="1"/>
  <c r="AH299" i="1" s="1"/>
  <c r="AG27" i="1"/>
  <c r="AH27" i="1" s="1"/>
  <c r="AG301" i="1"/>
  <c r="AH301" i="1" s="1"/>
  <c r="AG509" i="1"/>
  <c r="AH509" i="1" s="1"/>
  <c r="AG28" i="1"/>
  <c r="AG303" i="1"/>
  <c r="AH303" i="1" s="1"/>
  <c r="AG302" i="1"/>
  <c r="AH302" i="1" s="1"/>
  <c r="AG25" i="1"/>
  <c r="AH25" i="1" s="1"/>
  <c r="AG511" i="1"/>
  <c r="AH511" i="1" s="1"/>
  <c r="AG512" i="1"/>
  <c r="AH512" i="1" s="1"/>
  <c r="AG513" i="1"/>
  <c r="AH513" i="1" s="1"/>
  <c r="AG32" i="1"/>
  <c r="AG29" i="1"/>
  <c r="AH29" i="1" s="1"/>
  <c r="AG33" i="1"/>
  <c r="AH33" i="1" s="1"/>
  <c r="AG30" i="1"/>
  <c r="AG306" i="1"/>
  <c r="AH306" i="1" s="1"/>
  <c r="AG514" i="1"/>
  <c r="AH514" i="1" s="1"/>
  <c r="AG31" i="1"/>
  <c r="AG34" i="1"/>
  <c r="AH34" i="1" s="1"/>
  <c r="AG35" i="1"/>
  <c r="AG305" i="1"/>
  <c r="AH305" i="1" s="1"/>
  <c r="AG36" i="1"/>
  <c r="AG515" i="1"/>
  <c r="AH515" i="1" s="1"/>
  <c r="AG310" i="1"/>
  <c r="AH310" i="1" s="1"/>
  <c r="AG37" i="1"/>
  <c r="AG40" i="1"/>
  <c r="AH40" i="1" s="1"/>
  <c r="AG516" i="1"/>
  <c r="AH516" i="1" s="1"/>
  <c r="AG308" i="1"/>
  <c r="AH308" i="1" s="1"/>
  <c r="AG517" i="1"/>
  <c r="AH517" i="1" s="1"/>
  <c r="AG38" i="1"/>
  <c r="AG307" i="1"/>
  <c r="AH307" i="1" s="1"/>
  <c r="AG520" i="1"/>
  <c r="AH520" i="1" s="1"/>
  <c r="AG39" i="1"/>
  <c r="AG45" i="1"/>
  <c r="AH45" i="1" s="1"/>
  <c r="AG44" i="1"/>
  <c r="AG523" i="1"/>
  <c r="AH523" i="1" s="1"/>
  <c r="AG304" i="1"/>
  <c r="AH304" i="1" s="1"/>
  <c r="AG521" i="1"/>
  <c r="AH521" i="1" s="1"/>
  <c r="AG42" i="1"/>
  <c r="AG43" i="1"/>
  <c r="AG309" i="1"/>
  <c r="AG47" i="1"/>
  <c r="AH47" i="1" s="1"/>
  <c r="AG522" i="1"/>
  <c r="AH522" i="1" s="1"/>
  <c r="AG524" i="1"/>
  <c r="AH524" i="1" s="1"/>
  <c r="AG312" i="1"/>
  <c r="AH312" i="1" s="1"/>
  <c r="AG313" i="1"/>
  <c r="AH313" i="1" s="1"/>
  <c r="AG525" i="1"/>
  <c r="AH525" i="1" s="1"/>
  <c r="AG46" i="1"/>
  <c r="AH46" i="1" s="1"/>
  <c r="AG48" i="1"/>
  <c r="AH48" i="1" s="1"/>
  <c r="AG311" i="1"/>
  <c r="AH311" i="1" s="1"/>
  <c r="AG526" i="1"/>
  <c r="AH526" i="1" s="1"/>
  <c r="AG314" i="1"/>
  <c r="AG318" i="1"/>
  <c r="AG315" i="1"/>
  <c r="AH527" i="1"/>
  <c r="AG316" i="1"/>
  <c r="AG317" i="1"/>
  <c r="AH317" i="1" s="1"/>
  <c r="AG49" i="1"/>
  <c r="AH49" i="1" s="1"/>
  <c r="AG52" i="1"/>
  <c r="AH52" i="1" s="1"/>
  <c r="AG50" i="1"/>
  <c r="AH50" i="1" s="1"/>
  <c r="AG529" i="1"/>
  <c r="AH529" i="1" s="1"/>
  <c r="AG51" i="1"/>
  <c r="AH51" i="1" s="1"/>
  <c r="AG53" i="1"/>
  <c r="AH53" i="1" s="1"/>
  <c r="AG321" i="1"/>
  <c r="AH321" i="1" s="1"/>
  <c r="AG530" i="1"/>
  <c r="AH530" i="1" s="1"/>
  <c r="AG320" i="1"/>
  <c r="AH320" i="1" s="1"/>
  <c r="AG528" i="1"/>
  <c r="AH528" i="1" s="1"/>
  <c r="AG533" i="1"/>
  <c r="AH533" i="1" s="1"/>
  <c r="AG54" i="1"/>
  <c r="AH54" i="1" s="1"/>
  <c r="AG319" i="1"/>
  <c r="AG55" i="1"/>
  <c r="AH55" i="1" s="1"/>
  <c r="AG56" i="1"/>
  <c r="AG532" i="1"/>
  <c r="AH532" i="1" s="1"/>
  <c r="AG58" i="1"/>
  <c r="AH58" i="1" s="1"/>
  <c r="AG531" i="1"/>
  <c r="AG534" i="1"/>
  <c r="AG62" i="1"/>
  <c r="AG59" i="1"/>
  <c r="AG591" i="1"/>
  <c r="AG540" i="1"/>
  <c r="AH540" i="1" s="1"/>
  <c r="AG536" i="1"/>
  <c r="AH536" i="1" s="1"/>
  <c r="AG57" i="1"/>
  <c r="AH57" i="1" s="1"/>
  <c r="AG535" i="1"/>
  <c r="AH535" i="1" s="1"/>
  <c r="AG537" i="1"/>
  <c r="AH537" i="1" s="1"/>
  <c r="AG60" i="1"/>
  <c r="AH60" i="1" s="1"/>
  <c r="AG322" i="1"/>
  <c r="AH322" i="1" s="1"/>
  <c r="AG66" i="1"/>
  <c r="AG68" i="1"/>
  <c r="AH68" i="1" s="1"/>
  <c r="AG61" i="1"/>
  <c r="AG539" i="1"/>
  <c r="AH539" i="1" s="1"/>
  <c r="AG324" i="1"/>
  <c r="AH324" i="1" s="1"/>
  <c r="AG538" i="1"/>
  <c r="AH538" i="1" s="1"/>
  <c r="AG63" i="1"/>
  <c r="AH63" i="1" s="1"/>
  <c r="AG325" i="1"/>
  <c r="AH325" i="1" s="1"/>
  <c r="AG64" i="1"/>
  <c r="AH64" i="1" s="1"/>
  <c r="AG67" i="1"/>
  <c r="AG541" i="1"/>
  <c r="AH541" i="1" s="1"/>
  <c r="AG69" i="1"/>
  <c r="AG327" i="1"/>
  <c r="AH327" i="1" s="1"/>
  <c r="AG543" i="1"/>
  <c r="AH543" i="1" s="1"/>
  <c r="AG65" i="1"/>
  <c r="AG73" i="1"/>
  <c r="AH73" i="1" s="1"/>
  <c r="AG326" i="1"/>
  <c r="AH326" i="1" s="1"/>
  <c r="AG323" i="1"/>
  <c r="AH323" i="1" s="1"/>
  <c r="AG71" i="1"/>
  <c r="AH71" i="1" s="1"/>
  <c r="AG544" i="1"/>
  <c r="AH544" i="1" s="1"/>
  <c r="AG542" i="1"/>
  <c r="AH542" i="1" s="1"/>
  <c r="AG549" i="1"/>
  <c r="AH549" i="1" s="1"/>
  <c r="AG547" i="1"/>
  <c r="AH547" i="1" s="1"/>
  <c r="AG328" i="1"/>
  <c r="AH328" i="1" s="1"/>
  <c r="AG551" i="1"/>
  <c r="AH551" i="1" s="1"/>
  <c r="AG550" i="1"/>
  <c r="AH550" i="1" s="1"/>
  <c r="AG70" i="1"/>
  <c r="AH70" i="1" s="1"/>
  <c r="AG546" i="1"/>
  <c r="AH546" i="1" s="1"/>
  <c r="AG548" i="1"/>
  <c r="AH548" i="1" s="1"/>
  <c r="AG75" i="1"/>
  <c r="AH75" i="1" s="1"/>
  <c r="AG76" i="1"/>
  <c r="AH76" i="1" s="1"/>
  <c r="AG72" i="1"/>
  <c r="AG329" i="1"/>
  <c r="AH329" i="1" s="1"/>
  <c r="AG77" i="1"/>
  <c r="AH77" i="1" s="1"/>
  <c r="AG74" i="1"/>
  <c r="AH74" i="1" s="1"/>
  <c r="AG545" i="1"/>
  <c r="AH545" i="1" s="1"/>
  <c r="AG78" i="1"/>
  <c r="AG553" i="1"/>
  <c r="AH553" i="1" s="1"/>
  <c r="AG552" i="1"/>
  <c r="AH552" i="1" s="1"/>
  <c r="AG80" i="1"/>
  <c r="AG79" i="1"/>
  <c r="AH79" i="1" s="1"/>
  <c r="AG331" i="1"/>
  <c r="AH331" i="1" s="1"/>
  <c r="AG592" i="1"/>
  <c r="AH592" i="1" s="1"/>
  <c r="AG554" i="1"/>
  <c r="AH554" i="1" s="1"/>
  <c r="AG330" i="1"/>
  <c r="AH330" i="1" s="1"/>
  <c r="AG555" i="1"/>
  <c r="AH555" i="1" s="1"/>
  <c r="AG81" i="1"/>
  <c r="AG557" i="1"/>
  <c r="AH557" i="1" s="1"/>
  <c r="AG82" i="1"/>
  <c r="AH82" i="1" s="1"/>
  <c r="AG332" i="1"/>
  <c r="AH332" i="1" s="1"/>
  <c r="AG556" i="1"/>
  <c r="AH556" i="1" s="1"/>
  <c r="AG559" i="1"/>
  <c r="AH559" i="1" s="1"/>
  <c r="AG558" i="1"/>
  <c r="AH558" i="1" s="1"/>
  <c r="AG83" i="1"/>
  <c r="AH83" i="1" s="1"/>
  <c r="AG561" i="1"/>
  <c r="AH561" i="1" s="1"/>
  <c r="AG85" i="1"/>
  <c r="AH85" i="1" s="1"/>
  <c r="AG593" i="1"/>
  <c r="AH593" i="1" s="1"/>
  <c r="AG333" i="1"/>
  <c r="AH333" i="1" s="1"/>
  <c r="AG84" i="1"/>
  <c r="AG560" i="1"/>
  <c r="AH560" i="1" s="1"/>
  <c r="AG563" i="1"/>
  <c r="AH563" i="1" s="1"/>
  <c r="AG594" i="1"/>
  <c r="AH594" i="1" s="1"/>
  <c r="AG562" i="1"/>
  <c r="AH562" i="1" s="1"/>
  <c r="AG87" i="1"/>
  <c r="AH87" i="1" s="1"/>
  <c r="AG88" i="1"/>
  <c r="AG89" i="1"/>
  <c r="AH89" i="1" s="1"/>
  <c r="AG564" i="1"/>
  <c r="AH564" i="1" s="1"/>
  <c r="AG338" i="1"/>
  <c r="AH338" i="1" s="1"/>
  <c r="AG595" i="1"/>
  <c r="AH595" i="1" s="1"/>
  <c r="AG86" i="1"/>
  <c r="AH86" i="1" s="1"/>
  <c r="AG91" i="1"/>
  <c r="AH91" i="1" s="1"/>
  <c r="AG596" i="1"/>
  <c r="AH596" i="1" s="1"/>
  <c r="AG93" i="1"/>
  <c r="AG334" i="1"/>
  <c r="AH334" i="1" s="1"/>
  <c r="AG92" i="1"/>
  <c r="AH92" i="1" s="1"/>
  <c r="AG336" i="1"/>
  <c r="AH336" i="1" s="1"/>
  <c r="AG337" i="1"/>
  <c r="AH337" i="1" s="1"/>
  <c r="AG339" i="1"/>
  <c r="AH339" i="1" s="1"/>
  <c r="AG335" i="1"/>
  <c r="AH335" i="1" s="1"/>
  <c r="AG598" i="1"/>
  <c r="AH598" i="1" s="1"/>
  <c r="AG599" i="1"/>
  <c r="AH599" i="1" s="1"/>
  <c r="AG600" i="1"/>
  <c r="AH600" i="1" s="1"/>
  <c r="AG597" i="1"/>
  <c r="AH597" i="1" s="1"/>
  <c r="AG601" i="1"/>
  <c r="AH601" i="1" s="1"/>
  <c r="AG340" i="1"/>
  <c r="AH340" i="1" s="1"/>
  <c r="AG604" i="1"/>
  <c r="AH604" i="1" s="1"/>
  <c r="AG602" i="1"/>
  <c r="AH602" i="1" s="1"/>
  <c r="AG345" i="1"/>
  <c r="AH345" i="1" s="1"/>
  <c r="AG566" i="1"/>
  <c r="AH566" i="1" s="1"/>
  <c r="AG344" i="1"/>
  <c r="AG342" i="1"/>
  <c r="AH342" i="1" s="1"/>
  <c r="AG343" i="1"/>
  <c r="AH343" i="1" s="1"/>
  <c r="AG341" i="1"/>
  <c r="AH341" i="1" s="1"/>
  <c r="AG346" i="1"/>
  <c r="AH346" i="1" s="1"/>
  <c r="AG603" i="1"/>
  <c r="AH603" i="1" s="1"/>
  <c r="AG565" i="1"/>
  <c r="AH565" i="1" s="1"/>
  <c r="AG606" i="1"/>
  <c r="AH606" i="1" s="1"/>
  <c r="AG567" i="1"/>
  <c r="AH567" i="1" s="1"/>
  <c r="AG348" i="1"/>
  <c r="AH348" i="1" s="1"/>
  <c r="AG94" i="1"/>
  <c r="AH94" i="1" s="1"/>
  <c r="AG352" i="1"/>
  <c r="AH352" i="1" s="1"/>
  <c r="AG605" i="1"/>
  <c r="AH605" i="1" s="1"/>
  <c r="AG350" i="1"/>
  <c r="AH350" i="1" s="1"/>
  <c r="AG351" i="1"/>
  <c r="AH351" i="1" s="1"/>
  <c r="AG568" i="1"/>
  <c r="AH568" i="1" s="1"/>
  <c r="AG607" i="1"/>
  <c r="AH607" i="1" s="1"/>
  <c r="AG608" i="1"/>
  <c r="AH608" i="1" s="1"/>
  <c r="AG353" i="1"/>
  <c r="AH353" i="1" s="1"/>
  <c r="AG354" i="1"/>
  <c r="AH354" i="1" s="1"/>
  <c r="AG609" i="1"/>
  <c r="AH609" i="1" s="1"/>
  <c r="AG569" i="1"/>
  <c r="AH569" i="1" s="1"/>
  <c r="AG356" i="1"/>
  <c r="AH356" i="1" s="1"/>
  <c r="AG349" i="1"/>
  <c r="AG610" i="1"/>
  <c r="AH610" i="1" s="1"/>
  <c r="AG96" i="1"/>
  <c r="AG355" i="1"/>
  <c r="AH355" i="1" s="1"/>
  <c r="AG98" i="1"/>
  <c r="AG97" i="1"/>
  <c r="AH97" i="1" s="1"/>
  <c r="AG99" i="1"/>
  <c r="AG571" i="1"/>
  <c r="AH571" i="1" s="1"/>
  <c r="AG347" i="1"/>
  <c r="AH347" i="1" s="1"/>
  <c r="AG570" i="1"/>
  <c r="AH570" i="1" s="1"/>
  <c r="AG611" i="1"/>
  <c r="AH611" i="1" s="1"/>
  <c r="AG100" i="1"/>
  <c r="AH100" i="1" s="1"/>
  <c r="AG357" i="1"/>
  <c r="AH357" i="1" s="1"/>
  <c r="AG359" i="1"/>
  <c r="AH359" i="1" s="1"/>
  <c r="AG612" i="1"/>
  <c r="AH612" i="1" s="1"/>
  <c r="AG572" i="1"/>
  <c r="AH572" i="1" s="1"/>
  <c r="AG614" i="1"/>
  <c r="AH614" i="1" s="1"/>
  <c r="AG362" i="1"/>
  <c r="AG617" i="1"/>
  <c r="AH617" i="1" s="1"/>
  <c r="AG358" i="1"/>
  <c r="AH358" i="1" s="1"/>
  <c r="AG360" i="1"/>
  <c r="AH360" i="1" s="1"/>
  <c r="AG613" i="1"/>
  <c r="AH613" i="1" s="1"/>
  <c r="AG102" i="1"/>
  <c r="AH102" i="1" s="1"/>
  <c r="AG101" i="1"/>
  <c r="AH101" i="1" s="1"/>
  <c r="AG361" i="1"/>
  <c r="AH361" i="1" s="1"/>
  <c r="AG616" i="1"/>
  <c r="AH616" i="1" s="1"/>
  <c r="AG574" i="1"/>
  <c r="AH574" i="1" s="1"/>
  <c r="AG363" i="1"/>
  <c r="AH363" i="1" s="1"/>
  <c r="AG575" i="1"/>
  <c r="AH575" i="1" s="1"/>
  <c r="AG573" i="1"/>
  <c r="AH573" i="1" s="1"/>
  <c r="AG364" i="1"/>
  <c r="AH364" i="1" s="1"/>
  <c r="AG103" i="1"/>
  <c r="AH103" i="1" s="1"/>
  <c r="AG368" i="1"/>
  <c r="AH368" i="1" s="1"/>
  <c r="AG615" i="1"/>
  <c r="AH615" i="1" s="1"/>
  <c r="AG620" i="1"/>
  <c r="AH620" i="1" s="1"/>
  <c r="AG623" i="1"/>
  <c r="AH623" i="1" s="1"/>
  <c r="AG622" i="1"/>
  <c r="AH622" i="1" s="1"/>
  <c r="AG110" i="1"/>
  <c r="AG618" i="1"/>
  <c r="AH618" i="1" s="1"/>
  <c r="AG621" i="1"/>
  <c r="AH621" i="1" s="1"/>
  <c r="AG111" i="1"/>
  <c r="AH111" i="1" s="1"/>
  <c r="AG370" i="1"/>
  <c r="AH370" i="1" s="1"/>
  <c r="AG619" i="1"/>
  <c r="AH619" i="1" s="1"/>
  <c r="AG365" i="1"/>
  <c r="AH365" i="1" s="1"/>
  <c r="AG372" i="1"/>
  <c r="AH372" i="1" s="1"/>
  <c r="AG105" i="1"/>
  <c r="AH105" i="1" s="1"/>
  <c r="AG367" i="1"/>
  <c r="AH367" i="1" s="1"/>
  <c r="AG373" i="1"/>
  <c r="AH373" i="1" s="1"/>
  <c r="AG114" i="1"/>
  <c r="AH114" i="1" s="1"/>
  <c r="AG104" i="1"/>
  <c r="AH104" i="1" s="1"/>
  <c r="AG108" i="1"/>
  <c r="AH108" i="1" s="1"/>
  <c r="AG106" i="1"/>
  <c r="AH106" i="1" s="1"/>
  <c r="AG626" i="1"/>
  <c r="AH626" i="1" s="1"/>
  <c r="AG624" i="1"/>
  <c r="AH624" i="1" s="1"/>
  <c r="AG366" i="1"/>
  <c r="AH366" i="1" s="1"/>
  <c r="AG109" i="1"/>
  <c r="AH109" i="1" s="1"/>
  <c r="AG371" i="1"/>
  <c r="AH371" i="1" s="1"/>
  <c r="AG627" i="1"/>
  <c r="AH627" i="1" s="1"/>
  <c r="AG112" i="1"/>
  <c r="AG376" i="1"/>
  <c r="AH376" i="1" s="1"/>
  <c r="AG576" i="1"/>
  <c r="AH576" i="1" s="1"/>
  <c r="AG625" i="1"/>
  <c r="AH625" i="1" s="1"/>
  <c r="AG375" i="1"/>
  <c r="AH375" i="1" s="1"/>
  <c r="AG115" i="1"/>
  <c r="AH115" i="1" s="1"/>
  <c r="AG377" i="1"/>
  <c r="AH377" i="1" s="1"/>
  <c r="AG577" i="1"/>
  <c r="AH577" i="1" s="1"/>
  <c r="AG116" i="1"/>
  <c r="AH116" i="1" s="1"/>
  <c r="AG369" i="1"/>
  <c r="AH369" i="1" s="1"/>
  <c r="AG378" i="1"/>
  <c r="AH378" i="1" s="1"/>
  <c r="AG113" i="1"/>
  <c r="AH113" i="1" s="1"/>
  <c r="AG631" i="1"/>
  <c r="AH631" i="1" s="1"/>
  <c r="AG117" i="1"/>
  <c r="AH117" i="1" s="1"/>
  <c r="AG118" i="1"/>
  <c r="AH118" i="1" s="1"/>
  <c r="AG628" i="1"/>
  <c r="AH628" i="1" s="1"/>
  <c r="AG379" i="1"/>
  <c r="AH379" i="1" s="1"/>
  <c r="AG374" i="1"/>
  <c r="AH374" i="1" s="1"/>
  <c r="AG630" i="1"/>
  <c r="AH630" i="1" s="1"/>
  <c r="AG634" i="1"/>
  <c r="AH634" i="1" s="1"/>
  <c r="AG629" i="1"/>
  <c r="AH629" i="1" s="1"/>
  <c r="AG119" i="1"/>
  <c r="AH119" i="1" s="1"/>
  <c r="AG632" i="1"/>
  <c r="AH632" i="1" s="1"/>
  <c r="AG633" i="1"/>
  <c r="AH633" i="1" s="1"/>
  <c r="AG381" i="1"/>
  <c r="AG382" i="1"/>
  <c r="AH382" i="1" s="1"/>
  <c r="AG578" i="1"/>
  <c r="AH578" i="1" s="1"/>
  <c r="AG90" i="1"/>
  <c r="AH90" i="1" s="1"/>
  <c r="AG635" i="1"/>
  <c r="AH635" i="1" s="1"/>
  <c r="AG384" i="1"/>
  <c r="AH384" i="1" s="1"/>
  <c r="AG121" i="1"/>
  <c r="AH121" i="1" s="1"/>
  <c r="AG383" i="1"/>
  <c r="AH383" i="1" s="1"/>
  <c r="AG636" i="1"/>
  <c r="AH636" i="1" s="1"/>
  <c r="AG637" i="1"/>
  <c r="AH637" i="1" s="1"/>
  <c r="AG387" i="1"/>
  <c r="AH387" i="1" s="1"/>
  <c r="AG385" i="1"/>
  <c r="AH385" i="1" s="1"/>
  <c r="AG386" i="1"/>
  <c r="AH386" i="1" s="1"/>
  <c r="AG123" i="1"/>
  <c r="AG580" i="1"/>
  <c r="AH580" i="1" s="1"/>
  <c r="AG380" i="1"/>
  <c r="AH380" i="1" s="1"/>
  <c r="AG125" i="1"/>
  <c r="AH125" i="1" s="1"/>
  <c r="AG388" i="1"/>
  <c r="AH388" i="1" s="1"/>
  <c r="AG579" i="1"/>
  <c r="AH579" i="1" s="1"/>
  <c r="AG640" i="1"/>
  <c r="AH640" i="1" s="1"/>
  <c r="AG126" i="1"/>
  <c r="AH126" i="1" s="1"/>
  <c r="AG127" i="1"/>
  <c r="AH127" i="1" s="1"/>
  <c r="AG638" i="1"/>
  <c r="AH638" i="1" s="1"/>
  <c r="AG639" i="1"/>
  <c r="AH639" i="1" s="1"/>
  <c r="AG643" i="1"/>
  <c r="AH643" i="1" s="1"/>
  <c r="AG389" i="1"/>
  <c r="AH389" i="1" s="1"/>
  <c r="AG642" i="1"/>
  <c r="AH642" i="1" s="1"/>
  <c r="AG644" i="1"/>
  <c r="AH644" i="1" s="1"/>
  <c r="AG390" i="1"/>
  <c r="AH390" i="1" s="1"/>
  <c r="AG391" i="1"/>
  <c r="AH391" i="1" s="1"/>
  <c r="AG392" i="1"/>
  <c r="AH392" i="1" s="1"/>
  <c r="AG394" i="1"/>
  <c r="AH394" i="1" s="1"/>
  <c r="AG396" i="1"/>
  <c r="AH396" i="1" s="1"/>
  <c r="AG128" i="1"/>
  <c r="AH128" i="1" s="1"/>
  <c r="AG641" i="1"/>
  <c r="AH641" i="1" s="1"/>
  <c r="AG645" i="1"/>
  <c r="AH645" i="1" s="1"/>
  <c r="AG395" i="1"/>
  <c r="AH395" i="1" s="1"/>
  <c r="AG124" i="1"/>
  <c r="AH124" i="1" s="1"/>
  <c r="AG130" i="1"/>
  <c r="AH130" i="1" s="1"/>
  <c r="AG581" i="1"/>
  <c r="AH581" i="1" s="1"/>
  <c r="AG397" i="1"/>
  <c r="AH397" i="1" s="1"/>
  <c r="AG398" i="1"/>
  <c r="AH398" i="1" s="1"/>
  <c r="AG393" i="1"/>
  <c r="AH393" i="1" s="1"/>
  <c r="AG399" i="1"/>
  <c r="AH399" i="1" s="1"/>
  <c r="AG646" i="1"/>
  <c r="AH646" i="1" s="1"/>
  <c r="AG647" i="1"/>
  <c r="AH647" i="1" s="1"/>
  <c r="AG132" i="1"/>
  <c r="AH132" i="1" s="1"/>
  <c r="AG650" i="1"/>
  <c r="AH650" i="1" s="1"/>
  <c r="AG648" i="1"/>
  <c r="AH648" i="1" s="1"/>
  <c r="AG649" i="1"/>
  <c r="AH649" i="1" s="1"/>
  <c r="AG133" i="1"/>
  <c r="AH133" i="1" s="1"/>
  <c r="AG131" i="1"/>
  <c r="AH131" i="1" s="1"/>
  <c r="AG134" i="1"/>
  <c r="AH134" i="1" s="1"/>
  <c r="AG652" i="1"/>
  <c r="AH652" i="1" s="1"/>
  <c r="AG651" i="1"/>
  <c r="AH651" i="1" s="1"/>
  <c r="AG656" i="1"/>
  <c r="AH656" i="1" s="1"/>
  <c r="AG136" i="1"/>
  <c r="AH136" i="1" s="1"/>
  <c r="AG654" i="1"/>
  <c r="AH654" i="1" s="1"/>
  <c r="AG653" i="1"/>
  <c r="AH653" i="1" s="1"/>
  <c r="AG582" i="1"/>
  <c r="AH582" i="1" s="1"/>
  <c r="AG655" i="1"/>
  <c r="AH655" i="1" s="1"/>
  <c r="AG138" i="1"/>
  <c r="AH138" i="1" s="1"/>
  <c r="AG400" i="1"/>
  <c r="AH400" i="1" s="1"/>
  <c r="AG141" i="1"/>
  <c r="AH141" i="1" s="1"/>
  <c r="AG140" i="1"/>
  <c r="AH140" i="1" s="1"/>
  <c r="AG401" i="1"/>
  <c r="AG657" i="1"/>
  <c r="AH657" i="1" s="1"/>
  <c r="AG658" i="1"/>
  <c r="AH658" i="1" s="1"/>
  <c r="AG659" i="1"/>
  <c r="AG144" i="1"/>
  <c r="AH144" i="1" s="1"/>
  <c r="AG660" i="1"/>
  <c r="AG584" i="1"/>
  <c r="AH584" i="1" s="1"/>
  <c r="AG661" i="1"/>
  <c r="AG145" i="1"/>
  <c r="AH145" i="1" s="1"/>
  <c r="AG585" i="1"/>
  <c r="AH585" i="1" s="1"/>
  <c r="AG146" i="1"/>
  <c r="AH146" i="1" s="1"/>
  <c r="AG147" i="1"/>
  <c r="AH147" i="1" s="1"/>
  <c r="AG662" i="1"/>
  <c r="AG150" i="1"/>
  <c r="AH150" i="1" s="1"/>
  <c r="AG663" i="1"/>
  <c r="AG402" i="1"/>
  <c r="AH402" i="1" s="1"/>
  <c r="AG403" i="1"/>
  <c r="AH403" i="1" s="1"/>
  <c r="AG404" i="1"/>
  <c r="AH404" i="1" s="1"/>
  <c r="AG95" i="1"/>
  <c r="AH95" i="1" s="1"/>
  <c r="AG107" i="1"/>
  <c r="AH107" i="1" s="1"/>
  <c r="AG120" i="1"/>
  <c r="AH120" i="1" s="1"/>
  <c r="AG122" i="1"/>
  <c r="AH122" i="1" s="1"/>
  <c r="AG129" i="1"/>
  <c r="AH129" i="1" s="1"/>
  <c r="AG135" i="1"/>
  <c r="AH135" i="1" s="1"/>
  <c r="AG137" i="1"/>
  <c r="AH137" i="1" s="1"/>
  <c r="AG139" i="1"/>
  <c r="AH139" i="1" s="1"/>
  <c r="AG142" i="1"/>
  <c r="AH142" i="1" s="1"/>
  <c r="AG143" i="1"/>
  <c r="AH143" i="1" s="1"/>
  <c r="AG148" i="1"/>
  <c r="AH148" i="1" s="1"/>
  <c r="AG149" i="1"/>
  <c r="AH149" i="1" s="1"/>
  <c r="AG586" i="1"/>
  <c r="AH586" i="1" s="1"/>
  <c r="AG587" i="1"/>
  <c r="AH587" i="1" s="1"/>
  <c r="AG405" i="1"/>
  <c r="AH405" i="1" s="1"/>
  <c r="AG407" i="1"/>
  <c r="AH407" i="1" s="1"/>
  <c r="AG408" i="1"/>
  <c r="AH408" i="1" s="1"/>
  <c r="AG409" i="1"/>
  <c r="AH409" i="1" s="1"/>
  <c r="AG410" i="1"/>
  <c r="AH410" i="1" s="1"/>
  <c r="AG411" i="1"/>
  <c r="AH411" i="1" s="1"/>
  <c r="AG412" i="1"/>
  <c r="AH412" i="1" s="1"/>
  <c r="AG413" i="1"/>
  <c r="AH413" i="1" s="1"/>
  <c r="AG414" i="1"/>
  <c r="AH414" i="1" s="1"/>
  <c r="AG415" i="1"/>
  <c r="AG416" i="1"/>
  <c r="AH416" i="1" s="1"/>
  <c r="AG417" i="1"/>
  <c r="AH417" i="1" s="1"/>
  <c r="AG418" i="1"/>
  <c r="AG419" i="1"/>
  <c r="AH419" i="1" s="1"/>
  <c r="AG420" i="1"/>
  <c r="AH420" i="1" s="1"/>
  <c r="AG421" i="1"/>
  <c r="AH421" i="1" s="1"/>
  <c r="AG422" i="1"/>
  <c r="AH422" i="1" s="1"/>
  <c r="AG423" i="1"/>
  <c r="AH423" i="1" s="1"/>
  <c r="AG424" i="1"/>
  <c r="AH424" i="1" s="1"/>
  <c r="AG425" i="1"/>
  <c r="AH425" i="1" s="1"/>
  <c r="AG426" i="1"/>
  <c r="AH426" i="1" s="1"/>
  <c r="AG427" i="1"/>
  <c r="AH427" i="1" s="1"/>
  <c r="AG428" i="1"/>
  <c r="AH428" i="1" s="1"/>
  <c r="AG429" i="1"/>
  <c r="AH429" i="1" s="1"/>
  <c r="AG430" i="1"/>
  <c r="AH430" i="1" s="1"/>
  <c r="AG431" i="1"/>
  <c r="AH431" i="1" s="1"/>
  <c r="AG432" i="1"/>
  <c r="AH432" i="1" s="1"/>
  <c r="AG433" i="1"/>
  <c r="AH433" i="1" s="1"/>
  <c r="AG434" i="1"/>
  <c r="AH434" i="1" s="1"/>
  <c r="AG492" i="1"/>
  <c r="AH492" i="1" s="1"/>
  <c r="AG435" i="1"/>
  <c r="AH435" i="1" s="1"/>
  <c r="AG436" i="1"/>
  <c r="AH436" i="1" s="1"/>
  <c r="AG437" i="1"/>
  <c r="AH437" i="1" s="1"/>
  <c r="AG438" i="1"/>
  <c r="AH438" i="1" s="1"/>
  <c r="AG439" i="1"/>
  <c r="AH439" i="1" s="1"/>
  <c r="AG440" i="1"/>
  <c r="AH440" i="1" s="1"/>
  <c r="AG441" i="1"/>
  <c r="AH441" i="1" s="1"/>
  <c r="AG442" i="1"/>
  <c r="AH442" i="1" s="1"/>
  <c r="AG443" i="1"/>
  <c r="AH443" i="1" s="1"/>
  <c r="AG444" i="1"/>
  <c r="AH444" i="1" s="1"/>
  <c r="AG445" i="1"/>
  <c r="AH445" i="1" s="1"/>
  <c r="AG446" i="1"/>
  <c r="AH446" i="1" s="1"/>
  <c r="AG447" i="1"/>
  <c r="AH447" i="1" s="1"/>
  <c r="AG448" i="1"/>
  <c r="AH448" i="1" s="1"/>
  <c r="AG449" i="1"/>
  <c r="AH449" i="1" s="1"/>
  <c r="AG450" i="1"/>
  <c r="AH450" i="1" s="1"/>
  <c r="AG451" i="1"/>
  <c r="AH451" i="1" s="1"/>
  <c r="AG452" i="1"/>
  <c r="AH452" i="1" s="1"/>
  <c r="AG453" i="1"/>
  <c r="AH453" i="1" s="1"/>
  <c r="AG454" i="1"/>
  <c r="AH454" i="1" s="1"/>
  <c r="AG455" i="1"/>
  <c r="AH455" i="1" s="1"/>
  <c r="AG456" i="1"/>
  <c r="AH456" i="1" s="1"/>
  <c r="AG457" i="1"/>
  <c r="AH457" i="1" s="1"/>
  <c r="AG458" i="1"/>
  <c r="AH458" i="1" s="1"/>
  <c r="AG459" i="1"/>
  <c r="AH459" i="1" s="1"/>
  <c r="AG460" i="1"/>
  <c r="AH460" i="1" s="1"/>
  <c r="AG461" i="1"/>
  <c r="AH461" i="1" s="1"/>
  <c r="AG462" i="1"/>
  <c r="AH462" i="1" s="1"/>
  <c r="AG463" i="1"/>
  <c r="AH463" i="1" s="1"/>
  <c r="AG464" i="1"/>
  <c r="AH464" i="1" s="1"/>
  <c r="AG465" i="1"/>
  <c r="AH465" i="1" s="1"/>
  <c r="AG466" i="1"/>
  <c r="AH466" i="1" s="1"/>
  <c r="AG467" i="1"/>
  <c r="AH467" i="1" s="1"/>
  <c r="AG468" i="1"/>
  <c r="AH468" i="1" s="1"/>
  <c r="AG469" i="1"/>
  <c r="AH469" i="1" s="1"/>
  <c r="AG470" i="1"/>
  <c r="AH470" i="1" s="1"/>
  <c r="AG471" i="1"/>
  <c r="AH471" i="1" s="1"/>
  <c r="AG472" i="1"/>
  <c r="AH472" i="1" s="1"/>
  <c r="AG473" i="1"/>
  <c r="AH473" i="1" s="1"/>
  <c r="AG406" i="1"/>
  <c r="AH406" i="1" s="1"/>
  <c r="AG474" i="1"/>
  <c r="AH474" i="1" s="1"/>
  <c r="AG475" i="1"/>
  <c r="AH475" i="1" s="1"/>
  <c r="AG476" i="1"/>
  <c r="AH476" i="1" s="1"/>
  <c r="AG477" i="1"/>
  <c r="AH477" i="1" s="1"/>
  <c r="AG478" i="1"/>
  <c r="AH478" i="1" s="1"/>
  <c r="AG479" i="1"/>
  <c r="AH479" i="1" s="1"/>
  <c r="AG480" i="1"/>
  <c r="AH480" i="1" s="1"/>
  <c r="AG481" i="1"/>
  <c r="AH481" i="1" s="1"/>
  <c r="AG482" i="1"/>
  <c r="AH482" i="1" s="1"/>
  <c r="AG483" i="1"/>
  <c r="AH483" i="1" s="1"/>
  <c r="AG484" i="1"/>
  <c r="AH484" i="1" s="1"/>
  <c r="AG485" i="1"/>
  <c r="AH485" i="1" s="1"/>
  <c r="AG486" i="1"/>
  <c r="AH486" i="1" s="1"/>
  <c r="AG487" i="1"/>
  <c r="AH487" i="1" s="1"/>
  <c r="AG488" i="1"/>
  <c r="AH488" i="1" s="1"/>
  <c r="AG489" i="1"/>
  <c r="AH489" i="1" s="1"/>
  <c r="AG490" i="1"/>
  <c r="AH490" i="1" s="1"/>
  <c r="AG491" i="1"/>
  <c r="AH491" i="1" s="1"/>
  <c r="AG493" i="1"/>
  <c r="AH493" i="1" s="1"/>
  <c r="AG494" i="1"/>
  <c r="AH494" i="1" s="1"/>
  <c r="AG495" i="1"/>
  <c r="AH495" i="1" s="1"/>
  <c r="AG496" i="1"/>
  <c r="AH496" i="1" s="1"/>
  <c r="AG497" i="1"/>
  <c r="AH497" i="1" s="1"/>
  <c r="AG151" i="1"/>
  <c r="AH151" i="1" s="1"/>
  <c r="AG152" i="1"/>
  <c r="AH152" i="1" s="1"/>
  <c r="AG153" i="1"/>
  <c r="AH153" i="1" s="1"/>
  <c r="AG154" i="1"/>
  <c r="AH154" i="1" s="1"/>
  <c r="AG155" i="1"/>
  <c r="AH155" i="1" s="1"/>
  <c r="AG156" i="1"/>
  <c r="AH156" i="1" s="1"/>
  <c r="AG157" i="1"/>
  <c r="AH157" i="1" s="1"/>
  <c r="AG158" i="1"/>
  <c r="AH158" i="1" s="1"/>
  <c r="AG159" i="1"/>
  <c r="AH159" i="1" s="1"/>
  <c r="AG160" i="1"/>
  <c r="AH160" i="1" s="1"/>
  <c r="AG161" i="1"/>
  <c r="AH161" i="1" s="1"/>
  <c r="AG162" i="1"/>
  <c r="AH162" i="1" s="1"/>
  <c r="AG163" i="1"/>
  <c r="AH163" i="1" s="1"/>
  <c r="AG164" i="1"/>
  <c r="AH164" i="1" s="1"/>
  <c r="AG165" i="1"/>
  <c r="AH165" i="1" s="1"/>
  <c r="AG166" i="1"/>
  <c r="AH166" i="1" s="1"/>
  <c r="AG167" i="1"/>
  <c r="AH167" i="1" s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4" i="1"/>
  <c r="AH174" i="1" s="1"/>
  <c r="AG175" i="1"/>
  <c r="AH175" i="1" s="1"/>
  <c r="AG176" i="1"/>
  <c r="AH176" i="1" s="1"/>
  <c r="AG177" i="1"/>
  <c r="AH177" i="1" s="1"/>
  <c r="AG178" i="1"/>
  <c r="AH178" i="1" s="1"/>
  <c r="AG179" i="1"/>
  <c r="AH179" i="1" s="1"/>
  <c r="AG180" i="1"/>
  <c r="AH180" i="1" s="1"/>
  <c r="AG181" i="1"/>
  <c r="AH181" i="1" s="1"/>
  <c r="AG182" i="1"/>
  <c r="AH182" i="1" s="1"/>
  <c r="AG183" i="1"/>
  <c r="AH183" i="1" s="1"/>
  <c r="AG184" i="1"/>
  <c r="AH184" i="1" s="1"/>
  <c r="AG185" i="1"/>
  <c r="AH185" i="1" s="1"/>
  <c r="AG186" i="1"/>
  <c r="AH186" i="1" s="1"/>
  <c r="AG187" i="1"/>
  <c r="AH187" i="1" s="1"/>
  <c r="AG188" i="1"/>
  <c r="AH188" i="1" s="1"/>
  <c r="AG189" i="1"/>
  <c r="AH189" i="1" s="1"/>
  <c r="AG190" i="1"/>
  <c r="AH190" i="1" s="1"/>
  <c r="AG191" i="1"/>
  <c r="AH191" i="1" s="1"/>
  <c r="AG192" i="1"/>
  <c r="AH192" i="1" s="1"/>
  <c r="AG193" i="1"/>
  <c r="AH193" i="1" s="1"/>
  <c r="AG194" i="1"/>
  <c r="AH194" i="1" s="1"/>
  <c r="AG195" i="1"/>
  <c r="AH195" i="1" s="1"/>
  <c r="AG196" i="1"/>
  <c r="AH196" i="1" s="1"/>
  <c r="AG197" i="1"/>
  <c r="AH197" i="1" s="1"/>
  <c r="AG198" i="1"/>
  <c r="AH198" i="1" s="1"/>
  <c r="AG199" i="1"/>
  <c r="AH199" i="1" s="1"/>
  <c r="AG200" i="1"/>
  <c r="AH200" i="1" s="1"/>
  <c r="AG201" i="1"/>
  <c r="AH201" i="1" s="1"/>
  <c r="AG202" i="1"/>
  <c r="AH202" i="1" s="1"/>
  <c r="AG203" i="1"/>
  <c r="AH203" i="1" s="1"/>
  <c r="AG204" i="1"/>
  <c r="AH204" i="1" s="1"/>
  <c r="AG205" i="1"/>
  <c r="AH205" i="1" s="1"/>
  <c r="AG206" i="1"/>
  <c r="AH206" i="1" s="1"/>
  <c r="AG207" i="1"/>
  <c r="AH207" i="1" s="1"/>
  <c r="AG208" i="1"/>
  <c r="AH208" i="1" s="1"/>
  <c r="AG209" i="1"/>
  <c r="AH209" i="1" s="1"/>
  <c r="AG210" i="1"/>
  <c r="AH210" i="1" s="1"/>
  <c r="AG211" i="1"/>
  <c r="AH211" i="1" s="1"/>
  <c r="AG212" i="1"/>
  <c r="AH212" i="1" s="1"/>
  <c r="AG213" i="1"/>
  <c r="AH213" i="1" s="1"/>
  <c r="AG214" i="1"/>
  <c r="AH214" i="1" s="1"/>
  <c r="AG215" i="1"/>
  <c r="AH215" i="1" s="1"/>
  <c r="AG216" i="1"/>
  <c r="AH216" i="1" s="1"/>
  <c r="AG217" i="1"/>
  <c r="AH217" i="1" s="1"/>
  <c r="AG218" i="1"/>
  <c r="AH218" i="1" s="1"/>
  <c r="AG219" i="1"/>
  <c r="AH219" i="1" s="1"/>
  <c r="AG220" i="1"/>
  <c r="AH220" i="1" s="1"/>
  <c r="AG221" i="1"/>
  <c r="AH221" i="1" s="1"/>
  <c r="AG222" i="1"/>
  <c r="AH222" i="1" s="1"/>
  <c r="AG223" i="1"/>
  <c r="AH223" i="1" s="1"/>
  <c r="AG224" i="1"/>
  <c r="AH224" i="1" s="1"/>
  <c r="AG225" i="1"/>
  <c r="AH225" i="1" s="1"/>
  <c r="AG226" i="1"/>
  <c r="AH226" i="1" s="1"/>
  <c r="AG227" i="1"/>
  <c r="AH227" i="1" s="1"/>
  <c r="AG228" i="1"/>
  <c r="AH228" i="1" s="1"/>
  <c r="AG229" i="1"/>
  <c r="AH229" i="1" s="1"/>
  <c r="AG230" i="1"/>
  <c r="AH230" i="1" s="1"/>
  <c r="AG231" i="1"/>
  <c r="AH231" i="1" s="1"/>
  <c r="AG232" i="1"/>
  <c r="AH232" i="1" s="1"/>
  <c r="AG233" i="1"/>
  <c r="AH233" i="1" s="1"/>
  <c r="AG234" i="1"/>
  <c r="AH234" i="1" s="1"/>
  <c r="AG235" i="1"/>
  <c r="AH235" i="1" s="1"/>
  <c r="AG236" i="1"/>
  <c r="AH236" i="1" s="1"/>
  <c r="AG237" i="1"/>
  <c r="AH237" i="1" s="1"/>
  <c r="AG238" i="1"/>
  <c r="AH238" i="1" s="1"/>
  <c r="AG239" i="1"/>
  <c r="AH239" i="1" s="1"/>
  <c r="AG240" i="1"/>
  <c r="AH240" i="1" s="1"/>
  <c r="AG241" i="1"/>
  <c r="AH241" i="1" s="1"/>
  <c r="AG242" i="1"/>
  <c r="AH242" i="1" s="1"/>
  <c r="AG243" i="1"/>
  <c r="AH243" i="1" s="1"/>
  <c r="AG244" i="1"/>
  <c r="AH244" i="1" s="1"/>
  <c r="AG245" i="1"/>
  <c r="AH245" i="1" s="1"/>
  <c r="AG246" i="1"/>
  <c r="AH246" i="1" s="1"/>
  <c r="AG247" i="1"/>
  <c r="AH247" i="1" s="1"/>
  <c r="AG248" i="1"/>
  <c r="AH248" i="1" s="1"/>
  <c r="AG249" i="1"/>
  <c r="AH249" i="1" s="1"/>
  <c r="AG250" i="1"/>
  <c r="AH250" i="1" s="1"/>
  <c r="AG251" i="1"/>
  <c r="AH251" i="1" s="1"/>
  <c r="AG252" i="1"/>
  <c r="AH252" i="1" s="1"/>
  <c r="AG253" i="1"/>
  <c r="AH253" i="1" s="1"/>
  <c r="AG254" i="1"/>
  <c r="AH254" i="1" s="1"/>
  <c r="AG255" i="1"/>
  <c r="AH255" i="1" s="1"/>
  <c r="AG256" i="1"/>
  <c r="AH256" i="1" s="1"/>
  <c r="AG257" i="1"/>
  <c r="AH257" i="1" s="1"/>
  <c r="AG258" i="1"/>
  <c r="AH258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4" i="1"/>
  <c r="AH264" i="1" s="1"/>
  <c r="AG265" i="1"/>
  <c r="AH265" i="1" s="1"/>
  <c r="AG266" i="1"/>
  <c r="AH266" i="1" s="1"/>
  <c r="AG267" i="1"/>
  <c r="AH267" i="1" s="1"/>
  <c r="AG268" i="1"/>
  <c r="AH268" i="1" s="1"/>
  <c r="AG269" i="1"/>
  <c r="AH269" i="1" s="1"/>
  <c r="AG270" i="1"/>
  <c r="AH270" i="1" s="1"/>
  <c r="AG271" i="1"/>
  <c r="AH271" i="1" s="1"/>
  <c r="AG272" i="1"/>
  <c r="AH272" i="1" s="1"/>
  <c r="AG273" i="1"/>
  <c r="AH273" i="1" s="1"/>
  <c r="AG274" i="1"/>
  <c r="AH274" i="1" s="1"/>
  <c r="AG275" i="1"/>
  <c r="AH275" i="1" s="1"/>
  <c r="AG276" i="1"/>
  <c r="AH276" i="1" s="1"/>
  <c r="AG277" i="1"/>
  <c r="AH277" i="1" s="1"/>
  <c r="AG278" i="1"/>
  <c r="AH278" i="1" s="1"/>
  <c r="AG588" i="1"/>
  <c r="AH588" i="1" s="1"/>
  <c r="AG589" i="1"/>
  <c r="AH589" i="1" s="1"/>
  <c r="AG590" i="1"/>
  <c r="AH590" i="1" s="1"/>
  <c r="AG664" i="1"/>
  <c r="AH664" i="1" s="1"/>
  <c r="AG665" i="1"/>
  <c r="AH665" i="1" s="1"/>
  <c r="AG666" i="1"/>
  <c r="AH666" i="1" s="1"/>
  <c r="AG667" i="1"/>
  <c r="AH667" i="1" s="1"/>
  <c r="AG668" i="1"/>
  <c r="AH668" i="1" s="1"/>
  <c r="AG669" i="1"/>
  <c r="AH669" i="1" s="1"/>
  <c r="AG670" i="1"/>
  <c r="AH670" i="1" s="1"/>
  <c r="AG671" i="1"/>
  <c r="AH671" i="1" s="1"/>
  <c r="AG672" i="1"/>
  <c r="AH672" i="1" s="1"/>
  <c r="AG673" i="1"/>
  <c r="AH673" i="1" s="1"/>
  <c r="AG674" i="1"/>
  <c r="AH674" i="1" s="1"/>
  <c r="AG675" i="1"/>
  <c r="AH675" i="1" s="1"/>
  <c r="AG676" i="1"/>
  <c r="AH676" i="1" s="1"/>
  <c r="AG677" i="1"/>
  <c r="AH677" i="1" s="1"/>
  <c r="AG678" i="1"/>
  <c r="AH678" i="1" s="1"/>
  <c r="AG679" i="1"/>
  <c r="AH679" i="1" s="1"/>
  <c r="AG680" i="1"/>
  <c r="AH680" i="1" s="1"/>
  <c r="AG681" i="1"/>
  <c r="AH681" i="1" s="1"/>
  <c r="AG682" i="1"/>
  <c r="AH682" i="1" s="1"/>
  <c r="AG683" i="1"/>
  <c r="AH683" i="1" s="1"/>
  <c r="AG684" i="1"/>
  <c r="AH684" i="1" s="1"/>
  <c r="AG685" i="1"/>
  <c r="AH685" i="1" s="1"/>
  <c r="AG686" i="1"/>
  <c r="AH686" i="1" s="1"/>
  <c r="AG687" i="1"/>
  <c r="AH687" i="1" s="1"/>
  <c r="AG688" i="1"/>
  <c r="AH688" i="1" s="1"/>
  <c r="AG689" i="1"/>
  <c r="AH689" i="1" s="1"/>
  <c r="AG690" i="1"/>
  <c r="AH690" i="1" s="1"/>
  <c r="AG691" i="1"/>
  <c r="AH691" i="1" s="1"/>
  <c r="AG692" i="1"/>
  <c r="AH692" i="1" s="1"/>
  <c r="AG693" i="1"/>
  <c r="AH693" i="1" s="1"/>
  <c r="AG694" i="1"/>
  <c r="AH694" i="1" s="1"/>
  <c r="AG695" i="1"/>
  <c r="AH695" i="1" s="1"/>
  <c r="AG696" i="1"/>
  <c r="AH696" i="1" s="1"/>
  <c r="AG697" i="1"/>
  <c r="AH697" i="1" s="1"/>
  <c r="AG698" i="1"/>
  <c r="AH698" i="1" s="1"/>
  <c r="AG699" i="1"/>
  <c r="AH699" i="1" s="1"/>
  <c r="AG700" i="1"/>
  <c r="AH700" i="1" s="1"/>
  <c r="AG701" i="1"/>
  <c r="AH701" i="1" s="1"/>
  <c r="AG702" i="1"/>
  <c r="AH702" i="1" s="1"/>
  <c r="AG703" i="1"/>
  <c r="AH703" i="1" s="1"/>
  <c r="AG704" i="1"/>
  <c r="AH704" i="1" s="1"/>
  <c r="AG705" i="1"/>
  <c r="AH705" i="1" s="1"/>
  <c r="AG706" i="1"/>
  <c r="AH706" i="1" s="1"/>
  <c r="AG707" i="1"/>
  <c r="AH707" i="1" s="1"/>
  <c r="AG708" i="1"/>
  <c r="AH708" i="1" s="1"/>
  <c r="AG709" i="1"/>
  <c r="AH709" i="1" s="1"/>
  <c r="AG710" i="1"/>
  <c r="AH710" i="1" s="1"/>
  <c r="AH661" i="1" l="1"/>
  <c r="AH112" i="1"/>
  <c r="AH28" i="1"/>
  <c r="AH415" i="1"/>
  <c r="AH660" i="1"/>
  <c r="AH344" i="1"/>
  <c r="AH35" i="1"/>
  <c r="AH418" i="1"/>
  <c r="AH280" i="1"/>
  <c r="AH3" i="1"/>
  <c r="AH281" i="1"/>
  <c r="AH282" i="1"/>
  <c r="AH4" i="1"/>
  <c r="AH283" i="1"/>
  <c r="AH284" i="1"/>
  <c r="AH5" i="1"/>
  <c r="AH285" i="1"/>
  <c r="AH286" i="1"/>
  <c r="AH287" i="1"/>
  <c r="AH7" i="1"/>
  <c r="AH288" i="1"/>
  <c r="AH289" i="1"/>
  <c r="AH291" i="1"/>
  <c r="AH9" i="1"/>
  <c r="C25" i="2"/>
  <c r="AH10" i="1"/>
  <c r="AH293" i="1"/>
  <c r="AH13" i="1"/>
  <c r="AH16" i="1"/>
  <c r="AH18" i="1"/>
  <c r="AH21" i="1"/>
  <c r="AH23" i="1"/>
  <c r="AH24" i="1"/>
  <c r="AH30" i="1"/>
  <c r="AH31" i="1"/>
  <c r="AH32" i="1"/>
  <c r="AH36" i="1"/>
  <c r="AH37" i="1"/>
  <c r="AH38" i="1"/>
  <c r="AH39" i="1"/>
  <c r="AH309" i="1"/>
  <c r="AH41" i="1"/>
  <c r="C21" i="2"/>
  <c r="AH43" i="1"/>
  <c r="AH44" i="1"/>
  <c r="C30" i="2"/>
  <c r="AH314" i="1"/>
  <c r="AH315" i="1"/>
  <c r="AH316" i="1"/>
  <c r="AH318" i="1"/>
  <c r="C31" i="2"/>
  <c r="AH319" i="1"/>
  <c r="AH531" i="1"/>
  <c r="AH56" i="1"/>
  <c r="AH534" i="1"/>
  <c r="AH59" i="1"/>
  <c r="AH591" i="1"/>
  <c r="AH61" i="1"/>
  <c r="AH62" i="1"/>
  <c r="AH65" i="1"/>
  <c r="AH66" i="1"/>
  <c r="AH67" i="1"/>
  <c r="AH69" i="1"/>
  <c r="AH72" i="1"/>
  <c r="AH78" i="1"/>
  <c r="AH80" i="1"/>
  <c r="AH81" i="1"/>
  <c r="AH84" i="1"/>
  <c r="AH88" i="1"/>
  <c r="AH93" i="1"/>
  <c r="AH349" i="1"/>
  <c r="AH96" i="1"/>
  <c r="AH98" i="1"/>
  <c r="AH99" i="1"/>
  <c r="AH362" i="1"/>
  <c r="AH110" i="1"/>
  <c r="C41" i="2"/>
  <c r="AH381" i="1"/>
  <c r="AH123" i="1"/>
  <c r="AH401" i="1"/>
  <c r="AH659" i="1"/>
  <c r="AH662" i="1"/>
  <c r="AH663" i="1"/>
  <c r="D5" i="2" l="1"/>
  <c r="D4" i="2"/>
  <c r="C35" i="2"/>
  <c r="C33" i="2"/>
  <c r="C39" i="2"/>
  <c r="C20" i="2"/>
  <c r="C18" i="2"/>
  <c r="C15" i="2"/>
  <c r="AH279" i="1"/>
  <c r="D2" i="2" s="1"/>
  <c r="C23" i="2"/>
  <c r="C11" i="2"/>
  <c r="C12" i="2"/>
  <c r="C17" i="2"/>
  <c r="C37" i="2"/>
  <c r="C38" i="2"/>
  <c r="C40" i="2"/>
  <c r="C29" i="2"/>
  <c r="C27" i="2"/>
  <c r="C10" i="2"/>
  <c r="C22" i="2"/>
  <c r="C19" i="2"/>
  <c r="C36" i="2"/>
  <c r="C34" i="2"/>
  <c r="C32" i="2"/>
  <c r="C14" i="2"/>
  <c r="C16" i="2"/>
  <c r="C24" i="2"/>
  <c r="C28" i="2"/>
  <c r="C26" i="2"/>
  <c r="C13" i="2"/>
  <c r="AH42" i="1"/>
  <c r="AH6" i="1"/>
  <c r="C5" i="2"/>
  <c r="C4" i="2"/>
  <c r="C3" i="2"/>
  <c r="Y711" i="1"/>
  <c r="E5" i="2" l="1"/>
  <c r="E2" i="2"/>
  <c r="E4" i="2"/>
  <c r="D3" i="2"/>
  <c r="E3" i="2" s="1"/>
  <c r="D38" i="2"/>
  <c r="D30" i="2"/>
  <c r="D41" i="2"/>
  <c r="D35" i="2"/>
  <c r="D33" i="2"/>
  <c r="C6" i="2"/>
  <c r="D17" i="2"/>
  <c r="D12" i="2"/>
  <c r="D11" i="2"/>
  <c r="D36" i="2"/>
  <c r="D21" i="2"/>
  <c r="D26" i="2"/>
  <c r="D19" i="2"/>
  <c r="D31" i="2"/>
  <c r="D22" i="2"/>
  <c r="D23" i="2"/>
  <c r="D20" i="2"/>
  <c r="D32" i="2"/>
  <c r="D34" i="2"/>
  <c r="D13" i="2"/>
  <c r="D28" i="2"/>
  <c r="D10" i="2"/>
  <c r="C42" i="2"/>
  <c r="D24" i="2"/>
  <c r="D27" i="2"/>
  <c r="D15" i="2"/>
  <c r="D16" i="2"/>
  <c r="D29" i="2"/>
  <c r="D18" i="2"/>
  <c r="D40" i="2"/>
  <c r="D25" i="2"/>
  <c r="D14" i="2"/>
  <c r="D37" i="2"/>
  <c r="D39" i="2"/>
  <c r="D6" i="2" l="1"/>
  <c r="E6" i="2" s="1"/>
  <c r="D42" i="2"/>
  <c r="F7" i="4"/>
  <c r="E7" i="4"/>
  <c r="F8" i="5"/>
  <c r="E8" i="5"/>
  <c r="D8" i="5"/>
  <c r="C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Vera Rodrigues</author>
    <author>Eliana Santana de Oliveira Augusto</author>
    <author>Andrea Gomes Nunes</author>
    <author>tc={33C328EB-7B56-47E9-A787-F392CA006902}</author>
    <author>tc={C01DA7E7-015C-4D77-8E50-06C386F35AF3}</author>
    <author>Eric da Silva Maia</author>
    <author>tc={67F1D739-35C9-474A-BA1D-BDA6C83EF4A4}</author>
    <author>tc={9641E501-4748-445C-B1A5-D0E296582A82}</author>
    <author>Willian Avigni Matos</author>
  </authors>
  <commentList>
    <comment ref="A19" authorId="0" shapeId="0" xr:uid="{994DCD5E-0AD4-4296-86B9-453F4DE2895C}">
      <text>
        <r>
          <rPr>
            <b/>
            <sz val="9"/>
            <color indexed="81"/>
            <rFont val="Segoe UI"/>
            <family val="2"/>
          </rPr>
          <t>Vera Rodrigues:</t>
        </r>
        <r>
          <rPr>
            <sz val="9"/>
            <color indexed="81"/>
            <rFont val="Segoe UI"/>
            <family val="2"/>
          </rPr>
          <t xml:space="preserve">
ALTERAR LARGURA DA 1100 MM</t>
        </r>
      </text>
    </comment>
    <comment ref="A65" authorId="1" shapeId="0" xr:uid="{7E7FBB1A-6BD3-415A-ACBC-ED8B5DE626C7}">
      <text>
        <r>
          <rPr>
            <b/>
            <sz val="9"/>
            <color indexed="81"/>
            <rFont val="Segoe UI"/>
            <family val="2"/>
          </rPr>
          <t>Eliana Santana de Oliveira Augusto:</t>
        </r>
        <r>
          <rPr>
            <sz val="9"/>
            <color indexed="81"/>
            <rFont val="Segoe UI"/>
            <family val="2"/>
          </rPr>
          <t xml:space="preserve">
Estoque na bobina BOE0100VR1350</t>
        </r>
      </text>
    </comment>
    <comment ref="A115" authorId="0" shapeId="0" xr:uid="{98362BDC-788A-4EBA-A23D-317A2A96A3F8}">
      <text>
        <r>
          <rPr>
            <b/>
            <sz val="9"/>
            <color indexed="81"/>
            <rFont val="Segoe UI"/>
            <family val="2"/>
          </rPr>
          <t>Vera Rodrigues:</t>
        </r>
        <r>
          <rPr>
            <sz val="9"/>
            <color indexed="81"/>
            <rFont val="Segoe UI"/>
            <family val="2"/>
          </rPr>
          <t xml:space="preserve">
ALTERAR LARGURA
1050 mm</t>
        </r>
      </text>
    </comment>
    <comment ref="A279" authorId="2" shapeId="0" xr:uid="{A72B81E5-7B96-4710-9721-6E62A1009DCE}">
      <text>
        <r>
          <rPr>
            <b/>
            <sz val="9"/>
            <color indexed="81"/>
            <rFont val="Segoe UI"/>
            <family val="2"/>
          </rPr>
          <t>Prorrogar Gerdau de setembro e outubro para novembro - com isso utilizarmos a carência da Usiminas
e o pedido de novembro da Gerdau para Dezembro</t>
        </r>
      </text>
    </comment>
    <comment ref="A280" authorId="2" shapeId="0" xr:uid="{888FE499-2A16-4AE6-A52D-1E83CDBC1119}">
      <text>
        <r>
          <rPr>
            <b/>
            <sz val="9"/>
            <color indexed="81"/>
            <rFont val="Segoe UI"/>
            <family val="2"/>
          </rPr>
          <t>Prorrogar Gerdau para janeiro</t>
        </r>
      </text>
    </comment>
    <comment ref="L283" authorId="2" shapeId="0" xr:uid="{BDBA9F8B-89B6-401A-A2E2-B08A50B28312}">
      <text>
        <r>
          <rPr>
            <b/>
            <sz val="9"/>
            <color indexed="81"/>
            <rFont val="Segoe UI"/>
            <family val="2"/>
          </rPr>
          <t xml:space="preserve">1 bobina sempre com a Usiminas devido atendimento Scania
</t>
        </r>
      </text>
    </comment>
    <comment ref="A285" authorId="2" shapeId="0" xr:uid="{488320E9-7629-4A77-85B5-43A94A1A1654}">
      <text>
        <r>
          <rPr>
            <b/>
            <sz val="9"/>
            <color indexed="81"/>
            <rFont val="Segoe UI"/>
            <family val="2"/>
          </rPr>
          <t>Andrea Gomes Nunes
Pedido colocado com antecedência devido a manutenção preventiva - Solicitado pela AMT</t>
        </r>
      </text>
    </comment>
    <comment ref="A289" authorId="2" shapeId="0" xr:uid="{7A2E9404-EA9D-4751-94A5-A4A3DD4B3CC2}">
      <text>
        <r>
          <rPr>
            <b/>
            <sz val="9"/>
            <color indexed="81"/>
            <rFont val="Segoe UI"/>
            <family val="2"/>
          </rPr>
          <t>Andrea Gomes Nunes:</t>
        </r>
        <r>
          <rPr>
            <sz val="9"/>
            <color indexed="81"/>
            <rFont val="Segoe UI"/>
            <family val="2"/>
          </rPr>
          <t xml:space="preserve">
Pedido colocado com antecedência devido a manutenção preventiva - Solicitado pela AMT</t>
        </r>
      </text>
    </comment>
    <comment ref="A555" authorId="3" shapeId="0" xr:uid="{33C328EB-7B56-47E9-A787-F392CA0069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Utilizando material 1,60x417</t>
      </text>
    </comment>
    <comment ref="A564" authorId="4" shapeId="0" xr:uid="{C01DA7E7-015C-4D77-8E50-06C386F35A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Temos na Fitametal 
BOZ0070TJ1350 - 10249kg</t>
      </text>
    </comment>
    <comment ref="A567" authorId="5" shapeId="0" xr:uid="{F48A7984-0D9C-4432-B9BE-694F6421FCBB}">
      <text>
        <r>
          <rPr>
            <b/>
            <sz val="9"/>
            <color indexed="81"/>
            <rFont val="Segoe UI"/>
            <family val="2"/>
          </rPr>
          <t>Eric da Silva Maia:</t>
        </r>
        <r>
          <rPr>
            <sz val="9"/>
            <color indexed="81"/>
            <rFont val="Segoe UI"/>
            <family val="2"/>
          </rPr>
          <t xml:space="preserve">
Baixissimo Volume</t>
        </r>
      </text>
    </comment>
    <comment ref="A574" authorId="6" shapeId="0" xr:uid="{67F1D739-35C9-474A-BA1D-BDA6C83EF4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CORTAR SLEETER DE MATERIAL SEMELHANTE DEVIDO AO BAIXO VOLUME TEMOS O MESMO MATERIAL COM OUTRAS LARGURAS</t>
      </text>
    </comment>
    <comment ref="A575" authorId="7" shapeId="0" xr:uid="{9641E501-4748-445C-B1A5-D0E296582A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Usar material BOZ0060HU1000 como material alternativo</t>
      </text>
    </comment>
    <comment ref="A588" authorId="8" shapeId="0" xr:uid="{6EE0468F-8601-4EB2-8960-B5A6BFCBD380}">
      <text>
        <r>
          <rPr>
            <b/>
            <sz val="9"/>
            <color indexed="81"/>
            <rFont val="Segoe UI"/>
            <family val="2"/>
          </rPr>
          <t>Willian Avigni Matos:</t>
        </r>
        <r>
          <rPr>
            <sz val="9"/>
            <color indexed="81"/>
            <rFont val="Segoe UI"/>
            <family val="2"/>
          </rPr>
          <t xml:space="preserve">
verificar fisico gm197ac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Gomes Nunes</author>
  </authors>
  <commentList>
    <comment ref="A13" authorId="0" shapeId="0" xr:uid="{2397B2ED-3AF0-41CC-985B-EBBBD65F2489}">
      <text>
        <r>
          <rPr>
            <b/>
            <sz val="9"/>
            <color indexed="81"/>
            <rFont val="Segoe UI"/>
            <family val="2"/>
          </rPr>
          <t xml:space="preserve">1 bobina sempre com a Usiminas devido atendimento Scania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<sst xmlns="http://schemas.openxmlformats.org/spreadsheetml/2006/main" count="10569" uniqueCount="1866">
  <si>
    <t>Insights executivos — Propostas de Redução</t>
  </si>
  <si>
    <t>Origem: A.Propostas (103 propostas úteis, analisadas em 28/07/2026)</t>
  </si>
  <si>
    <t>Status</t>
  </si>
  <si>
    <t>Qtd.</t>
  </si>
  <si>
    <t>Potencial</t>
  </si>
  <si>
    <t>Checagem</t>
  </si>
  <si>
    <t>Valor</t>
  </si>
  <si>
    <t>A base monitora oportunidades de redução anual por código de material, planta, fonte/usina e status de avanço com Compras/Usina. O potencial total é R$ 3.380.894,04, com concentração relevante: os 5 maiores itens representam 28,5% do valor e o item líder sozinho representa 6,6%. JARINU concentra 56,0% do potencial total, enquanto S.U é a fonte/usina mais relevante por valor. O gargalo de execução está nas pendências: 16 itens somam R$ 903.321,85 e devem ser tratados antes de novas análises menos relevantes.</t>
  </si>
  <si>
    <t>SIM</t>
  </si>
  <si>
    <t>Linhas origem</t>
  </si>
  <si>
    <t>NÃO</t>
  </si>
  <si>
    <t>Potencial origem</t>
  </si>
  <si>
    <t>N/A</t>
  </si>
  <si>
    <t>KAIZEN PLANO DE CORTE</t>
  </si>
  <si>
    <t>Propostas</t>
  </si>
  <si>
    <t>Potencial total</t>
  </si>
  <si>
    <t>Potencial desbloqueável</t>
  </si>
  <si>
    <t>Top 5 / total</t>
  </si>
  <si>
    <t>Pendências</t>
  </si>
  <si>
    <t>Inviáveis</t>
  </si>
  <si>
    <t>Conclusão inicial</t>
  </si>
  <si>
    <t>KAIZEN</t>
  </si>
  <si>
    <t>Atuar primeiro nos itens de maior valor e nos 16 casos pendentes pode acelerar a captura de R$ 903.321,85; a revisão dos 6 inviáveis evita esforço em R$ 438.060,56 com baixa probabilidade de captura.</t>
  </si>
  <si>
    <t>Planta</t>
  </si>
  <si>
    <t>JARINU</t>
  </si>
  <si>
    <t>Principais oportunidades e concentração</t>
  </si>
  <si>
    <t>Resumo por planta</t>
  </si>
  <si>
    <t>FERRAZ</t>
  </si>
  <si>
    <t>Rank</t>
  </si>
  <si>
    <t>Código</t>
  </si>
  <si>
    <t>Fonte</t>
  </si>
  <si>
    <t>% acumulado</t>
  </si>
  <si>
    <t>% total</t>
  </si>
  <si>
    <t>Ticket médio</t>
  </si>
  <si>
    <t>DIADEMA</t>
  </si>
  <si>
    <t>BOQ0800IS1200</t>
  </si>
  <si>
    <t>ARCELOR</t>
  </si>
  <si>
    <t>SÃO LEPOLDO</t>
  </si>
  <si>
    <t>BOQ1225BA1250</t>
  </si>
  <si>
    <t>USIMINAS</t>
  </si>
  <si>
    <t>BOQ1175AY1050</t>
  </si>
  <si>
    <t>SLZ0180SI0366</t>
  </si>
  <si>
    <t>S.U</t>
  </si>
  <si>
    <t>Fonte/usina</t>
  </si>
  <si>
    <t>BDZ0140SI03120950</t>
  </si>
  <si>
    <t>GONVARRI</t>
  </si>
  <si>
    <t>CHZ0180GZ05270841</t>
  </si>
  <si>
    <t>BOQ0975AB1250</t>
  </si>
  <si>
    <t>BOQ0575LA1150</t>
  </si>
  <si>
    <t>DE: USIMINAS PARA: ARCELOR</t>
  </si>
  <si>
    <t>SLZ0180SI0325</t>
  </si>
  <si>
    <t>CSN</t>
  </si>
  <si>
    <t>BDZ0140SI05750517</t>
  </si>
  <si>
    <t>FERROLENE</t>
  </si>
  <si>
    <t>VW - SU</t>
  </si>
  <si>
    <t>Alertas e ações recomendadas</t>
  </si>
  <si>
    <t>Top fontes/usinas por valor</t>
  </si>
  <si>
    <t>Tema</t>
  </si>
  <si>
    <t>Valor associado</t>
  </si>
  <si>
    <t>Insight / ação</t>
  </si>
  <si>
    <t>Pendências operacionais</t>
  </si>
  <si>
    <t>Destravar plano de corte, cadastro, usina ou programação antes de abrir novas frentes.</t>
  </si>
  <si>
    <t>Itens inviáveis / declinados</t>
  </si>
  <si>
    <t>Separar como baixo potencial de captura ou reavaliar somente se houver nova contraproposta técnica.</t>
  </si>
  <si>
    <t>Sem redução potencial preenchida</t>
  </si>
  <si>
    <t>Completar valores para não subestimar o pipeline ou gerar ranking distorcido.</t>
  </si>
  <si>
    <t>Kaizen / plano de corte</t>
  </si>
  <si>
    <t>Acompanhar como melhoria operacional; pode depender mais de engenharia/logística que de negociação.</t>
  </si>
  <si>
    <t>Itens que merecem follow-up imediato</t>
  </si>
  <si>
    <t>Motivo</t>
  </si>
  <si>
    <t>Pendente em etapa operacional</t>
  </si>
  <si>
    <t>SLZ0180SI0466</t>
  </si>
  <si>
    <t>Pendente e requer plano de corte / validação operacional</t>
  </si>
  <si>
    <t>BOF0100TR1350</t>
  </si>
  <si>
    <t>SLZ0150SI0725</t>
  </si>
  <si>
    <t>BOZ0120UI0950</t>
  </si>
  <si>
    <t>BOZ0120QH0900</t>
  </si>
  <si>
    <t>Análise de Propostas de Redução</t>
  </si>
  <si>
    <t>Base: A.Propostas, 103 propostas analisadas até 28/07/2026</t>
  </si>
  <si>
    <t>Checks</t>
  </si>
  <si>
    <t>A planilha reúne propostas de redução potencial anual por material, com consumo médio, planta, fonte/usina e status de avanço com Compras/Usina. O potencial anual identificado soma R$ 3.380.894,04; os 5 maiores itens concentram 28,5% desse valor, indicando forte concentração do impacto. JARINU lidera o potencial por planta e S.U concentra o maior valor por fonte/usina. Há 0 propostas com prazo vencido sem retorno final registrado e 16 itens com pendências operacionais.</t>
  </si>
  <si>
    <t>Total linhas</t>
  </si>
  <si>
    <t>Total potencial</t>
  </si>
  <si>
    <t>Potencial anual</t>
  </si>
  <si>
    <t>Média por proposta</t>
  </si>
  <si>
    <t>Enviadas à usina</t>
  </si>
  <si>
    <t>Prazos vencidos</t>
  </si>
  <si>
    <t>Leitura rápida</t>
  </si>
  <si>
    <t>Priorizar validação dos top itens e destravar pendências de plano/cadastro/programação: isso protege R$ 2.942.833,48 em oportunidades economicamente relevantes.</t>
  </si>
  <si>
    <t>Top 10 oportunidades por redução potencial</t>
  </si>
  <si>
    <t>Redução potencial</t>
  </si>
  <si>
    <t>Histórico / observação</t>
  </si>
  <si>
    <t>% do total</t>
  </si>
  <si>
    <t>INFOQM A SER LIBERADO. PROGRAMAÇÃO ENVIADA</t>
  </si>
  <si>
    <t>ALTERAÇÃO DE PART NUMBER (ESP.) CONSULTA REVISADA 2601342 TOLERANCIA ESP.</t>
  </si>
  <si>
    <t>ALTERAÇÃO DE PART NUMBER (ESP.)</t>
  </si>
  <si>
    <t>ITEM ENVIADO NO PRIMEIRO PACOTE DE SOLICITAÇÕES DE MODIFICAÇÕES</t>
  </si>
  <si>
    <t>CRIAÇÃO DE CÓDIGO EM ANDAMENTO</t>
  </si>
  <si>
    <t>ENVIADO CONFIRMAÇÃO PARA ENG.</t>
  </si>
  <si>
    <t>Alertas operacionais</t>
  </si>
  <si>
    <t>Top fontes/usinas por potencial</t>
  </si>
  <si>
    <t>Tipo</t>
  </si>
  <si>
    <t>Potencial associado</t>
  </si>
  <si>
    <t>Comentário</t>
  </si>
  <si>
    <t>Prazo de usina/cadastro/recebimento anterior a 28/07/2026 sem devolução válida.</t>
  </si>
  <si>
    <t>Pendências de plano/cadastro/programação</t>
  </si>
  <si>
    <t>Itens marcados como PENDENTE em plano, usina, cadastro ou programação.</t>
  </si>
  <si>
    <t>Itens inviáveis/contra-proposta declinada</t>
  </si>
  <si>
    <t>Histórico ou retorno indica inviabilidade metalúrgica/técnica.</t>
  </si>
  <si>
    <t>Kaizen/plano de corte</t>
  </si>
  <si>
    <t>Itens classificados como plano de corte, normalmente dependentes de validação operacional.</t>
  </si>
  <si>
    <t>Itens críticos para follow-up</t>
  </si>
  <si>
    <t>Prazo/retorno</t>
  </si>
  <si>
    <t>2026-03-27T00:00:00.000Z</t>
  </si>
  <si>
    <t>Pendência operacional</t>
  </si>
  <si>
    <t>GONVARRI FERROLENE</t>
  </si>
  <si>
    <t>2026-06-20T00:00:00.000Z</t>
  </si>
  <si>
    <t>2026-04-06T00:00:00.000Z</t>
  </si>
  <si>
    <t>2026-08-03T00:00:00.000Z</t>
  </si>
  <si>
    <t>Código
Bobina Mâe</t>
  </si>
  <si>
    <t>Esp.
(mm)</t>
  </si>
  <si>
    <t>Larg
(mm)</t>
  </si>
  <si>
    <t>Compr
(mm)</t>
  </si>
  <si>
    <t>Tolerância + -</t>
  </si>
  <si>
    <t>Descrição</t>
  </si>
  <si>
    <t>Cód no Fornecedor</t>
  </si>
  <si>
    <t>Grupo</t>
  </si>
  <si>
    <t>LT
(dias)</t>
  </si>
  <si>
    <t>Lote Múltiplo [Usina]
Lote Mínimo [Distrib]
Ton</t>
  </si>
  <si>
    <t>Usina
Referência</t>
  </si>
  <si>
    <t>Cliente</t>
  </si>
  <si>
    <t>Projeto</t>
  </si>
  <si>
    <t>ABC</t>
  </si>
  <si>
    <t>CORTE</t>
  </si>
  <si>
    <t>FATURAMENTO PEÇA</t>
  </si>
  <si>
    <t>Unidade
Delga</t>
  </si>
  <si>
    <t>Beneficiador</t>
  </si>
  <si>
    <t>NECESSIDADE Janeiro / 2026</t>
  </si>
  <si>
    <t>NECESSIDADE Fevereiro / 2026</t>
  </si>
  <si>
    <t>NECESSIDADE Março / 2026</t>
  </si>
  <si>
    <t>NECESSIDADE Abril / 2026</t>
  </si>
  <si>
    <t>NECESSIDADE Maio / 2026</t>
  </si>
  <si>
    <t>NECESSIDADE MÉDIA FEV A MAIO (ton)</t>
  </si>
  <si>
    <t>Análise espessura</t>
  </si>
  <si>
    <t>Análise Largura</t>
  </si>
  <si>
    <t>Análise Comprimento / passo</t>
  </si>
  <si>
    <t>Análise da qualidade</t>
  </si>
  <si>
    <t>Análise Plano de corte / nest</t>
  </si>
  <si>
    <t>Análise de estoque</t>
  </si>
  <si>
    <t>Outros</t>
  </si>
  <si>
    <t>Concluido análise</t>
  </si>
  <si>
    <t>V. Médio Análisado</t>
  </si>
  <si>
    <t>Quantidade de produtos relacionados</t>
  </si>
  <si>
    <t>Produtos relacionados</t>
  </si>
  <si>
    <t>Ganho MENSAL</t>
  </si>
  <si>
    <t>Código nova bobina</t>
  </si>
  <si>
    <t>OBS</t>
  </si>
  <si>
    <t>Primeiro Ganho previsto</t>
  </si>
  <si>
    <t>Validado
(USINA/CUSTOS)</t>
  </si>
  <si>
    <t>CHZ0180GZ07301920</t>
  </si>
  <si>
    <t>BZ</t>
  </si>
  <si>
    <t>-</t>
  </si>
  <si>
    <t>±0,13</t>
  </si>
  <si>
    <t>EN10346 HX300YDZ100 1,80X1100 M10441430</t>
  </si>
  <si>
    <t>VW-SBC</t>
  </si>
  <si>
    <t>Saveiro</t>
  </si>
  <si>
    <t>A</t>
  </si>
  <si>
    <t>Diadema</t>
  </si>
  <si>
    <t>X</t>
  </si>
  <si>
    <t>VW000573Z / 574Z</t>
  </si>
  <si>
    <t>Longarina da Saveiro, em análise na possibilidade de redução do comprimento do blank (passo de corte no fornecedor).</t>
  </si>
  <si>
    <t>BOQ0475ED1250</t>
  </si>
  <si>
    <t>BQ</t>
  </si>
  <si>
    <t>±0,10</t>
  </si>
  <si>
    <t>BOB NBR6656 LNE38 D/O 4,75X1250</t>
  </si>
  <si>
    <t>ANCHIETA /MAN/FAURECIA</t>
  </si>
  <si>
    <t>Travessas 73/74 , 0038 e itens MAN</t>
  </si>
  <si>
    <t>Ferrolene</t>
  </si>
  <si>
    <r>
      <t xml:space="preserve">FA000007AA / FA000008AA / PU000008AA / </t>
    </r>
    <r>
      <rPr>
        <b/>
        <sz val="8"/>
        <color rgb="FFFF0000"/>
        <rFont val="Arial"/>
        <family val="2"/>
      </rPr>
      <t>MB000073AX / MB000074AX</t>
    </r>
    <r>
      <rPr>
        <sz val="8"/>
        <rFont val="Arial"/>
        <family val="2"/>
      </rPr>
      <t xml:space="preserve"> / </t>
    </r>
    <r>
      <rPr>
        <b/>
        <sz val="8"/>
        <color rgb="FF0000FF"/>
        <rFont val="Arial"/>
        <family val="2"/>
      </rPr>
      <t xml:space="preserve">DA000458Z </t>
    </r>
    <r>
      <rPr>
        <sz val="8"/>
        <rFont val="Arial"/>
        <family val="2"/>
      </rPr>
      <t xml:space="preserve">/ VW001141AA / VW001142AA / VW001143AA / VW001155AA / DA000525LA / DA000525LB / DA000525LC / DA000525LH / DA000525LI / </t>
    </r>
    <r>
      <rPr>
        <b/>
        <sz val="8"/>
        <color rgb="FF0000FF"/>
        <rFont val="Arial"/>
        <family val="2"/>
      </rPr>
      <t>MB003533LA / MB003533LB / MB003536LA / MB003536LB / MB003537LA / MB003537LB / MB003538LA / MB003538LB / MB003673LC / MB002316LA</t>
    </r>
  </si>
  <si>
    <t>Produtos com processo de corte laser com reduções significativas no peso bruto unitário.
DA000458Z - Redução de 12mm na largura do blank. De 300mm para 288mm. Redução de 0,44kg por blank.
Os produtos "Travessa" da MBB estão em análise (MB000073AX / 074AX).</t>
  </si>
  <si>
    <t>Sim</t>
  </si>
  <si>
    <t>BOQ0285EE0885</t>
  </si>
  <si>
    <t>2,85 MTH</t>
  </si>
  <si>
    <t>NBR-6656-16-LNE-500</t>
  </si>
  <si>
    <t>ANCHIETA / VOLVO</t>
  </si>
  <si>
    <t>Projeto Fuel Tank - Projeto Especial ( VOLVO)</t>
  </si>
  <si>
    <t>DA000459AA</t>
  </si>
  <si>
    <t>Redução no passo (Comprimento) do blank.</t>
  </si>
  <si>
    <t>SLZ0120UI0500</t>
  </si>
  <si>
    <t>SLZ</t>
  </si>
  <si>
    <t>BOB VW50065 CR3-GI40/40-U-O 1,20X1250MM</t>
  </si>
  <si>
    <t>SOLUÇÕES USIMINAS</t>
  </si>
  <si>
    <t>VW-SBC /TBT</t>
  </si>
  <si>
    <t>Nivus/Polo</t>
  </si>
  <si>
    <t>VW000895AA / 896AA</t>
  </si>
  <si>
    <t>Material em análise. Oportunidade de redução de 10mm no passo de corte do desbobinador (interno) - De 265mm para 255mm</t>
  </si>
  <si>
    <t>CHF0100HA06250872</t>
  </si>
  <si>
    <t>BF</t>
  </si>
  <si>
    <t>BOB EN10268 HC260LA 1,00X1250 M10440489</t>
  </si>
  <si>
    <t>M10440489</t>
  </si>
  <si>
    <t>VW000630AC / 631AC</t>
  </si>
  <si>
    <t>"Pulmão" da Saveiro, sem proposta de KAIZEN.</t>
  </si>
  <si>
    <t>CHF0180SF07500640</t>
  </si>
  <si>
    <t>CHF</t>
  </si>
  <si>
    <t>BOB DIN EN10130 + A1 DC01 Am 1,80X1500MM</t>
  </si>
  <si>
    <t>Sul</t>
  </si>
  <si>
    <t>VW000745Z / 746Z</t>
  </si>
  <si>
    <t>Processo terceirizado para Delga SUL.</t>
  </si>
  <si>
    <t>BOQ0575LN1200</t>
  </si>
  <si>
    <t>EN-10149-2-13-S420MC</t>
  </si>
  <si>
    <t>ANCHIETA / SCANIA</t>
  </si>
  <si>
    <t>AD 5699-22 ( Telha e Chifre)</t>
  </si>
  <si>
    <t>SV001141LA / SV001142LA</t>
  </si>
  <si>
    <t>Produtos com processo de corte laser com reduções significativas no peso bruto unitário.
Os produtos "Travessa" da MBB estão em análise.</t>
  </si>
  <si>
    <t>BOF0100UQ1200</t>
  </si>
  <si>
    <t>±0,04</t>
  </si>
  <si>
    <t>GMW3399M-ST-S-CR980T/700Y-MP-LCE-UNC</t>
  </si>
  <si>
    <t>GM/JARINU</t>
  </si>
  <si>
    <t>TRACKER</t>
  </si>
  <si>
    <t>DJ000059Z / 060Z</t>
  </si>
  <si>
    <t>±0,14</t>
  </si>
  <si>
    <t>EN10292 HX300YD Z100</t>
  </si>
  <si>
    <t>VW00581Z / 582Z</t>
  </si>
  <si>
    <t>Redução no passo (Comprimento) do blank. Aguardando retorno de compras referente à MP.</t>
  </si>
  <si>
    <t>CHF0180SF04000900</t>
  </si>
  <si>
    <t>BOB DIN EN10130 + A1 DC01 Am 1,80X1200MM</t>
  </si>
  <si>
    <t>VW000585Z / 586Z</t>
  </si>
  <si>
    <t>Reduzir 20mm no passo do blank, de 900 para 880 (10mm/peça). Aguardando validação da controladoria.</t>
  </si>
  <si>
    <t>CHZ0100SE12000540</t>
  </si>
  <si>
    <t>VW50065 - CR3-GI40/40</t>
  </si>
  <si>
    <t>M10441440</t>
  </si>
  <si>
    <t>VW000522AA</t>
  </si>
  <si>
    <t>Material analisado e sem oportunidade de redução.</t>
  </si>
  <si>
    <t>BOZ0065HV1050</t>
  </si>
  <si>
    <t>GMW2M-ST-S-CR3-HD60G60G-U 0,65X1050</t>
  </si>
  <si>
    <r>
      <rPr>
        <b/>
        <sz val="8"/>
        <color rgb="FF0000FF"/>
        <rFont val="Arial"/>
        <family val="2"/>
      </rPr>
      <t>GM000378Z / 379Z</t>
    </r>
    <r>
      <rPr>
        <sz val="8"/>
        <color rgb="FF0000FF"/>
        <rFont val="Arial"/>
        <family val="2"/>
      </rPr>
      <t xml:space="preserve"> </t>
    </r>
    <r>
      <rPr>
        <sz val="8"/>
        <rFont val="Arial"/>
        <family val="2"/>
      </rPr>
      <t>/ GM000396Z / 397Z / GM000380Z / 381Z</t>
    </r>
  </si>
  <si>
    <t>Reduzir 20mm no passo do blank, de 240 para 220 (10mm/peça).</t>
  </si>
  <si>
    <t>BOQ0630IH1300</t>
  </si>
  <si>
    <t>CHQ NBR6656 LNE28 6,00X1200X2000</t>
  </si>
  <si>
    <t>ANCHIETA</t>
  </si>
  <si>
    <t>MBB</t>
  </si>
  <si>
    <t>DA000503Z</t>
  </si>
  <si>
    <t>Material em análise (Izaias Claro). Possibilidade na redução da largura da bobina / chapa.</t>
  </si>
  <si>
    <t>BOZ0150HX1000</t>
  </si>
  <si>
    <t>GMW3032M-ST-S-340LA-HD60G60G-U 1,5X1000</t>
  </si>
  <si>
    <t>GM000390Z / GM000391Z / GM000392Z / GM000393Z / DJ000131Z / DJ000132Z</t>
  </si>
  <si>
    <t>Redução da largura do slitter de 1000mm para 950mm</t>
  </si>
  <si>
    <t>CHF0120TL02100570</t>
  </si>
  <si>
    <t>BO VW50065 CR300LA UC 1,20X1050MM</t>
  </si>
  <si>
    <t>POLO / VIRTUS PA / NIVUS</t>
  </si>
  <si>
    <t>DJ000049Z / DJ000050Z / DJ000232Z / DJ000233Z</t>
  </si>
  <si>
    <t>Item da transfer (Cattaneo).</t>
  </si>
  <si>
    <t>BOQ0800ZN1300</t>
  </si>
  <si>
    <t>BOQ EN10149-2 S500MC 8,00X1300</t>
  </si>
  <si>
    <t>ANCHIETA / MBB / SCANIA</t>
  </si>
  <si>
    <t>MBB Boomerang / Scania Facão</t>
  </si>
  <si>
    <t>VB000347LA / DA000496Z / DA000498Z / DA000499Z / DA000501Z / DA000500Z / DA000502Z / DA000506Z / DA000530Z / DA000531</t>
  </si>
  <si>
    <t>"Facão" da Volvo e Boomerangs da MBB sem oportunidades de redução.</t>
  </si>
  <si>
    <t>BOZ0100CN1200</t>
  </si>
  <si>
    <t>BOB EN10327 DX53 Z100 1,00X1200 MM **1100mm**</t>
  </si>
  <si>
    <t>MERCEDES</t>
  </si>
  <si>
    <t>Lâmina</t>
  </si>
  <si>
    <t>DA000213Z</t>
  </si>
  <si>
    <t>KAIZEN de redução na largura ainda não implementado (de 1200mm para 1100mm)</t>
  </si>
  <si>
    <t>SLZ0180SI0285</t>
  </si>
  <si>
    <t>BO VW50065 CR300LA-GI40/40U 1,80X1150MM</t>
  </si>
  <si>
    <t>Polo/Virtus/Nivus</t>
  </si>
  <si>
    <t>VW000887AA / VW000888AA</t>
  </si>
  <si>
    <t>Material em análise. Oportunidade de redução no passo de corte do desbobinador (interno) - Item da Cattaneo</t>
  </si>
  <si>
    <t>BOQ0375PQ1550</t>
  </si>
  <si>
    <t>EN10149-2 S460MC 3,75MTH x 1550</t>
  </si>
  <si>
    <t>Suporte do tanque (Scania)</t>
  </si>
  <si>
    <t>Jarinu</t>
  </si>
  <si>
    <t>DA000489AA / DA000490AA</t>
  </si>
  <si>
    <t>Redução de 20mm no blank (0,46kg)/peça</t>
  </si>
  <si>
    <t>CHF0275KO06400290</t>
  </si>
  <si>
    <t>EN10130 DC03 A</t>
  </si>
  <si>
    <t>B</t>
  </si>
  <si>
    <t>VW000583Z / VW000584Z</t>
  </si>
  <si>
    <t>MP analisada com oportunidade de redução no comprimento e largura do blank (Redução de 30mm no comprimento e 5mm na largura)</t>
  </si>
  <si>
    <t>BOQ0700IS1300</t>
  </si>
  <si>
    <t>6656 LNE50 7,0(+0/-0,3 MTL)X1300</t>
  </si>
  <si>
    <t>MB003601Z</t>
  </si>
  <si>
    <t>Redução do peso bruto da chapa com 24 peças / chapa.</t>
  </si>
  <si>
    <t>BOF0130UQ0950</t>
  </si>
  <si>
    <t>DJ000055Z / DJ000056Z</t>
  </si>
  <si>
    <t>CHZ0250SE02900636</t>
  </si>
  <si>
    <t>EN10346 DX54DZ100MBO 2,50X1160 M10441443</t>
  </si>
  <si>
    <t>VW000589Z / VW000590Z</t>
  </si>
  <si>
    <t>BOF0150ZM1050</t>
  </si>
  <si>
    <t>Cintas Scania</t>
  </si>
  <si>
    <t>DA000475AA / DA000476AA / DA000477AA / DA000478AA / DA000479AA</t>
  </si>
  <si>
    <t>Material analisado e sem oportunidade de redução - Sendo analisado perda de uma sobra de sleeter.</t>
  </si>
  <si>
    <t>BOF0120AI1300</t>
  </si>
  <si>
    <t>NBR5915 LF EP</t>
  </si>
  <si>
    <t>Lateral</t>
  </si>
  <si>
    <t>MB003544Z / MB003545Z</t>
  </si>
  <si>
    <t>BOQ0400DW1050</t>
  </si>
  <si>
    <t>BOB NBR5906 EP D/O 4,00X1050</t>
  </si>
  <si>
    <t>Panelinha</t>
  </si>
  <si>
    <t>MB000412Z / MB000413Z</t>
  </si>
  <si>
    <t>Em processo de desenvolvimento de nova ferramenta. Realizado comparação de preço de MP para as novas ferramentas.</t>
  </si>
  <si>
    <t>SLZ0060TD0455</t>
  </si>
  <si>
    <t>CR240LA-GI40/40U0,6X1000</t>
  </si>
  <si>
    <t>POLO /NIVUS /VIRTUS</t>
  </si>
  <si>
    <t>VW000919Z / VW000920Z</t>
  </si>
  <si>
    <t>SLQ0300ED0433</t>
  </si>
  <si>
    <t>SLQ</t>
  </si>
  <si>
    <t>BOB NBR 6656 LNE38 D/O 3,00X1300MM</t>
  </si>
  <si>
    <t>VW-SJP</t>
  </si>
  <si>
    <t>VW000928Z / VW000929Z / VW000917Z / VW000918Z / VW000593Z / VW000594Z</t>
  </si>
  <si>
    <t>CHZ0060TD05000500</t>
  </si>
  <si>
    <t>CHZ</t>
  </si>
  <si>
    <t>VW0001048Z / VW0001049Z - DD000502/503Z</t>
  </si>
  <si>
    <t xml:space="preserve">Em análise de custos </t>
  </si>
  <si>
    <t>BOZ0150HX1250</t>
  </si>
  <si>
    <t>GM000408Z / GM000409Z</t>
  </si>
  <si>
    <t>REDUZIR PASSO DE 210 mm PARA 195 mm. REDUÇÃO DE PESO BRUTO DE 1,561 KG PARA 1,464 KG.</t>
  </si>
  <si>
    <t>BOZ0140HX1100</t>
  </si>
  <si>
    <t>BOB1,40X1000 GMW3032M-ST-S-CR340LA-HD60G</t>
  </si>
  <si>
    <t>JOY/JOY PLUS</t>
  </si>
  <si>
    <t>GM000402Z / 403Z</t>
  </si>
  <si>
    <t>Redução de 15mm no passo do blank (183g/blank)</t>
  </si>
  <si>
    <t>BOQ0600IH1000</t>
  </si>
  <si>
    <t>BOB 6656 LNE38 6,0(-0,00/+0,30 MTH)X1000</t>
  </si>
  <si>
    <t>ANCHIETA / MBB</t>
  </si>
  <si>
    <t>MBB Travessas 72</t>
  </si>
  <si>
    <t>VW000166AA / MB000072Z</t>
  </si>
  <si>
    <t>SLF0200TH0400</t>
  </si>
  <si>
    <t>SLF</t>
  </si>
  <si>
    <t>BOB VW 50065 CR380LA UC-U-O 2,00X1200MM</t>
  </si>
  <si>
    <t>Nivus</t>
  </si>
  <si>
    <t>DJ000079Z / 080Z</t>
  </si>
  <si>
    <t>Redução da largura do slitter de 400mm para 366mm</t>
  </si>
  <si>
    <t>BOF0090UQ1100</t>
  </si>
  <si>
    <t>DJ000057Z / DJ000058Z / DJ000228Z</t>
  </si>
  <si>
    <t>BOF0060HZ1050</t>
  </si>
  <si>
    <t>GMW2M-ST-S-CR2-UNCOATED-U 0,60X1100</t>
  </si>
  <si>
    <t>GM</t>
  </si>
  <si>
    <t>GM000432Z / GM000433Z / GM000446Z / GM000447Z</t>
  </si>
  <si>
    <t>BOQ0600DW1050</t>
  </si>
  <si>
    <t>BOB NBR6656 LNE280 6,00X1050MM</t>
  </si>
  <si>
    <t>Console</t>
  </si>
  <si>
    <t>DA000198Z / DA000199Z / DA000200Z / DA000229Z</t>
  </si>
  <si>
    <t>BOQ0475EE1230</t>
  </si>
  <si>
    <t>CH NBR6656 LNE50 D/O</t>
  </si>
  <si>
    <r>
      <rPr>
        <b/>
        <sz val="8"/>
        <color rgb="FF0000FF"/>
        <rFont val="Arial"/>
        <family val="2"/>
      </rPr>
      <t>VB000346LA</t>
    </r>
    <r>
      <rPr>
        <sz val="8"/>
        <rFont val="Arial"/>
        <family val="2"/>
      </rPr>
      <t xml:space="preserve"> / DA000480Z / </t>
    </r>
    <r>
      <rPr>
        <b/>
        <sz val="8"/>
        <color rgb="FF0000FF"/>
        <rFont val="Arial"/>
        <family val="2"/>
      </rPr>
      <t>MB003597LA / MB003598LA / MB003594LA / MB003595LA</t>
    </r>
    <r>
      <rPr>
        <sz val="8"/>
        <rFont val="Arial"/>
        <family val="2"/>
      </rPr>
      <t xml:space="preserve"> / MB003607LA / MB003608LA / MB002301LA / MB003563Z / MB003564Z / MB003540Z / MB003541Z</t>
    </r>
  </si>
  <si>
    <t>Redução do peso bruto das peças cortadas na máquina laser (Aumento de peças / chapa)</t>
  </si>
  <si>
    <t>BOQ0300BF1450</t>
  </si>
  <si>
    <t>BOB EN10149-2 S355MC 3,00X1500 MTL D/O</t>
  </si>
  <si>
    <t>Mundguard / Front Module /New Mundguard</t>
  </si>
  <si>
    <t>DA000450AA / DA000451AA / DA000526LC / 526LF / 526LG</t>
  </si>
  <si>
    <t>BOZ0120IC1100</t>
  </si>
  <si>
    <t>GMW3032M-STS-CR420LAHD60G60-GU</t>
  </si>
  <si>
    <t>SPIN</t>
  </si>
  <si>
    <t>GM000065AY / GM000066AY / GM000218Z / GM000219Z / GM000359AA / GM000364Z / GM000463Z / VW000154AB</t>
  </si>
  <si>
    <t>CHF0200JI04500306</t>
  </si>
  <si>
    <t>BOB EN10130 DC01 AO 2,00X900MM M10441438</t>
  </si>
  <si>
    <t>M10441438</t>
  </si>
  <si>
    <t>VW - GONVARRI</t>
  </si>
  <si>
    <t>VW000587Z / VW000588Z</t>
  </si>
  <si>
    <t>CHF0100AK11001490</t>
  </si>
  <si>
    <t>DIN EN10130 DC04 1,00X1100mm</t>
  </si>
  <si>
    <t>USIMINAS / GONVARRI</t>
  </si>
  <si>
    <t>Pisador</t>
  </si>
  <si>
    <t>DA000203Z / DA000204Z</t>
  </si>
  <si>
    <t>BOQ0375PQ0880</t>
  </si>
  <si>
    <t>MTH</t>
  </si>
  <si>
    <t>EN10149-2 S460MC 3,75MTHx830</t>
  </si>
  <si>
    <t>DA000491AA / DA000492AA</t>
  </si>
  <si>
    <t>Redução de 20mm no blank (0,52kg)/peça</t>
  </si>
  <si>
    <t>BOZ0065ZH1050</t>
  </si>
  <si>
    <t>GMW2M / ST-S-CR3-HD50G50GU#0,65x1050</t>
  </si>
  <si>
    <t>GM000458Z / 459Z</t>
  </si>
  <si>
    <t>Reduzir 20mm no passo do blank, de 190mm para 170mm (10mm / peça).</t>
  </si>
  <si>
    <t>BLZ0140SI02870460</t>
  </si>
  <si>
    <t>BLZ</t>
  </si>
  <si>
    <t>BLZ CR300LA GI40/40U 1,40X287X460BX257B</t>
  </si>
  <si>
    <t>VW</t>
  </si>
  <si>
    <t>VW-246</t>
  </si>
  <si>
    <t>C</t>
  </si>
  <si>
    <t>VW001243AA / 1244AA / VW001352Z / 1354Z</t>
  </si>
  <si>
    <t>BOQ0300BF1100</t>
  </si>
  <si>
    <t>BOB EN10149-2 S355MC 3,00X1100 MTL D/O</t>
  </si>
  <si>
    <t>Front Module /New Mundguard</t>
  </si>
  <si>
    <t>SV000684AA / DA000448AA / SV000681LA / SV000682LA / DA000448AA / DA000449AA</t>
  </si>
  <si>
    <t>CHF0100TF03250720</t>
  </si>
  <si>
    <t>VW50065 CR240LA - UC-U-O 1,00X1300MM</t>
  </si>
  <si>
    <t>DD000504/505Z</t>
  </si>
  <si>
    <t>SLZ0250CO0200</t>
  </si>
  <si>
    <t>BOB EN10346 DX54D Z100</t>
  </si>
  <si>
    <t>VW000578Z</t>
  </si>
  <si>
    <t>CHF0120AI11000365</t>
  </si>
  <si>
    <t>BOF NBR5915 EP 1,20X1100mm</t>
  </si>
  <si>
    <t>Anel</t>
  </si>
  <si>
    <t>DA000226Z / DA000227Z</t>
  </si>
  <si>
    <t>SLZ0100TD0550</t>
  </si>
  <si>
    <t>SLZ VW50065 CR240LA GI40/40-U-O 1,00X55</t>
  </si>
  <si>
    <t>CSN-GALVASUD</t>
  </si>
  <si>
    <t>DJ000230Z / DJ000231Z</t>
  </si>
  <si>
    <t>BOZ0120HV1100</t>
  </si>
  <si>
    <t>GMW2M-ST-S-CR3-HD60G60G-U 1,20X1100</t>
  </si>
  <si>
    <t>ONIX (HB)/ONIX PLUS (NB)</t>
  </si>
  <si>
    <t>GM000404Z / GM000405Z</t>
  </si>
  <si>
    <t>CHZ0120VS03000470</t>
  </si>
  <si>
    <t>VW50065-CR300LA-GI40/4</t>
  </si>
  <si>
    <t>DD000506Z</t>
  </si>
  <si>
    <t>BOQ0400EB1250</t>
  </si>
  <si>
    <t>BOB NBR6656 LNE28 4,00X1250</t>
  </si>
  <si>
    <t>ANCHIETA /MAN</t>
  </si>
  <si>
    <t>Ralo Grosso</t>
  </si>
  <si>
    <t>VW001146AA / VW001147AA</t>
  </si>
  <si>
    <t>BOQ0150DV1000</t>
  </si>
  <si>
    <t>NBR5906 EM</t>
  </si>
  <si>
    <t>Estribo</t>
  </si>
  <si>
    <t>DA000261Z / DA000262Z / DA000525LJ</t>
  </si>
  <si>
    <t>BOQ0600LA1050</t>
  </si>
  <si>
    <t>BOQ NBR6656 LNE50 6,00X1050 MTL D/O</t>
  </si>
  <si>
    <t>MB002289Z / MB002290Z</t>
  </si>
  <si>
    <t>Redução de 146g do peso bruto por peça (comprimento de 1540 para 2690)</t>
  </si>
  <si>
    <t>CHZ0120VS03250315</t>
  </si>
  <si>
    <t>SUL</t>
  </si>
  <si>
    <t>DD000507Z</t>
  </si>
  <si>
    <t>Em análise de custos</t>
  </si>
  <si>
    <t>BOF0120OO1100</t>
  </si>
  <si>
    <t>GMW3032M-ST-S-420LA-UNCOATED-U 1,20X1100</t>
  </si>
  <si>
    <t>DJ000089Z / DJ000090Z</t>
  </si>
  <si>
    <t>SLZ0070QH0800</t>
  </si>
  <si>
    <t>VW 50065 CR4 GI40/40 -U-O 0,70X800MM</t>
  </si>
  <si>
    <t>DJ000075Z / DJ000076Z</t>
  </si>
  <si>
    <t>CHQ0300EB11501520</t>
  </si>
  <si>
    <t>CHQ</t>
  </si>
  <si>
    <t>±0,25</t>
  </si>
  <si>
    <t>CHQ NBR6656 LNE280-J1 3,00X1150X1520 D/O</t>
  </si>
  <si>
    <t>MB002446LA / MB003670LA / MB003671LA</t>
  </si>
  <si>
    <t>Redução no peso bruto conforme programa elaborado no software AlmaCAM.
Redução na largura do blank. Aguardando retorno de compras referente à MP. (Previsão de ganho mensal: R$1.642,21)</t>
  </si>
  <si>
    <t>CHQ0200AT12501280</t>
  </si>
  <si>
    <t>BOQ NBR6656 LNE50 2,00X1250 D/O</t>
  </si>
  <si>
    <t>ANCHIETA / FAURECIA / VOLVO</t>
  </si>
  <si>
    <t>Diversos</t>
  </si>
  <si>
    <t>DA000518Z</t>
  </si>
  <si>
    <t>Aumentar a largura da bobina de 1100 para 1250, eliminando sobra (retalho).</t>
  </si>
  <si>
    <t>BOF0120HY1300</t>
  </si>
  <si>
    <t>BOB1,2X1300 GMW3032M-ST-S-CR340 LA UNC.</t>
  </si>
  <si>
    <t>DJ000087Z / DJ000088Z</t>
  </si>
  <si>
    <t>SLZ0120ZG0525</t>
  </si>
  <si>
    <t>W50065 CR240LA GI60/60-U 1,20X525MM</t>
  </si>
  <si>
    <t>POLO / VIRTUS PA</t>
  </si>
  <si>
    <t>VW001039AA</t>
  </si>
  <si>
    <t>BOZ0120HU1200</t>
  </si>
  <si>
    <t>GMW2M-ST-S-CR2-HD60G60G-</t>
  </si>
  <si>
    <t>DJ000220Z</t>
  </si>
  <si>
    <t>CHE0100VR02500415</t>
  </si>
  <si>
    <t>BEG</t>
  </si>
  <si>
    <t>VW000985AA</t>
  </si>
  <si>
    <t>BOZ0060HU1100</t>
  </si>
  <si>
    <t>GM000423Z / GM000432Z / GM000447Z</t>
  </si>
  <si>
    <t>CHZ0250CO01500260</t>
  </si>
  <si>
    <t>VW000575Z / VW000576Z</t>
  </si>
  <si>
    <t>BOF0100HZ1200</t>
  </si>
  <si>
    <t>GMW2M-ST-S-CR2/UNCOATED #1,00X400</t>
  </si>
  <si>
    <t>GM000412AA / GM000413AA</t>
  </si>
  <si>
    <t>BOF0060JG1100</t>
  </si>
  <si>
    <t>BOB GMW3032MSTS CR300LA 0,60X1100 MM</t>
  </si>
  <si>
    <t>LEALFER / DISTRIBUIÇÃO</t>
  </si>
  <si>
    <t>GM000215Z</t>
  </si>
  <si>
    <t>SLZ0120TD0450</t>
  </si>
  <si>
    <t>VW50065-CR240LA-GI40/40 1,20X1350MM</t>
  </si>
  <si>
    <t>DJ000083Z / DJ000084Z</t>
  </si>
  <si>
    <t>BOQ0400BF1100</t>
  </si>
  <si>
    <t>EN10149-2 S355MC 4,00x1100 MTL D/O</t>
  </si>
  <si>
    <t>New Mundguard SCANA</t>
  </si>
  <si>
    <t>DA000450AB / DA000451AD / DA000014Z</t>
  </si>
  <si>
    <t>CHQ0200OP01000190</t>
  </si>
  <si>
    <t>DIN EN10111 DD13</t>
  </si>
  <si>
    <t>VW000832AB</t>
  </si>
  <si>
    <t>SLZ0120UL0575</t>
  </si>
  <si>
    <t>VW50065 - CR2 -GI40/40-U 1,20X575MM</t>
  </si>
  <si>
    <t>DJ000216Z / DJ000217Z</t>
  </si>
  <si>
    <t>CHF0150SF02200230</t>
  </si>
  <si>
    <t>DIN EN10130 DC01 1,50X220X230MM</t>
  </si>
  <si>
    <t>VW000630AA / VW000631AA</t>
  </si>
  <si>
    <t>CHQ0265DX12002000</t>
  </si>
  <si>
    <t>CH NBR5906 LQ EPA D/O 2,65X1200X2000</t>
  </si>
  <si>
    <t>SETEFER / DISTRIBUIÇÃO</t>
  </si>
  <si>
    <t>MB001366AC</t>
  </si>
  <si>
    <t>BOE0100SV1300</t>
  </si>
  <si>
    <t>BOB USI-GALVE EEP 1,00X1300MM</t>
  </si>
  <si>
    <t>RENAULT</t>
  </si>
  <si>
    <t>Motor 1.0</t>
  </si>
  <si>
    <t>RN000013AA</t>
  </si>
  <si>
    <t>CHQ0265AP12002000</t>
  </si>
  <si>
    <t>CH ACO LNE26 2,65X1200X2000 D/O</t>
  </si>
  <si>
    <t>MB001366AA / MB001366AB</t>
  </si>
  <si>
    <t>BOQ0300JU1220</t>
  </si>
  <si>
    <t>CH S275JR D/O 3,0+0,05/-0,25X1220X1750</t>
  </si>
  <si>
    <t>ANCHIETA / MAN /MBB / VOLVO</t>
  </si>
  <si>
    <t>MB003673LD / VB000323LA</t>
  </si>
  <si>
    <t>SLQ0190EA0178</t>
  </si>
  <si>
    <t>NBR6656 LNE26</t>
  </si>
  <si>
    <t>Ralo Fino + parachoque central</t>
  </si>
  <si>
    <t>DA000202Z</t>
  </si>
  <si>
    <t>BOQ0400EJ1350</t>
  </si>
  <si>
    <t>CH EN10025 S275JR 4,00X1350X1850</t>
  </si>
  <si>
    <t>ANCHIETA/ MBB / VOLVO</t>
  </si>
  <si>
    <t>MB003673LA</t>
  </si>
  <si>
    <t>SLZ0080UL0950</t>
  </si>
  <si>
    <t>VW50065 - CR2 -GI40/40-U 0,80X0950MM</t>
  </si>
  <si>
    <t>VW001047Z</t>
  </si>
  <si>
    <t>SLZ0120TD0466</t>
  </si>
  <si>
    <t>VW50065-CR240LA-GI40/40 1,20X1400MM</t>
  </si>
  <si>
    <t>DJ000214Z / DJ000215Z</t>
  </si>
  <si>
    <t>SLZ0070QH0416</t>
  </si>
  <si>
    <t>VW50065 - CR4-GI40/40 0,70X416,7</t>
  </si>
  <si>
    <t>VW000974AA / VW000975AA</t>
  </si>
  <si>
    <t>CHQ0400EJ12001550</t>
  </si>
  <si>
    <t>CH EN10025 S275JR 4,00X1200X1550</t>
  </si>
  <si>
    <t>Suporte Pedaleira</t>
  </si>
  <si>
    <t>DA000406Z / DA000253AA</t>
  </si>
  <si>
    <t>SLZ0070QH0191</t>
  </si>
  <si>
    <t>BOB VW50065 CR4-GI40/40-U-O 0,70X1600MM</t>
  </si>
  <si>
    <t>DJ000077Z / DJ000078Z</t>
  </si>
  <si>
    <t>SLZ0100CO0721</t>
  </si>
  <si>
    <t>EN10327 DX54D Z100 1X1450(MTL) M10483022</t>
  </si>
  <si>
    <t>MULTIAÇOS / DISTRIBUIÇÃO</t>
  </si>
  <si>
    <t>VW- VINH</t>
  </si>
  <si>
    <t>Saveiro - sup rad</t>
  </si>
  <si>
    <t>VW000636Z</t>
  </si>
  <si>
    <t>SLZ0070CI0333</t>
  </si>
  <si>
    <t>CH VW50111 ST05 Z100 0,70X1100X333MM</t>
  </si>
  <si>
    <t>VW000579Z / VW000580Z</t>
  </si>
  <si>
    <t>BOZ0120DO1500</t>
  </si>
  <si>
    <t>B EN10346 HX220YD Z100 MA 1,20X1500 MM</t>
  </si>
  <si>
    <t>DISTRIBUIÇÃO</t>
  </si>
  <si>
    <t>MAN</t>
  </si>
  <si>
    <t>Assoalho</t>
  </si>
  <si>
    <t>VW001024AA / VW001025AA</t>
  </si>
  <si>
    <t>SLQ0400EE0235</t>
  </si>
  <si>
    <t>SL NBR6656 D/O LNE50 4,00x1250MM</t>
  </si>
  <si>
    <t>(mp transferido de ferraz)</t>
  </si>
  <si>
    <t>SLZ0140ID0600</t>
  </si>
  <si>
    <t>GMW3032M / ST-S-CR210B2</t>
  </si>
  <si>
    <t>GM000466Z / GM000467Z</t>
  </si>
  <si>
    <t>CHZ0100SE02100160</t>
  </si>
  <si>
    <t>BG EN 10327 DX54D Z100MB 1,00X210X160</t>
  </si>
  <si>
    <t>Gol/Voyage/Saveiro</t>
  </si>
  <si>
    <t>VW000506Z</t>
  </si>
  <si>
    <t>SLZ0150CF0256</t>
  </si>
  <si>
    <t>EN10346 HX340LAD Z100</t>
  </si>
  <si>
    <t>Gol/Voyage</t>
  </si>
  <si>
    <t>VW000336Z</t>
  </si>
  <si>
    <t>CHQ0475AP12002000</t>
  </si>
  <si>
    <t>CHQ NBR6656 LNE26 4,75X1200X2000 D/O</t>
  </si>
  <si>
    <t>DA000511AA / DA000512AA / DA000513AB / DA000513AC</t>
  </si>
  <si>
    <t>SLF0150LL0698</t>
  </si>
  <si>
    <t>EN10268 HC380LA</t>
  </si>
  <si>
    <t>Estola</t>
  </si>
  <si>
    <t>VW001207Z / VW001208Z</t>
  </si>
  <si>
    <t>BOF0190AM1100</t>
  </si>
  <si>
    <t>BOB NBR5915 LF EEP G3 1,90X1100 MM</t>
  </si>
  <si>
    <t>Parachoque laterl - Ponteiras</t>
  </si>
  <si>
    <t>DA000283Z / DA000284Z / DA000285Z / DA000286Z / DA000275Z / DA000276Z / DA000277Z / DA000278Z / DA000279Z / DA000280Z</t>
  </si>
  <si>
    <t>CHQ0400ED12002220</t>
  </si>
  <si>
    <t>CH NBR6656 LQ LNE38 4,00X1200X2220 MM</t>
  </si>
  <si>
    <t>MB003610LA</t>
  </si>
  <si>
    <t>CHQ0200ED12001900</t>
  </si>
  <si>
    <t>DA000529AA / DA000529AB</t>
  </si>
  <si>
    <t>BOZ0100CO1200</t>
  </si>
  <si>
    <t>EN-10346-15-DX54D+Z</t>
  </si>
  <si>
    <t>PLASCAR</t>
  </si>
  <si>
    <t>Projetos Perseu 2V3.831.311/312</t>
  </si>
  <si>
    <t>VW000500Z / VW000815Z / PL000004AA / PL000005AA</t>
  </si>
  <si>
    <t>SLQ0425AS0071</t>
  </si>
  <si>
    <t>SL NBR6656 LNE 380 DO 4,25 X 71 MM D/O</t>
  </si>
  <si>
    <t>BOF0150SF1100</t>
  </si>
  <si>
    <t>BOB DIN EN 10130 DC01 1,50X1100MM</t>
  </si>
  <si>
    <t>DJ000095Z / DJ000101Z / DA000212Z</t>
  </si>
  <si>
    <t>BOQ0400ED1150</t>
  </si>
  <si>
    <t>NBR6656 LNE38 4,00X1150 D/O</t>
  </si>
  <si>
    <t>Volvo Travessa</t>
  </si>
  <si>
    <t>DA000509AA / MB003673LB / SV001134LD / VB00342LA</t>
  </si>
  <si>
    <t>CHQ0400EA12002000</t>
  </si>
  <si>
    <t>NBR6656 LNE26 4,00X1200X2000 D/O</t>
  </si>
  <si>
    <t>JUMELLO</t>
  </si>
  <si>
    <t>DA000513AA / MB002116LB / MB000430LC</t>
  </si>
  <si>
    <t>SLQ0400EE0625</t>
  </si>
  <si>
    <t>MB002313AL / MB002314AL / MB002315AL</t>
  </si>
  <si>
    <t>SLQ0250KD0144</t>
  </si>
  <si>
    <t>LQ TL 1111 2,50x144MM D/O</t>
  </si>
  <si>
    <t>VW001205Z</t>
  </si>
  <si>
    <t>CHC0200DV12001125</t>
  </si>
  <si>
    <t>CHC</t>
  </si>
  <si>
    <t xml:space="preserve">VW000239Z / VW000301Z / VW000496Z / VW000616Z / VW000555Z / </t>
  </si>
  <si>
    <t>BOZ0120SE1250</t>
  </si>
  <si>
    <t>BOB EN 10346 DX54D Z100 MBO 1,20X1350MM</t>
  </si>
  <si>
    <t>MB003556Z / MB003557Z</t>
  </si>
  <si>
    <t>BOF0190AK1100</t>
  </si>
  <si>
    <t>NBR5915 LF EEP</t>
  </si>
  <si>
    <t>SLZ0065ID0430</t>
  </si>
  <si>
    <t>GMW3032M / ST-S-CR210B2 0,65 X 1400</t>
  </si>
  <si>
    <t>DJ000225Z</t>
  </si>
  <si>
    <t>SLF0120AH0101</t>
  </si>
  <si>
    <t>SL NBR5915 LF EM 1,20X100 -1,00MM</t>
  </si>
  <si>
    <t>BOQ0375PQ1350</t>
  </si>
  <si>
    <t>EN10149-2 S460MC 3,75MTH x 1350</t>
  </si>
  <si>
    <t>DA000487AA / DA000488AA</t>
  </si>
  <si>
    <t>Redução de 20mm no blank (0,4kg)/peça</t>
  </si>
  <si>
    <t>CHF0100BC12002000</t>
  </si>
  <si>
    <t>USISTAR470 1,00X1200X2000</t>
  </si>
  <si>
    <t>DA000524LA / MB000422LA / MB000423LA / SV001134LB</t>
  </si>
  <si>
    <t>CHF0200DV10001700</t>
  </si>
  <si>
    <t>CHF NBR5915 EM 2,00X1000X1700</t>
  </si>
  <si>
    <t>MB003554LA</t>
  </si>
  <si>
    <t>BOF0150IO1150</t>
  </si>
  <si>
    <t>DIN EN 10130 DC04</t>
  </si>
  <si>
    <t>VW -SC -VINH
Boccar</t>
  </si>
  <si>
    <t>Motor 1.6</t>
  </si>
  <si>
    <t>DA000216Z / DA000217Z / DA000218Z / DA000219Z / DA000220Z / DA000221Z / DA000233Z / DA000234Z</t>
  </si>
  <si>
    <t>SLQ0475AS0178</t>
  </si>
  <si>
    <t>DA000535Z</t>
  </si>
  <si>
    <t>BOF0125TU1200</t>
  </si>
  <si>
    <t>EN-10346-15-HX420-LAD</t>
  </si>
  <si>
    <t>PL000002AA / PL000003AA</t>
  </si>
  <si>
    <t>CHZ0065ID14000900</t>
  </si>
  <si>
    <t>BDZ</t>
  </si>
  <si>
    <t>DJ000136Z</t>
  </si>
  <si>
    <t>SLZ0200CN0084</t>
  </si>
  <si>
    <t>CH EN10327 DX53D Z100 2,00X1200X1330MM</t>
  </si>
  <si>
    <t>VW000570Z / VW000571Z</t>
  </si>
  <si>
    <t>SLZ0060CN0210</t>
  </si>
  <si>
    <t>SL EN10346 DX53D Z100 MB 0,60X210MM</t>
  </si>
  <si>
    <t>VW000507Z / VW000509Z</t>
  </si>
  <si>
    <t>SLZ0190HU0130</t>
  </si>
  <si>
    <t>GMW2M-ST-S-CR2-HD60G60G-U</t>
  </si>
  <si>
    <t>DJ0002323Z</t>
  </si>
  <si>
    <t>BOQ0190EA1000</t>
  </si>
  <si>
    <t>DA000273Z / DA000274Z / DA000282Z / DA000283Z</t>
  </si>
  <si>
    <t>SLQ0200EJ0050</t>
  </si>
  <si>
    <t>CH NBR5906 EM SC D/O 2,00X1200X1125mm</t>
  </si>
  <si>
    <t>VW000219Z</t>
  </si>
  <si>
    <t>CHF0085AH12001760</t>
  </si>
  <si>
    <t>VW000119Z / VW000120Z</t>
  </si>
  <si>
    <t>CHQ0475EJ14502140</t>
  </si>
  <si>
    <t>VW001138Z</t>
  </si>
  <si>
    <t>CHZ0060HU14001000</t>
  </si>
  <si>
    <t>SLF0200AH0115</t>
  </si>
  <si>
    <t>N EN 10130 DC01</t>
  </si>
  <si>
    <t>BOF0070VO1400</t>
  </si>
  <si>
    <t>N 10130 06 DC05 A-m</t>
  </si>
  <si>
    <t>Voyage</t>
  </si>
  <si>
    <t>CHF0150JZ12001500</t>
  </si>
  <si>
    <t>DIN EN10268 HC420LA 1,50X1200X1500</t>
  </si>
  <si>
    <t>SLZ0070TB0515</t>
  </si>
  <si>
    <t>GMW2M-ST-S-CR4-HD60G60G-U</t>
  </si>
  <si>
    <t>JOY PLUS</t>
  </si>
  <si>
    <t>SLF0100IA0470</t>
  </si>
  <si>
    <t>GMW3032M / ST-S-CR180B2</t>
  </si>
  <si>
    <t>CHQ0200SB12002000</t>
  </si>
  <si>
    <t>SLZ0120CO0600</t>
  </si>
  <si>
    <t>SLZ0100HU0112</t>
  </si>
  <si>
    <t>SLZ0120HV0350</t>
  </si>
  <si>
    <t>GMW2M-ST-S-CR3-HD60G60G-</t>
  </si>
  <si>
    <t>SLZ0100HU0100</t>
  </si>
  <si>
    <t>CHQ0600KX12201750</t>
  </si>
  <si>
    <t>CHQ NBR6656 LNE38 6,00X1220X1750 MTL D/O</t>
  </si>
  <si>
    <t>CHF0265AK12002000</t>
  </si>
  <si>
    <t>CH NBR5915 LF EEP 2,65X1200X2000 MM</t>
  </si>
  <si>
    <t>BOF0190AK1200</t>
  </si>
  <si>
    <t>BOF0150AK1100</t>
  </si>
  <si>
    <t>SLZ0080TB0506</t>
  </si>
  <si>
    <t>GMW2M-ST-S-CR4 HD60G60G-E 0,80X1050</t>
  </si>
  <si>
    <t>JOY</t>
  </si>
  <si>
    <t>CHQ0200EH12002000</t>
  </si>
  <si>
    <t>CHQ NBR6655 LN280 2,00X1200X2000 D/O</t>
  </si>
  <si>
    <t>Volvo - VB323</t>
  </si>
  <si>
    <t>BOQ0475GB1050</t>
  </si>
  <si>
    <t>CHF0080HY12000490</t>
  </si>
  <si>
    <t>BOB0,80X1200 GMW3032M-ST-S-CR340LA-UNCOA</t>
  </si>
  <si>
    <t>BOF0100GI0920</t>
  </si>
  <si>
    <t>EN10268 HC300LA 1</t>
  </si>
  <si>
    <t>FOX</t>
  </si>
  <si>
    <t>SLZ0100TB0350</t>
  </si>
  <si>
    <t>GMW2M-ST-S-CR4-HD60G60G-U 1,00X350</t>
  </si>
  <si>
    <t>CHF0106AH10001520</t>
  </si>
  <si>
    <t>SLZ0150HX0212</t>
  </si>
  <si>
    <t>BOQ0800IH1200</t>
  </si>
  <si>
    <t>SLF0150IB0050</t>
  </si>
  <si>
    <t>GMW3032M-STS-270LA-UNCOAT-U#1,5MMx1200MM</t>
  </si>
  <si>
    <t>BOF0090HW1500</t>
  </si>
  <si>
    <t>CHQ0475AS12001390</t>
  </si>
  <si>
    <t>BDZ0200DB11100320</t>
  </si>
  <si>
    <t>UP</t>
  </si>
  <si>
    <t>BLZ0070CM01970775</t>
  </si>
  <si>
    <t>EN10346 DX52D ZF100</t>
  </si>
  <si>
    <t>VECTRA</t>
  </si>
  <si>
    <t>BOE0090VR1250</t>
  </si>
  <si>
    <t>VW 50065 CR3 EG29/EG29 0,90X1250MM</t>
  </si>
  <si>
    <t>SLF0060FY0800</t>
  </si>
  <si>
    <t>BOB DIN EN 10130 DC05 0,60X1600MM</t>
  </si>
  <si>
    <t>BOF0060HZ1300</t>
  </si>
  <si>
    <t>GMW2M-STS-CR2-UNCOATED-U#0,6MMx1300MM</t>
  </si>
  <si>
    <t>BOF0060SS1000</t>
  </si>
  <si>
    <t>EN10130+A1 DC05-B-m 0,60X1000 M10441475</t>
  </si>
  <si>
    <t>Gol</t>
  </si>
  <si>
    <t>BOF0070HZ1500</t>
  </si>
  <si>
    <t>BOB 0,70X1500 GMW2M-ST-S-CR2-UNCOATED</t>
  </si>
  <si>
    <t>BOF0070IO1400</t>
  </si>
  <si>
    <t>NBR 5915 EP</t>
  </si>
  <si>
    <t>BOF0070KO0900</t>
  </si>
  <si>
    <t>BO EN10130 DC03 AO</t>
  </si>
  <si>
    <t>BOF0070SF1300</t>
  </si>
  <si>
    <t>DIN EN 10130 DC01</t>
  </si>
  <si>
    <t>BOF0080HI1150</t>
  </si>
  <si>
    <t>EN10130+A1 DC06 -A-m 0,80X1150 M10441474</t>
  </si>
  <si>
    <t>BOF0080HW1400</t>
  </si>
  <si>
    <t>BOB0,80X1400GMW3032M-ST-S-CR210B2-UNCOAT</t>
  </si>
  <si>
    <t>JOY COLÔMBIA</t>
  </si>
  <si>
    <t>BOF0080IU1400</t>
  </si>
  <si>
    <t>EN10268 H320LA</t>
  </si>
  <si>
    <t>BOF0080ST0930</t>
  </si>
  <si>
    <t>EN10130+A1 DC04-A-m</t>
  </si>
  <si>
    <t>BOF0090IK1300</t>
  </si>
  <si>
    <t>BOB DIN EN10130 DC03 0,90X1300 M10840077</t>
  </si>
  <si>
    <t>BOF0100HY1300</t>
  </si>
  <si>
    <t>GMW3032M / ST-S-CR340LA</t>
  </si>
  <si>
    <t>BOF0100TR1200</t>
  </si>
  <si>
    <t>BOB VW50065 CR440Y780T-DP 1,00X1200mm</t>
  </si>
  <si>
    <t>BOF0120HW1000</t>
  </si>
  <si>
    <t>GMW3032M-ST-S-CR210B2-UNC 1,20X1000</t>
  </si>
  <si>
    <t>BOF0130RG0950</t>
  </si>
  <si>
    <t>GMW3399M-ST-S-CR590T/340Y-DP U 1,3x950MM</t>
  </si>
  <si>
    <t>SLF0150IK0148</t>
  </si>
  <si>
    <t>DIN EN 10130 DC03 1,</t>
  </si>
  <si>
    <t>BOF0150JZ1300</t>
  </si>
  <si>
    <t>BO DIN EN10268 HC420LA 1,50X1300MM</t>
  </si>
  <si>
    <t>BOF0150SF1200</t>
  </si>
  <si>
    <t>BOB DIN EN 10130 DC01 1,50X1200MM</t>
  </si>
  <si>
    <t>BOF0150TN1050</t>
  </si>
  <si>
    <t>BOBINA VW50065 CR270LA 1,50X1050 MM</t>
  </si>
  <si>
    <t>SLF0175HE0500</t>
  </si>
  <si>
    <t>BOB EN10268 H280LA 1,75X1000MM M10440487</t>
  </si>
  <si>
    <t>CHQ0200AT12501648</t>
  </si>
  <si>
    <t>BOQ0200ED1100</t>
  </si>
  <si>
    <t>BOQ NBR6656 LNE38 2,00x1100</t>
  </si>
  <si>
    <t>Volvo</t>
  </si>
  <si>
    <t>SLQ0200HM0090</t>
  </si>
  <si>
    <t>GMW3032M-STS-HR550LA-UNCOAT-U#2,0MMx1000</t>
  </si>
  <si>
    <t>BOQ0375EE1300</t>
  </si>
  <si>
    <t>SLQ0450BF0200</t>
  </si>
  <si>
    <t>EN10149-2-95-S355MC D</t>
  </si>
  <si>
    <t>P&amp;A - Kombi</t>
  </si>
  <si>
    <t>BOQ0575EE1150</t>
  </si>
  <si>
    <t>De MTH para MTL</t>
  </si>
  <si>
    <t>ANCHIETA - VOLVO</t>
  </si>
  <si>
    <t>DA000459AC / DA000459AD</t>
  </si>
  <si>
    <t>Aterar fonte de distibuição do BOQ0575EE1150 MTH (Usiminas) para BOQ0600LA1150 MTL (Arcelor) visando reduzir o preço do Kg .</t>
  </si>
  <si>
    <t>BOQ0575PQ1150</t>
  </si>
  <si>
    <t>EN10149-2 S460MC 5,75MTH x 1150</t>
  </si>
  <si>
    <t>FERRAZ / ANCHIETA / SCANIA</t>
  </si>
  <si>
    <t>DA000489AB / DA000487AB</t>
  </si>
  <si>
    <t>Peso bruto: de 4,27 Kg / peça para 4,18kg / peça</t>
  </si>
  <si>
    <t>NBR6656 LNE50 8,00+0,05/-0,25X1200</t>
  </si>
  <si>
    <t>BOQ0800SJ1300</t>
  </si>
  <si>
    <t>BOZ0060HU1400</t>
  </si>
  <si>
    <t>GMW2M-ST-S CR2 HD60G/60GU-0,60X1400mm</t>
  </si>
  <si>
    <t>BOZ0060JA1000</t>
  </si>
  <si>
    <t>VW TL1550 - 220 Z100 0,60 X 1000 MM</t>
  </si>
  <si>
    <t>P&amp;A - UP</t>
  </si>
  <si>
    <t>BOZ0065HV0950</t>
  </si>
  <si>
    <t>GMW2M-ST-S-CR3-HD60G60G-U 0,65X950</t>
  </si>
  <si>
    <t>BOZ0065HV1000</t>
  </si>
  <si>
    <t>GMW2M-ST-S-CR3-HD60G60G-U 0,65X1000</t>
  </si>
  <si>
    <t>TRACKER /ONIX PLUS (NB)</t>
  </si>
  <si>
    <t>BOZ0065HV1150</t>
  </si>
  <si>
    <t>GMW2M / ST-S-CR3</t>
  </si>
  <si>
    <t>DONGWON</t>
  </si>
  <si>
    <t>BOZ0065ZH1000</t>
  </si>
  <si>
    <t>GMW2M / ST-S-CR3-HD60G60GU#0,65x1000</t>
  </si>
  <si>
    <t>BOZ0070HV1450</t>
  </si>
  <si>
    <t>MW2M-ST-S-CR3-HD60G60G</t>
  </si>
  <si>
    <t>BOZ0070HV1500</t>
  </si>
  <si>
    <t>BOB 0,70 X 1500 GMW2M-ST-S-CR3-HD60G60G</t>
  </si>
  <si>
    <t>BOZ0075CO1400</t>
  </si>
  <si>
    <t>EN10346 DX54D Z100</t>
  </si>
  <si>
    <t>BOZ0080HV1300</t>
  </si>
  <si>
    <t>GMW2M-ST-S-CR3-HD60G60G-U 0,80X1300</t>
  </si>
  <si>
    <t>TRACKER /ONIX (HB)/ONIX PLUS (NB)</t>
  </si>
  <si>
    <t>BOZ0090CO1400</t>
  </si>
  <si>
    <t>EN10346 DX54D Z100MB</t>
  </si>
  <si>
    <t>P&amp;A - Fox</t>
  </si>
  <si>
    <t>BOZ0093DO1450</t>
  </si>
  <si>
    <t>EN10292 H220YD Z10</t>
  </si>
  <si>
    <t>P&amp;A -Volks Vinhedo - Gol/Voyage 4ªg</t>
  </si>
  <si>
    <t>BOZ0094CO1200</t>
  </si>
  <si>
    <t>EN10327 DX54D Z100 0,94X1200MM (MTH)</t>
  </si>
  <si>
    <t>BOZ0100CM1100</t>
  </si>
  <si>
    <t>EN10346 DX52DZ100 1,00X1100 M10432694</t>
  </si>
  <si>
    <t>BOZ0100DA0850</t>
  </si>
  <si>
    <t>BO EN10346 HX260YDZ100 1X850MM M10432681</t>
  </si>
  <si>
    <t>BOZ0100DB1000</t>
  </si>
  <si>
    <t>EN10292 H340LAD Z100 1,00x1000 M10441436</t>
  </si>
  <si>
    <t>BOZ0100JA1400</t>
  </si>
  <si>
    <t>VWTL1550-220 Z100 1,00X1400 M10441248</t>
  </si>
  <si>
    <t>BOZ0120SM1050</t>
  </si>
  <si>
    <t>VW50065 CR240LA-GI40/40U 1,20X1050MM</t>
  </si>
  <si>
    <t>BOZ0130HU1200</t>
  </si>
  <si>
    <t>BOZ0140HV1100</t>
  </si>
  <si>
    <t>BOZ0140HV1200</t>
  </si>
  <si>
    <t>BOZ0140HX1000</t>
  </si>
  <si>
    <t>SLZ0140ID0550</t>
  </si>
  <si>
    <t>BOZ0150CO1000</t>
  </si>
  <si>
    <t>BOB EN10346 DX54D Z100 1,50X1000 MM</t>
  </si>
  <si>
    <t>VW - TBT</t>
  </si>
  <si>
    <t>BOZ0150HU1050</t>
  </si>
  <si>
    <t>BO95-GMW2M-ST-S-CR2-HD60G60G</t>
  </si>
  <si>
    <t>BOZ0150HX1300</t>
  </si>
  <si>
    <t>GMW3032M-CR340LA-HD60G60GU#1,5MMx1300MM</t>
  </si>
  <si>
    <t>BOZ0150TG1050</t>
  </si>
  <si>
    <t>BOB VW50065 CR270LA GI 40/40-U 1,50X1050</t>
  </si>
  <si>
    <t>BOZ0150ZE1050</t>
  </si>
  <si>
    <t>EN10268 HX460LAD Z100 1,50X1050MM</t>
  </si>
  <si>
    <t>BOZ0200DO1125</t>
  </si>
  <si>
    <t>EN10346 HX220YD Z100 2,00X1125 M10441435</t>
  </si>
  <si>
    <t>CHF0090TG11000246</t>
  </si>
  <si>
    <t>BOB VW50065 - CR240LA - 0,90X1100MM</t>
  </si>
  <si>
    <t>CHF0120TG03000188</t>
  </si>
  <si>
    <t>B VW50065 - CR240LA -</t>
  </si>
  <si>
    <t>CHF0150BC12009295</t>
  </si>
  <si>
    <t>CH NBR5920 USISTAR 470 1,50x1200x929,50</t>
  </si>
  <si>
    <t>FAURECIA</t>
  </si>
  <si>
    <t>CHF0200DV10002720</t>
  </si>
  <si>
    <t>CHF NBR5915 EM 2,00X1000X2720</t>
  </si>
  <si>
    <t>CHF0200SF12002000</t>
  </si>
  <si>
    <t>DIN EN 10130 DC01 1,</t>
  </si>
  <si>
    <t>SCANIA FRONT MODULE</t>
  </si>
  <si>
    <t>CHQ0200EA12002000</t>
  </si>
  <si>
    <t>NBR 6656 LNE26 2,00x1200x2000 D/O</t>
  </si>
  <si>
    <t>CHQ0200EJ11001775</t>
  </si>
  <si>
    <t>EN10025 LQ S275-JR SC2,00MHx1100x1775</t>
  </si>
  <si>
    <t>CHQ0200EJ11001925</t>
  </si>
  <si>
    <t>CHQ0200EJ12001950</t>
  </si>
  <si>
    <t>CH EN10025 S275-JR 1,86+0,28 x1200x1950</t>
  </si>
  <si>
    <t>MAN /GMB</t>
  </si>
  <si>
    <t>CHQ0250EJ12501720</t>
  </si>
  <si>
    <t>2.50</t>
  </si>
  <si>
    <t>EN10025 HSP S275JR 2,50 MH x1250x1720</t>
  </si>
  <si>
    <t>CHQ0300EB11502000</t>
  </si>
  <si>
    <t>CH 6656 LNE280J1 D/O 3,00 X 1150 X 2000</t>
  </si>
  <si>
    <t>CHQ0300ED12002000</t>
  </si>
  <si>
    <t>BR6656 LNE38 DO 3</t>
  </si>
  <si>
    <t>CHQ0300EJ12201400</t>
  </si>
  <si>
    <t>CH EN10025 S275JR 3,00X1220X1400</t>
  </si>
  <si>
    <t>CHQ0400AO12503000</t>
  </si>
  <si>
    <t>NBR6656 LNE23 4,00X1250X3000 MTL D/O</t>
  </si>
  <si>
    <t>CHQ0400ED12001950</t>
  </si>
  <si>
    <t>CHQ NBR6656 - LNE380 4,00x1200x1950</t>
  </si>
  <si>
    <t>Foices nova</t>
  </si>
  <si>
    <t>CHQ0400EE12002100</t>
  </si>
  <si>
    <t>Q NBR6656 LNE50 4,00X1200X2100 D/O</t>
  </si>
  <si>
    <t>CHQ0400EE12500235</t>
  </si>
  <si>
    <t>CHQ0475AT13002805</t>
  </si>
  <si>
    <t>NBR6656LNE50</t>
  </si>
  <si>
    <t>CHQ0475EL11002000</t>
  </si>
  <si>
    <t>SAE1008</t>
  </si>
  <si>
    <t>CHQ0500AJ11002200</t>
  </si>
  <si>
    <t>CHQ0500EA10001200</t>
  </si>
  <si>
    <t>CH NBR6656 LNE26 D/O 5,00x1000x1200</t>
  </si>
  <si>
    <t>CHQ0600DW12002000</t>
  </si>
  <si>
    <t>CHZ0075DI04500700</t>
  </si>
  <si>
    <t>DIN EN10292 H220 YD Z100MA</t>
  </si>
  <si>
    <t>CHZ0085CO01700210</t>
  </si>
  <si>
    <t>DIN EN10327 DX54D Z100MA 0,85X170X210MM</t>
  </si>
  <si>
    <t>RTE0100VR01400093</t>
  </si>
  <si>
    <t>RTE</t>
  </si>
  <si>
    <t>W 50065 CR3 EG29/EG29 1,00X140X93MM</t>
  </si>
  <si>
    <t>SLF0075AH0170</t>
  </si>
  <si>
    <t>SL NBR5915 LF EM 0,75X170 +0,0 -0,5 MM</t>
  </si>
  <si>
    <t>Carter Motor 1.0 Corsa</t>
  </si>
  <si>
    <t>SLF0075AH0199</t>
  </si>
  <si>
    <t>SL NBR5915 LF EM 0,75X199 + - 0,5 MM</t>
  </si>
  <si>
    <t>SLF0075AH0234</t>
  </si>
  <si>
    <t>SL NBR5915 LF EM 0,75X234 +0,0 -0,5 MM</t>
  </si>
  <si>
    <t>SLF0080HY0793</t>
  </si>
  <si>
    <t>8X1600 GMW3032M-ST-S-CR340LA-UNCOA</t>
  </si>
  <si>
    <t>SLF0080HY0935</t>
  </si>
  <si>
    <t>GMW3032M-ST-S-CR340LA 0,8X1000 mm</t>
  </si>
  <si>
    <t>SLF0120DH0575</t>
  </si>
  <si>
    <t>BOB NBR5915 LF EEP G2 1,20 MH x 1150 MM</t>
  </si>
  <si>
    <t>SLF0120GI0147</t>
  </si>
  <si>
    <t>SL EN10268 H280LA 1,20 X 147 MM</t>
  </si>
  <si>
    <t>SLF0120HJ0525</t>
  </si>
  <si>
    <t>NBR5915 LF EEP PC 1,20MLx525 -1,0 MM</t>
  </si>
  <si>
    <t>SLF0140HU0045</t>
  </si>
  <si>
    <t>GMW 2M-ST-S-CR2-Uncoated-U #</t>
  </si>
  <si>
    <t>SLF0150HY0430</t>
  </si>
  <si>
    <t>GMW3032MSTS-CR340LA-UNCOAT</t>
  </si>
  <si>
    <t>SLF0150HY0560</t>
  </si>
  <si>
    <t>GMW3032M-ST-S-CR340LA-U-1,50X560/</t>
  </si>
  <si>
    <t>SLF0150HZ0210</t>
  </si>
  <si>
    <t>GMW2M-STS-CR2-UNCOATED-U#1,5MMx1050MM</t>
  </si>
  <si>
    <t>SLF0150HZ0250</t>
  </si>
  <si>
    <t>SLF0170BB0800</t>
  </si>
  <si>
    <t>USI STAR 450</t>
  </si>
  <si>
    <t>SLQ0200EJ0130</t>
  </si>
  <si>
    <t>SL DIN EN10025 S275-JR 2,00x130</t>
  </si>
  <si>
    <t>SLQ0250LN0150</t>
  </si>
  <si>
    <t>SL EN 10149 - 2 S420MC - 2,50X150 MM</t>
  </si>
  <si>
    <t>SLQ0580ED0111</t>
  </si>
  <si>
    <t>NBR6656 LNE38 DO MTH 5,8+0,34x110+/-0,05</t>
  </si>
  <si>
    <t>SLZ0060CN0137</t>
  </si>
  <si>
    <t>SL EN10346 DX53D Z100 0,60X137 MM</t>
  </si>
  <si>
    <t>SLZ0080UL0900</t>
  </si>
  <si>
    <t>W50065 - CR2 -GI40/40-U 0,80X900MM</t>
  </si>
  <si>
    <t>SLZ0100HU0120</t>
  </si>
  <si>
    <t>GMW2M-ST-S_CR2 HD60G60G U #1,0MMx1200MM</t>
  </si>
  <si>
    <t>SLZ0120UL0550</t>
  </si>
  <si>
    <t>VW 50065 - CR2-GI40/40-U</t>
  </si>
  <si>
    <t>SLZ0200CN0061</t>
  </si>
  <si>
    <t>SL EN10346 DX53D Z100 2,00x61 MM D/O</t>
  </si>
  <si>
    <t>CHF0120HJ08400140</t>
  </si>
  <si>
    <t>BOF0200DV1000</t>
  </si>
  <si>
    <t>BOF0200AH1450</t>
  </si>
  <si>
    <t>RTC0150IP04201510</t>
  </si>
  <si>
    <t>RTC</t>
  </si>
  <si>
    <t>CHF0150AI13001680</t>
  </si>
  <si>
    <t>CHF0120AH12001225</t>
  </si>
  <si>
    <t>SLF0075UO0500</t>
  </si>
  <si>
    <t>SLF0070IE0030</t>
  </si>
  <si>
    <t>BLF0060HA02851220</t>
  </si>
  <si>
    <t>BLF</t>
  </si>
  <si>
    <t>SLZ0120UI0316</t>
  </si>
  <si>
    <t>BOQ0475EJ1400</t>
  </si>
  <si>
    <t>CHQ0400DT11501500</t>
  </si>
  <si>
    <t>BLF0075IU05750620</t>
  </si>
  <si>
    <t>SLF0100AH0415</t>
  </si>
  <si>
    <t>SLZ0120SE0135</t>
  </si>
  <si>
    <t>CHQ0300ED12002870</t>
  </si>
  <si>
    <t>CHQ0250DL12502000</t>
  </si>
  <si>
    <t>CHF0200DV10002000</t>
  </si>
  <si>
    <t>CHQ0400ED11502100</t>
  </si>
  <si>
    <t>-0,00 / +0,58</t>
  </si>
  <si>
    <t>ARVINMERITOR-B105-13-06</t>
  </si>
  <si>
    <t>Grupo 1</t>
  </si>
  <si>
    <t>Gerdau/Usiminas</t>
  </si>
  <si>
    <t>MERITOR</t>
  </si>
  <si>
    <t>Carcaça</t>
  </si>
  <si>
    <t>Ferraz</t>
  </si>
  <si>
    <t>AM000062PA
AM000063PA</t>
  </si>
  <si>
    <t>Adequação de tolerância de largura e espessura</t>
  </si>
  <si>
    <t>BOQ1575BA1250</t>
  </si>
  <si>
    <t>AM000075PA
AM000064PA</t>
  </si>
  <si>
    <t>-0,00 / +0,54</t>
  </si>
  <si>
    <t>USISAR55</t>
  </si>
  <si>
    <t>Grupo 2</t>
  </si>
  <si>
    <t>SCANIA</t>
  </si>
  <si>
    <t>SV000119PA
SV000119PB
SV000114PA
SV000114PB
SV000164PA
SV000164PB
SV000115PA
SV000115PB
SV000120PB
SV000120PA
SV001333PA
SV001333PB</t>
  </si>
  <si>
    <t>Adequação de tolerância de espessura (MTL) e largura</t>
  </si>
  <si>
    <t>CHQ1275AZ24406900</t>
  </si>
  <si>
    <t>USISAR60A</t>
  </si>
  <si>
    <t>DANA</t>
  </si>
  <si>
    <t>Carcaça 174</t>
  </si>
  <si>
    <t>DN000174PA</t>
  </si>
  <si>
    <t>Material em processo de migração - Chapão → Bobina</t>
  </si>
  <si>
    <t>-0,25 / +0,05</t>
  </si>
  <si>
    <t>NBRLNE500</t>
  </si>
  <si>
    <t>METALSA / MBB / SCANIA</t>
  </si>
  <si>
    <t>VB000221LB
VB000221LA
MB000311LA
MB002402LA
MB002401LA
MB002183LG
MB002183LQ
DA000078LA
DA000080LA
SV000156LA
SV000153LA
MB002286AB
MB002287AA
VB000287LA
VB000286LA
MB000291GU
MB002252LA
DA000077LA
DA000079LA
SV000157LA
SV000152LA
MB002408LC
MB002408LB
SV000143LB
SV000143LA
VB000287LB
VB000286LB
DA000295Z
MB002286AC</t>
  </si>
  <si>
    <t>Adequação de tolerância de largura</t>
  </si>
  <si>
    <t>BOQ1000AY1050</t>
  </si>
  <si>
    <t>-0,25 / +0,00</t>
  </si>
  <si>
    <t>SV000118PA
SV000118PB
SV000117PA
SV000117PB
SV000162PA
SV000162PB
SV000121PA
SV000121PB</t>
  </si>
  <si>
    <t>BOQ0800ZL1220</t>
  </si>
  <si>
    <t>SAE-J403-14-1008</t>
  </si>
  <si>
    <t>Tampa</t>
  </si>
  <si>
    <t>AM000099PL</t>
  </si>
  <si>
    <t>Material em processo de migração - Prensa → Plasma</t>
  </si>
  <si>
    <t>CHQ1250AZ23306970</t>
  </si>
  <si>
    <t>Carcaça 179/183</t>
  </si>
  <si>
    <t>DN000179PA</t>
  </si>
  <si>
    <t>BOQ1275BA1250</t>
  </si>
  <si>
    <t>AM000101PA
AM000106PA</t>
  </si>
  <si>
    <t>CHQ0975AZ23006550</t>
  </si>
  <si>
    <t>Carcaça 166</t>
  </si>
  <si>
    <t>DN000166PA</t>
  </si>
  <si>
    <t>-0,00 / +0,56</t>
  </si>
  <si>
    <t>AM000093AP</t>
  </si>
  <si>
    <t>LNE-500</t>
  </si>
  <si>
    <t>MBB/VOLVO</t>
  </si>
  <si>
    <t>MB002301LA
VB000222GU
MB002302LA
MB000451GU
MB002183AI
MB002300LA
VB000214LA
MB002285GA
MB002422LX
MB002183LK
MB002183LV
MB002183LA
MB002183LB
MB002183LC
MB002183LD
MB002452AA
VW001099LA
MB002225LA
VW001126LA
VW001126LB
VW001102AB
VW001102LA
VW001099AB
MB002452LA
MB002440LX
MB002441LX
MB002183GI</t>
  </si>
  <si>
    <t>Desenvolvimento de nova chapa</t>
  </si>
  <si>
    <t>BOQ0580TV1500</t>
  </si>
  <si>
    <t>S700MC</t>
  </si>
  <si>
    <t>Bim</t>
  </si>
  <si>
    <t>SV000122PL
SV000122LE
SV000122LF</t>
  </si>
  <si>
    <t>Projeto declinado - Inviável</t>
  </si>
  <si>
    <t>BOQ0680TV1500</t>
  </si>
  <si>
    <t>-0,10 / +0,40</t>
  </si>
  <si>
    <t>Plate</t>
  </si>
  <si>
    <t>SV000122LC
SV000122LD
SV000123LC
SV000123LD</t>
  </si>
  <si>
    <t>BOQ0600AO1200</t>
  </si>
  <si>
    <t>LNE23</t>
  </si>
  <si>
    <t>VW001129LA
VW001130LA
VW001130LB
VW001133LC</t>
  </si>
  <si>
    <t>Kaizen implementado recente</t>
  </si>
  <si>
    <t>BOQ1075AZ1155</t>
  </si>
  <si>
    <t>Carcaça TGX</t>
  </si>
  <si>
    <t>AM000089PA
AM000090PA
AM000091PA
AM000092PA</t>
  </si>
  <si>
    <t>Projeto sem retorno financeiro</t>
  </si>
  <si>
    <t>CHQ0875AS14007665</t>
  </si>
  <si>
    <t>NBR6656 LNE38</t>
  </si>
  <si>
    <t>Viga banana</t>
  </si>
  <si>
    <t>SV000455PL</t>
  </si>
  <si>
    <t>Declinado - material diract buy</t>
  </si>
  <si>
    <t>BOQ0580HQ1000</t>
  </si>
  <si>
    <t>USIHF450</t>
  </si>
  <si>
    <t>Perna Moça</t>
  </si>
  <si>
    <t>MP000045PL
MP000046PL</t>
  </si>
  <si>
    <t>Sem melhorias identificadas</t>
  </si>
  <si>
    <t>LF</t>
  </si>
  <si>
    <t>NBR5915EM</t>
  </si>
  <si>
    <t>METALSA / MBB / SCANIA / MAN</t>
  </si>
  <si>
    <t>VB000216LA
VB000215LC
VB000215LB
VB000215LA
VB000213LE
VB000213LD
SV000277LA
ME000038LA
ME000037LA
DA000356LA
DA000296LA</t>
  </si>
  <si>
    <t>Desenvolvimento de novas chapas</t>
  </si>
  <si>
    <t>BOQ1075BA1250</t>
  </si>
  <si>
    <t>BOQ0600KX1450</t>
  </si>
  <si>
    <t>NBRLNE380</t>
  </si>
  <si>
    <t>MAN / MBB</t>
  </si>
  <si>
    <t>LNE-380</t>
  </si>
  <si>
    <t>MBB / MAN</t>
  </si>
  <si>
    <t>/unificar larg - 1150</t>
  </si>
  <si>
    <t>MBB / VOLVO / MAXION</t>
  </si>
  <si>
    <t>CHG1800BJ26008505</t>
  </si>
  <si>
    <t>ASTM A36</t>
  </si>
  <si>
    <t>SV000085AA</t>
  </si>
  <si>
    <t>BOQ0775BF1100</t>
  </si>
  <si>
    <t>S355MC</t>
  </si>
  <si>
    <t>DN000182PL</t>
  </si>
  <si>
    <t>MAXION/MERCEDES</t>
  </si>
  <si>
    <t>CHQ0700LN12001900</t>
  </si>
  <si>
    <t>S420MC</t>
  </si>
  <si>
    <t>SV000160GU</t>
  </si>
  <si>
    <t>Material em processo de migração - Prensa → Laser</t>
  </si>
  <si>
    <t>BOQ0775AB1100</t>
  </si>
  <si>
    <t>AM000031GU
AM000032GU
AM000034GU
AM000098GU</t>
  </si>
  <si>
    <t>Desenvolvimento de nova bobina</t>
  </si>
  <si>
    <t>BOQ0600AO1110</t>
  </si>
  <si>
    <t>VW001131LA
VW001153LA
VW001150LA</t>
  </si>
  <si>
    <t>Kaizen feito recentemente</t>
  </si>
  <si>
    <t>BOQ0725BF1100</t>
  </si>
  <si>
    <t>DN000172PL
DN000173PL</t>
  </si>
  <si>
    <t>S275-JR</t>
  </si>
  <si>
    <t>Reservatorio</t>
  </si>
  <si>
    <t>SV000098AE
SV000099AA</t>
  </si>
  <si>
    <t>Não foi identificado possibilidade de ganho</t>
  </si>
  <si>
    <t>EN_S275JR/04</t>
  </si>
  <si>
    <t>CUMMINS</t>
  </si>
  <si>
    <t>Grelha</t>
  </si>
  <si>
    <t>BOF0170DH1200R</t>
  </si>
  <si>
    <t>NBR5915EEPG2</t>
  </si>
  <si>
    <t>Carter Export</t>
  </si>
  <si>
    <t>BOQ0200EJ1200</t>
  </si>
  <si>
    <t>S275JRAR</t>
  </si>
  <si>
    <t>CHQ0800AP12002420</t>
  </si>
  <si>
    <t>NBRLNE260</t>
  </si>
  <si>
    <t>SCANIA / MBB</t>
  </si>
  <si>
    <t>SV000097AA
SV000098AA</t>
  </si>
  <si>
    <t>BOQ1100AY1050</t>
  </si>
  <si>
    <t>Carcaça 170</t>
  </si>
  <si>
    <t>BOQ0400ED1200</t>
  </si>
  <si>
    <t>EN100252S275JR</t>
  </si>
  <si>
    <t>CHQ1600EB12002000</t>
  </si>
  <si>
    <t>c</t>
  </si>
  <si>
    <t>CHQ0350EA12002000</t>
  </si>
  <si>
    <t>BOQ0630LA1220</t>
  </si>
  <si>
    <t>CHQ0300BF12002900</t>
  </si>
  <si>
    <t>EN_S355MC/13</t>
  </si>
  <si>
    <t>Setefer</t>
  </si>
  <si>
    <t>S500MC</t>
  </si>
  <si>
    <t>CHQ0400EJ13501850</t>
  </si>
  <si>
    <t>MBB / SCANIA / VOLVO / MAN</t>
  </si>
  <si>
    <t>BGQ0200EJ11000275
MB003675LB
MB003675AC</t>
  </si>
  <si>
    <t>CHQ0800IH12002590</t>
  </si>
  <si>
    <t>CHQ0800IH12002000</t>
  </si>
  <si>
    <t>CHQ0950AT12003000</t>
  </si>
  <si>
    <t>Multiaços</t>
  </si>
  <si>
    <t>CHQ0300DX12002100</t>
  </si>
  <si>
    <t>NBR-5906-08-EPA</t>
  </si>
  <si>
    <t>CNH</t>
  </si>
  <si>
    <t>SLQ0600DW0250</t>
  </si>
  <si>
    <t>LNE28</t>
  </si>
  <si>
    <t>FORD</t>
  </si>
  <si>
    <t>CHQ0800IH12001570</t>
  </si>
  <si>
    <t>CHF0150AK12001030</t>
  </si>
  <si>
    <t>NBR5915EEPG1</t>
  </si>
  <si>
    <t>Carter</t>
  </si>
  <si>
    <t>CHQ0800JW12001735</t>
  </si>
  <si>
    <t>LN28</t>
  </si>
  <si>
    <t>CHF0150AK10301845</t>
  </si>
  <si>
    <t>LNE50</t>
  </si>
  <si>
    <t>CHQ0300LN12002000</t>
  </si>
  <si>
    <t>s420</t>
  </si>
  <si>
    <t>Mercado</t>
  </si>
  <si>
    <t>CHQ0600AV12002000</t>
  </si>
  <si>
    <t>CH NBR6655 LN24 6,00X1100X2000 D/O</t>
  </si>
  <si>
    <t>CHQ0300EA11502550</t>
  </si>
  <si>
    <t>LNE26</t>
  </si>
  <si>
    <t>CHQ0300AO12003000</t>
  </si>
  <si>
    <t>CHQ0400EJ13502850</t>
  </si>
  <si>
    <t>CHQ1250AS12002900</t>
  </si>
  <si>
    <t>LNE38</t>
  </si>
  <si>
    <t>CHQ0950AS12002160</t>
  </si>
  <si>
    <t>SCANIA / MAN / MBB</t>
  </si>
  <si>
    <t>CHQ1200AT11002150</t>
  </si>
  <si>
    <t>LNE500</t>
  </si>
  <si>
    <t>CHQ0800IH12001900</t>
  </si>
  <si>
    <t>CHQ0300EE10001600</t>
  </si>
  <si>
    <t>CHQ0600AP12002000</t>
  </si>
  <si>
    <t>CHF0150AK10301230</t>
  </si>
  <si>
    <t>CHQ0300EG12002000</t>
  </si>
  <si>
    <t>LNE24</t>
  </si>
  <si>
    <t>CHQ0400EG12002000</t>
  </si>
  <si>
    <t>CHF0150AK12002250</t>
  </si>
  <si>
    <t>BLD0150DP04901130</t>
  </si>
  <si>
    <t>chapa dupla</t>
  </si>
  <si>
    <t>WOLVERINE TEKNO</t>
  </si>
  <si>
    <t>MWM</t>
  </si>
  <si>
    <t>CHQ0200AO11502840</t>
  </si>
  <si>
    <t>CHQ0800IH12002680</t>
  </si>
  <si>
    <t>BLF0150AK10301240</t>
  </si>
  <si>
    <t>CHQ0600LN14002000</t>
  </si>
  <si>
    <t>DELGA ANCHIETA</t>
  </si>
  <si>
    <t>BLD0150DP07552060</t>
  </si>
  <si>
    <t>CHQ0300EA11502450</t>
  </si>
  <si>
    <t>CHQ0475DZ12502880</t>
  </si>
  <si>
    <t>LN23</t>
  </si>
  <si>
    <t>EP</t>
  </si>
  <si>
    <t>CHQ0700AO12002360</t>
  </si>
  <si>
    <t>lealfer</t>
  </si>
  <si>
    <t>CHF0106AH08001520</t>
  </si>
  <si>
    <t>0800</t>
  </si>
  <si>
    <t>CH NBR5915 EM 1,06x800X1520</t>
  </si>
  <si>
    <t>CHF0190AL12001030</t>
  </si>
  <si>
    <t>EEP PC GR2</t>
  </si>
  <si>
    <t>BLD0150DP04901150</t>
  </si>
  <si>
    <t>CHQ0475AV12002000</t>
  </si>
  <si>
    <t>LN24</t>
  </si>
  <si>
    <t>CHQ0950AO12502890</t>
  </si>
  <si>
    <t>BLD0150DP04901230</t>
  </si>
  <si>
    <t>CHQ0700AS10002000</t>
  </si>
  <si>
    <t>CHQ0200LN12002000</t>
  </si>
  <si>
    <t>CHQ0200EG10501600</t>
  </si>
  <si>
    <t>LN240</t>
  </si>
  <si>
    <t>CHF0150CV12002000</t>
  </si>
  <si>
    <t>CH EN10346 DX51D+Z275 1,50x1200x2000</t>
  </si>
  <si>
    <t>CHF0150BC11002000</t>
  </si>
  <si>
    <t>USISTAR 470</t>
  </si>
  <si>
    <t>VOLVO</t>
  </si>
  <si>
    <t>CHQ2000BF12506000</t>
  </si>
  <si>
    <t>CHF0200AH12002000</t>
  </si>
  <si>
    <t>DC01</t>
  </si>
  <si>
    <t>CHQ0200ED12002430</t>
  </si>
  <si>
    <t>CHQ0300ED12003000</t>
  </si>
  <si>
    <t>LN280</t>
  </si>
  <si>
    <t>EPA</t>
  </si>
  <si>
    <t>DELGA DIADEMA</t>
  </si>
  <si>
    <t>CHQ0700AO12002000</t>
  </si>
  <si>
    <t>CHF0150AK10301340</t>
  </si>
  <si>
    <t>CHF0150AK12002000</t>
  </si>
  <si>
    <t>BLD0150DP07552160</t>
  </si>
  <si>
    <t>CHF0120AH12002000</t>
  </si>
  <si>
    <t>EM</t>
  </si>
  <si>
    <t>CHF0150AK12001340</t>
  </si>
  <si>
    <t>HC420LA</t>
  </si>
  <si>
    <t>CHF0150AK12001536</t>
  </si>
  <si>
    <t>BLD0150DP04902000</t>
  </si>
  <si>
    <t>CHF0120HJ11502000</t>
  </si>
  <si>
    <t>EEP</t>
  </si>
  <si>
    <t>CHQ0250AO12002000</t>
  </si>
  <si>
    <t>CHQ0425EA12002000</t>
  </si>
  <si>
    <t>CHQ0500BF12002250</t>
  </si>
  <si>
    <t>CHF0090FH12002000</t>
  </si>
  <si>
    <t>CHZ0150CD10001140</t>
  </si>
  <si>
    <t>HDG</t>
  </si>
  <si>
    <t>DX53D ZF100</t>
  </si>
  <si>
    <t>BOQ0200AT1100</t>
  </si>
  <si>
    <t>BOQ0975AZ1300</t>
  </si>
  <si>
    <t>Projeto duplicado comm o CHQ0975AZ23006550</t>
  </si>
  <si>
    <t>CHQ0775LN11002130</t>
  </si>
  <si>
    <t>CHQ1250AZ24406900</t>
  </si>
  <si>
    <t>carcaça desenvo</t>
  </si>
  <si>
    <t>CHF0060AK08001435</t>
  </si>
  <si>
    <t>BLF0100AH02151150</t>
  </si>
  <si>
    <t>BOSCH</t>
  </si>
  <si>
    <t>BLF0100AH02281150</t>
  </si>
  <si>
    <t>STAR 470</t>
  </si>
  <si>
    <t>CHF0120AK12002000</t>
  </si>
  <si>
    <t>Mercedes/volvo</t>
  </si>
  <si>
    <t>CHF0125AF12002000</t>
  </si>
  <si>
    <t>CHF0150AK10301050</t>
  </si>
  <si>
    <t>BLF0150AK03151250</t>
  </si>
  <si>
    <t>BLF0150AK02951250</t>
  </si>
  <si>
    <t>CHF0150AK12001500</t>
  </si>
  <si>
    <t>CHF0150AK12001875</t>
  </si>
  <si>
    <t>CHF0150AK12002400</t>
  </si>
  <si>
    <t>CHF0150IO11501725</t>
  </si>
  <si>
    <t>DC04</t>
  </si>
  <si>
    <t>CHF0150BC12001642</t>
  </si>
  <si>
    <t>USI STAR470</t>
  </si>
  <si>
    <t>BLF0150AI13000310</t>
  </si>
  <si>
    <t>CHZ0150CD13001810</t>
  </si>
  <si>
    <t>CHF0190AK11001232</t>
  </si>
  <si>
    <t>EEP G1</t>
  </si>
  <si>
    <t>CHF0190AK12002600</t>
  </si>
  <si>
    <t>CHF0190AK11001420</t>
  </si>
  <si>
    <t>CHF0190AM11001660</t>
  </si>
  <si>
    <t>EEP G3</t>
  </si>
  <si>
    <t>CHF0190AK12002400</t>
  </si>
  <si>
    <t>CHZ0200CB10500800</t>
  </si>
  <si>
    <t>DX51D ZF100</t>
  </si>
  <si>
    <t>CHF0200AH01151000</t>
  </si>
  <si>
    <t>0115</t>
  </si>
  <si>
    <t>EN 10130 DC01</t>
  </si>
  <si>
    <t>CHF0200HI12001150</t>
  </si>
  <si>
    <t>DC06</t>
  </si>
  <si>
    <t>CHQ0200IH12002000</t>
  </si>
  <si>
    <t>CHF0225AK12002100</t>
  </si>
  <si>
    <t>EEP GRAU1</t>
  </si>
  <si>
    <t>CHQ0225AF12002000</t>
  </si>
  <si>
    <t>CH SAE1010/1020</t>
  </si>
  <si>
    <t>CHQ0225DX12002100</t>
  </si>
  <si>
    <t>0144</t>
  </si>
  <si>
    <t>TL 1111</t>
  </si>
  <si>
    <t>CHQ0250EA12002000</t>
  </si>
  <si>
    <t>CHQ0250EG12002000</t>
  </si>
  <si>
    <t>CHQ0300AD12002000</t>
  </si>
  <si>
    <t>SAE1010/20</t>
  </si>
  <si>
    <t>CHQ0300DV12002000</t>
  </si>
  <si>
    <t>CHQ0300EJ12201750</t>
  </si>
  <si>
    <t>S275JR</t>
  </si>
  <si>
    <t>CHQ0300BF12002000</t>
  </si>
  <si>
    <t>CHQ0300EA10002000</t>
  </si>
  <si>
    <t>CHQ0335DL13002040</t>
  </si>
  <si>
    <t>CHQ0335DU12002000</t>
  </si>
  <si>
    <t>CHQ0350ED12002000</t>
  </si>
  <si>
    <t>CHQ0375DW12002000</t>
  </si>
  <si>
    <t>CHQ0400AT12002000</t>
  </si>
  <si>
    <t>CHQ0400BF13002150</t>
  </si>
  <si>
    <t>CHQ0400DV12002000</t>
  </si>
  <si>
    <t>CHQ0400EG12001850</t>
  </si>
  <si>
    <t>CHQ0400LN12002000</t>
  </si>
  <si>
    <t>CHQ0400EB12502200</t>
  </si>
  <si>
    <t>CHQ0425DX12001950</t>
  </si>
  <si>
    <t>CHQ0400BT12001000</t>
  </si>
  <si>
    <t>S235JRG2</t>
  </si>
  <si>
    <t>CHQ0425DX12002100</t>
  </si>
  <si>
    <t>CHQ0425DX12002500</t>
  </si>
  <si>
    <t>CHQ0475AJ12001600</t>
  </si>
  <si>
    <t>CHQ0500EL14501800</t>
  </si>
  <si>
    <t>CHQ0600DV12002000</t>
  </si>
  <si>
    <t>CHQ0600AS14502800</t>
  </si>
  <si>
    <t>CHQ0600EA12002000</t>
  </si>
  <si>
    <t>CHQ0630JU12001420</t>
  </si>
  <si>
    <t>CHQ0630EL12002000</t>
  </si>
  <si>
    <t>1008/10</t>
  </si>
  <si>
    <t>CHQ0630AV12002000</t>
  </si>
  <si>
    <t>CHQ0630AB11001200</t>
  </si>
  <si>
    <t>CHQ0675AS11001890</t>
  </si>
  <si>
    <t>CHQ0680AQ11001880</t>
  </si>
  <si>
    <t>CHQ0775LV13503400</t>
  </si>
  <si>
    <t>LNE400</t>
  </si>
  <si>
    <t>BLQ0800AB02851040</t>
  </si>
  <si>
    <t>0285</t>
  </si>
  <si>
    <t>CHQ0800AB12001200</t>
  </si>
  <si>
    <t>CHQ0800AQ13502150</t>
  </si>
  <si>
    <t>LNE600</t>
  </si>
  <si>
    <t>CHQ0800AP12002400</t>
  </si>
  <si>
    <t>CHQ0800IH12001520</t>
  </si>
  <si>
    <t>CHQ0800IH12003000</t>
  </si>
  <si>
    <t>BLQ0950DM12000240</t>
  </si>
  <si>
    <t>CHQ0950SJ12003000</t>
  </si>
  <si>
    <t>CHQ0950DV12002000</t>
  </si>
  <si>
    <t>CHQ0950AS12002350</t>
  </si>
  <si>
    <t>CHQ0950AS12002000</t>
  </si>
  <si>
    <t>CHQ1000EE13002150</t>
  </si>
  <si>
    <t>CHQ1200EE12003000</t>
  </si>
  <si>
    <t>CHQ1200PQ10001000</t>
  </si>
  <si>
    <t>S460MC</t>
  </si>
  <si>
    <t>CHQ1225EE12502000</t>
  </si>
  <si>
    <t>BLD0150DP04901300</t>
  </si>
  <si>
    <t>CHD0150DP07552040</t>
  </si>
  <si>
    <t>CHQ1100AY23706960</t>
  </si>
  <si>
    <t>Desenvolvimento carcaça CAM</t>
  </si>
  <si>
    <t>s315</t>
  </si>
  <si>
    <t>BOQ0500ED1250</t>
  </si>
  <si>
    <t>desenvolvimento</t>
  </si>
  <si>
    <t>BOQ1225EE1250</t>
  </si>
  <si>
    <t>CHQ0400ED12002800</t>
  </si>
  <si>
    <t>BOQ1000EE1300</t>
  </si>
  <si>
    <t>BOQ1275AZ1300</t>
  </si>
  <si>
    <t>Já aplicado</t>
  </si>
  <si>
    <t>VW 50065 CR440Y780T-DP</t>
  </si>
  <si>
    <t>M10441979</t>
  </si>
  <si>
    <t>Usiminas/SU</t>
  </si>
  <si>
    <t>Polo/Nivus</t>
  </si>
  <si>
    <t>VW001241AA / VW001242AA
VW001290AA / VW001291AA</t>
  </si>
  <si>
    <t>+/-0,07</t>
  </si>
  <si>
    <t>VW50065CR300LA-GI40/40U</t>
  </si>
  <si>
    <t>Grupo 01</t>
  </si>
  <si>
    <t>VW000885AA / VW000886AA</t>
  </si>
  <si>
    <t>BDZ0070TD16000675</t>
  </si>
  <si>
    <t>+/-0,055</t>
  </si>
  <si>
    <t>VW50065CR240LA-GI40/40U</t>
  </si>
  <si>
    <t>Grupo 02</t>
  </si>
  <si>
    <t>AMG Araucaria</t>
  </si>
  <si>
    <t>VW001217AA</t>
  </si>
  <si>
    <t>+/-0,08</t>
  </si>
  <si>
    <t>VW000891AA / VW000892AA</t>
  </si>
  <si>
    <t>Polo/Virtus</t>
  </si>
  <si>
    <t>VW000954Z / VW000955Z
VW000878Z</t>
  </si>
  <si>
    <t>BOQ0100QD1050</t>
  </si>
  <si>
    <t>VW50065CR210IF-GI40/40</t>
  </si>
  <si>
    <t>M10441379</t>
  </si>
  <si>
    <t>VW000817Z</t>
  </si>
  <si>
    <t>+/-0,065</t>
  </si>
  <si>
    <t>AMG Hortolândia</t>
  </si>
  <si>
    <t>SLZ0175SH0300</t>
  </si>
  <si>
    <t>VW50065-CR300LA-GI40/40</t>
  </si>
  <si>
    <t>Polo/Virtus/T-Cross</t>
  </si>
  <si>
    <t>VW000871Z / VW000872Z</t>
  </si>
  <si>
    <t>SLZ0120UI1250</t>
  </si>
  <si>
    <t>VW50065CR3GI40/40-U-O</t>
  </si>
  <si>
    <t>VW000948AA / VW000949AA</t>
  </si>
  <si>
    <t>BOZ0070TD1500</t>
  </si>
  <si>
    <t>VW50065-CR240LA-GI40/40</t>
  </si>
  <si>
    <t>VW001045AA
VW000965AA
VW001247AA</t>
  </si>
  <si>
    <t>+/-0,075</t>
  </si>
  <si>
    <t>SLZ0070SH0275</t>
  </si>
  <si>
    <t>+/-0,04</t>
  </si>
  <si>
    <t>VW000877Z</t>
  </si>
  <si>
    <t>BDZ0070UI05250750</t>
  </si>
  <si>
    <t>VW50065 - CR4-GI40/40</t>
  </si>
  <si>
    <t>VW000942AA / VW000943AA</t>
  </si>
  <si>
    <t>VW001035AA / VW001037Z
VW000950AA / VW000951AA</t>
  </si>
  <si>
    <t>SLZ0070QH0650</t>
  </si>
  <si>
    <t>VW 50065 - CR4-GI40/40-U</t>
  </si>
  <si>
    <t>VW000938AB / VW000939AB</t>
  </si>
  <si>
    <t>SLZ0080UL0625</t>
  </si>
  <si>
    <t>VW000947AA</t>
  </si>
  <si>
    <t>SLZ0065TD0750</t>
  </si>
  <si>
    <t>VW000942AB / VW000943AB</t>
  </si>
  <si>
    <t>M10483279</t>
  </si>
  <si>
    <t>VW000927AA
VW000927AJ</t>
  </si>
  <si>
    <t>BOZ0120UI1250</t>
  </si>
  <si>
    <t>BOZ0065TD1500</t>
  </si>
  <si>
    <t>BOF0100HE1150</t>
  </si>
  <si>
    <t>±0,07</t>
  </si>
  <si>
    <t>DIN EN 10268 - HC300LA</t>
  </si>
  <si>
    <t>M10441477</t>
  </si>
  <si>
    <t>VW000812Z</t>
  </si>
  <si>
    <t>SLZ0070QH0550</t>
  </si>
  <si>
    <t>VW50065CR4GI40/40-U-O</t>
  </si>
  <si>
    <t>BOZ0070UI0800</t>
  </si>
  <si>
    <t>VW001335/ VW001335AA
VW000946AG</t>
  </si>
  <si>
    <t>BOZ0150HV1150</t>
  </si>
  <si>
    <t>GMW2M-ST-S-CR3-HD60G60G-U</t>
  </si>
  <si>
    <t>GM Gravataí</t>
  </si>
  <si>
    <t>SLZ0180SN0300</t>
  </si>
  <si>
    <t>±0,08</t>
  </si>
  <si>
    <t>VW50065CR380LAGI40/40</t>
  </si>
  <si>
    <t>VW000983AA / VW000984AA</t>
  </si>
  <si>
    <t>BOQ0400ZB1440</t>
  </si>
  <si>
    <t>VW50065HR660Y760T-CP</t>
  </si>
  <si>
    <t>AMT</t>
  </si>
  <si>
    <t>SLZ0165TH0520</t>
  </si>
  <si>
    <t>VW50065CR380LAGI40/40-UC-U-O</t>
  </si>
  <si>
    <t>VW000944AA / VW000945Z</t>
  </si>
  <si>
    <t>SLZ0120SM0525</t>
  </si>
  <si>
    <t>±0,055</t>
  </si>
  <si>
    <t>VW001302AA / VW001303AA</t>
  </si>
  <si>
    <t>SLZ0120SK0600</t>
  </si>
  <si>
    <t>VW001124AA / VW001125AA</t>
  </si>
  <si>
    <t>BOZ0150HV1100</t>
  </si>
  <si>
    <t>GM000384Z / GM000385Z
GM000388Z / GM000389Z</t>
  </si>
  <si>
    <t>VW50065 - CR2 -GI40/40-U</t>
  </si>
  <si>
    <t>SLZ0120SK0375</t>
  </si>
  <si>
    <t>VW50065CR2GI40/40-U-O</t>
  </si>
  <si>
    <t>VW001225AA</t>
  </si>
  <si>
    <t>BOQ0300HL1050</t>
  </si>
  <si>
    <t>GMW3032M-ST-S-340LA-UNCOATED-U</t>
  </si>
  <si>
    <t>BOZ0120HU1150</t>
  </si>
  <si>
    <t>Onix Joy</t>
  </si>
  <si>
    <t>SLF0250TK0525</t>
  </si>
  <si>
    <t>±0,135</t>
  </si>
  <si>
    <t>VW50065-CR240LA-U</t>
  </si>
  <si>
    <t>VW000956Z / VW000957Z</t>
  </si>
  <si>
    <t>SLZ0120UL0467</t>
  </si>
  <si>
    <t>SLF0250TF0500</t>
  </si>
  <si>
    <t>VW50065-CR240LA-UC-U-O</t>
  </si>
  <si>
    <t>VW50065-CR4-UC-U-O</t>
  </si>
  <si>
    <t>VW000952Z / VW000953Z</t>
  </si>
  <si>
    <t>SLZ0070QH0750</t>
  </si>
  <si>
    <t>VW001217AC</t>
  </si>
  <si>
    <t>SLZ0080SL0350</t>
  </si>
  <si>
    <t>VW50065CR180IF-GI40/40</t>
  </si>
  <si>
    <t>VW000870Z</t>
  </si>
  <si>
    <t>BOZ0120HU1300</t>
  </si>
  <si>
    <t>GMW2MSTS-CR2 HD60G60G-U TO GMW8</t>
  </si>
  <si>
    <t>Onix/Prisma</t>
  </si>
  <si>
    <t>SLF0250TF0175</t>
  </si>
  <si>
    <t>VW001229Z / VW001230Z</t>
  </si>
  <si>
    <t>BOZ0070HU1350</t>
  </si>
  <si>
    <t>GMW2M-ST-S-CR2+HD60G60G-U</t>
  </si>
  <si>
    <t>SLF0150TN0350</t>
  </si>
  <si>
    <t>INAVW50065CR270LA</t>
  </si>
  <si>
    <t>VW000927AB / VW000927AC</t>
  </si>
  <si>
    <t>SLZ0080SK0350</t>
  </si>
  <si>
    <t>VW000883AA / VW000884AA</t>
  </si>
  <si>
    <t>SLF0150TN0367</t>
  </si>
  <si>
    <t>VW000927AD / VW000927AE</t>
  </si>
  <si>
    <t>BOF0140HY1050</t>
  </si>
  <si>
    <t>SLF0160TF0417</t>
  </si>
  <si>
    <t>VW50065CR240LA-UC-U-O</t>
  </si>
  <si>
    <t>VW000940AA / VW000941AA</t>
  </si>
  <si>
    <t>BOZ0150HV1050</t>
  </si>
  <si>
    <t>BOF0100HY1050</t>
  </si>
  <si>
    <t>GMW3032M-ST-S-CR340LA-U</t>
  </si>
  <si>
    <t>BOZ0120HU1000</t>
  </si>
  <si>
    <t>SLF0180SO0190</t>
  </si>
  <si>
    <t>±0,065</t>
  </si>
  <si>
    <t>VW50065CR210LA-UC-U</t>
  </si>
  <si>
    <t>VW000983AC / VW000984AC</t>
  </si>
  <si>
    <t>BOZ0100HV1200</t>
  </si>
  <si>
    <t>SLF0150TF0417</t>
  </si>
  <si>
    <t>SLZ0060TJ0312</t>
  </si>
  <si>
    <t>VW50065CR210LAGI4040UO</t>
  </si>
  <si>
    <t>VW001228Z</t>
  </si>
  <si>
    <t>BOF0100HY1400</t>
  </si>
  <si>
    <t>SLF0120HA0280</t>
  </si>
  <si>
    <t>VW50060-1HC260LA</t>
  </si>
  <si>
    <t>SLZ0200SM0190</t>
  </si>
  <si>
    <t>SLZ0150TG0350</t>
  </si>
  <si>
    <t>VW50065 CR270LAGI4040-U-O</t>
  </si>
  <si>
    <t>VW001217AB</t>
  </si>
  <si>
    <t>SLZ0120UL0238</t>
  </si>
  <si>
    <t>VW000962AC</t>
  </si>
  <si>
    <t>SLZ0120SK0350</t>
  </si>
  <si>
    <t>SL VW50065 - CR2 -GI40/40-U 1,20X350MM</t>
  </si>
  <si>
    <t>Virtus PA</t>
  </si>
  <si>
    <t>SLZ0070TJ0270</t>
  </si>
  <si>
    <t>VW50065 CR210LAGI4040-U-O</t>
  </si>
  <si>
    <t>VW001220Z / VW001221Z</t>
  </si>
  <si>
    <t>SLZ0080TD0337</t>
  </si>
  <si>
    <t>VW50065 CR240LAGI40/40</t>
  </si>
  <si>
    <t>BOZ0100RJ1150</t>
  </si>
  <si>
    <t>GMW3032M-STS-CR240LAHD60G60G-U</t>
  </si>
  <si>
    <t>BOF0100OR1150</t>
  </si>
  <si>
    <t>GMW2M-ST-S-CR3-UNCOATED-U</t>
  </si>
  <si>
    <t>SLF0065TJ0288</t>
  </si>
  <si>
    <t>VW50065-CR210LA</t>
  </si>
  <si>
    <t>SLZ0150TG0263</t>
  </si>
  <si>
    <t>VW50065CR270LAGI40/40-U</t>
  </si>
  <si>
    <t>VW000946AD</t>
  </si>
  <si>
    <t>SLZ0150SM0157</t>
  </si>
  <si>
    <t>SLZ0065TD0172</t>
  </si>
  <si>
    <t>SLF0120TF0325</t>
  </si>
  <si>
    <t>VW50065CR240LA-UC-U</t>
  </si>
  <si>
    <t>SLZ0200TP0165</t>
  </si>
  <si>
    <t>CR300LAGI40/40-U</t>
  </si>
  <si>
    <t>BOZ0120HU1400</t>
  </si>
  <si>
    <t>GMW2M-ST-S-CR2 HD60G60G-U 1,2x1100</t>
  </si>
  <si>
    <t>Prisma</t>
  </si>
  <si>
    <t>BOZ0060HV1000</t>
  </si>
  <si>
    <t>GMW2M-ST-S-CR3-HD60G60G-U 0,60X1000</t>
  </si>
  <si>
    <t>SLZ0100UA0120</t>
  </si>
  <si>
    <t>VW 50065 - CR1-GI40/40-U</t>
  </si>
  <si>
    <t>SLZ0070TD0300</t>
  </si>
  <si>
    <t>SL VW50065-CR240LA-GI40/40-U 0,70X300MM</t>
  </si>
  <si>
    <t>SLZ0070UI0101</t>
  </si>
  <si>
    <t>SLZ0160CM0105</t>
  </si>
  <si>
    <t>EN10346DX52DZ100</t>
  </si>
  <si>
    <t>SLZ0070QH0060</t>
  </si>
  <si>
    <t>BOZ0060HU1000</t>
  </si>
  <si>
    <t>BOB GMW2M-ST-S CR2HD60G/60GU-0,60X1000mm</t>
  </si>
  <si>
    <t>BOZ0100HU1400</t>
  </si>
  <si>
    <t>GMW2MSTSCR2 HD60G60G-U TO GMW8</t>
  </si>
  <si>
    <t>CHZ0100QD10500755</t>
  </si>
  <si>
    <t>BOZ0150IC1100</t>
  </si>
  <si>
    <t>GMW3032M-ST-S-CR420LAHD60G60G-U1</t>
  </si>
  <si>
    <t>BOZ0200HU1200</t>
  </si>
  <si>
    <t>BOQ0200HM1000</t>
  </si>
  <si>
    <t>GMW3032M-STS-HR550LA-UNCOAT-U#</t>
  </si>
  <si>
    <t>BOF0070IE1200</t>
  </si>
  <si>
    <t>GMW2MST-S-CR1UNCOATED-U</t>
  </si>
  <si>
    <t>GMW2M-STS-CR2-UNCOATED</t>
  </si>
  <si>
    <t>BOZ0100HV1150</t>
  </si>
  <si>
    <t>GMW2M-ST-SCR3HD60G/60GU</t>
  </si>
  <si>
    <t>BOZ0080HU1200</t>
  </si>
  <si>
    <t>GMW2M-ST-SCR2HD60G/60G-U</t>
  </si>
  <si>
    <t>CHG1500RA11003000</t>
  </si>
  <si>
    <t>ASTM A572 GR50</t>
  </si>
  <si>
    <t>DELGA SUL</t>
  </si>
  <si>
    <t>CHQ0400DS15003000</t>
  </si>
  <si>
    <t>RESALE CNH</t>
  </si>
  <si>
    <t>CHG3500RA22406000</t>
  </si>
  <si>
    <t>CHQ0300DS15001430</t>
  </si>
  <si>
    <t>EN10025 S275JR</t>
  </si>
  <si>
    <t>Delga Ferraz</t>
  </si>
  <si>
    <t>CHQ1000AY10501900</t>
  </si>
  <si>
    <t>CHQ0300DS15003000</t>
  </si>
  <si>
    <t>CHQ1250ED15003000</t>
  </si>
  <si>
    <t>PCP Steel</t>
  </si>
  <si>
    <t>CHG4000RA20006250</t>
  </si>
  <si>
    <t>CHQ0475AS10002650</t>
  </si>
  <si>
    <t>Distribuição</t>
  </si>
  <si>
    <t>CHQ0600KX14503800</t>
  </si>
  <si>
    <t>CHQ0600KX14502900</t>
  </si>
  <si>
    <t>CHF0200DV10000774</t>
  </si>
  <si>
    <t>NBR5915 EM</t>
  </si>
  <si>
    <t>NBR6656 LNE280-J1</t>
  </si>
  <si>
    <t>CHG2500RA20006000</t>
  </si>
  <si>
    <t>CHQ0630IH13001380</t>
  </si>
  <si>
    <t>CHQ0800ED12003000</t>
  </si>
  <si>
    <t>CHQ0600ED12003000</t>
  </si>
  <si>
    <t>SLZ0150HU0525</t>
  </si>
  <si>
    <t>JARINU (GM)</t>
  </si>
  <si>
    <t>CHQ0950ED15003000</t>
  </si>
  <si>
    <t>CHQ1575BA12501830</t>
  </si>
  <si>
    <t>B105-13</t>
  </si>
  <si>
    <t>CHQ0475EE12303625</t>
  </si>
  <si>
    <t>NBR6656 LNE50</t>
  </si>
  <si>
    <t>NBR5906 EPA</t>
  </si>
  <si>
    <t>CHQ0475ED12501970</t>
  </si>
  <si>
    <t>CHQ0375LN14002900</t>
  </si>
  <si>
    <t>10149-2 S420MC</t>
  </si>
  <si>
    <t>CHF0200DV10001850</t>
  </si>
  <si>
    <t>CHQ0375PQ15501800</t>
  </si>
  <si>
    <t>EN10149-2 S460MC</t>
  </si>
  <si>
    <t>Delga Jarinu</t>
  </si>
  <si>
    <t>CHG30000RA24406000</t>
  </si>
  <si>
    <t>NBR6655 LN24</t>
  </si>
  <si>
    <t>CHQ0200ED10002550</t>
  </si>
  <si>
    <t>NBR5915 EEP</t>
  </si>
  <si>
    <t>BDZ0065ID14000900</t>
  </si>
  <si>
    <t>CHQ0400BF12002000</t>
  </si>
  <si>
    <t>EN10149-2 S355MC</t>
  </si>
  <si>
    <t>CHQ0950ED12003000</t>
  </si>
  <si>
    <t>CHG4500RA20006000</t>
  </si>
  <si>
    <t>CHQ0475ED12502650</t>
  </si>
  <si>
    <t>CHQ0300JU12201960</t>
  </si>
  <si>
    <t>CHQ0975AZ13001450</t>
  </si>
  <si>
    <t>USI SAR60</t>
  </si>
  <si>
    <t>CHQ1225BA12501900</t>
  </si>
  <si>
    <t>CHF0190AH12002000</t>
  </si>
  <si>
    <t>CHQ0200ED10001835</t>
  </si>
  <si>
    <t>CH0500INOX15003000</t>
  </si>
  <si>
    <t>INOX AISI 304</t>
  </si>
  <si>
    <t>CHQ1250ED12003000</t>
  </si>
  <si>
    <t>CHQ0400ED12001800</t>
  </si>
  <si>
    <t>CHQ0300BF11002400</t>
  </si>
  <si>
    <t>Delga Diadema</t>
  </si>
  <si>
    <t>GMW-3399M CR980T/700Y-UNC</t>
  </si>
  <si>
    <t>CH0200INOX12003000</t>
  </si>
  <si>
    <t>CHQ0400EJ13501002</t>
  </si>
  <si>
    <t>CHF0120AI11003000</t>
  </si>
  <si>
    <t>NBR5915 EP</t>
  </si>
  <si>
    <t>CHQ0600LA10501700</t>
  </si>
  <si>
    <t>CHQ0375EH15002430</t>
  </si>
  <si>
    <t>NBR6655 LN28</t>
  </si>
  <si>
    <t>CHQ0400ED11502170</t>
  </si>
  <si>
    <t>CHQ0400ED11502220</t>
  </si>
  <si>
    <t>CHQ0800IS12001750</t>
  </si>
  <si>
    <t>CHQ0400ED12002000</t>
  </si>
  <si>
    <t>CHQ0200AT11001280</t>
  </si>
  <si>
    <t>BDF0100AK11501490</t>
  </si>
  <si>
    <t>CHQ0400ED12002170</t>
  </si>
  <si>
    <t>Bobina</t>
  </si>
  <si>
    <t>Usiminas</t>
  </si>
  <si>
    <t>PSZ</t>
  </si>
  <si>
    <t>BCG1800BJ12152610</t>
  </si>
  <si>
    <t>BDF0100HY04220850</t>
  </si>
  <si>
    <t>GMW3032M-STS-CR340LA-U</t>
  </si>
  <si>
    <t>BLQ0775BE02602200</t>
  </si>
  <si>
    <t>CH0200INOX12002000</t>
  </si>
  <si>
    <t>CH0500INOX15002000</t>
  </si>
  <si>
    <t>CHF0190JZ13000260</t>
  </si>
  <si>
    <t>EN10268 HC420LA</t>
  </si>
  <si>
    <t>CHF0300ZK15005800</t>
  </si>
  <si>
    <t>HARDOX 450TUF</t>
  </si>
  <si>
    <t>CHF0500ZK15005800</t>
  </si>
  <si>
    <t>CHG1588BJ12003000</t>
  </si>
  <si>
    <t>CHG1600BJ12002400</t>
  </si>
  <si>
    <t>CHQ01000ED12003000</t>
  </si>
  <si>
    <t>CHQ0150ED12003000</t>
  </si>
  <si>
    <t>CHQ0200ED10002430</t>
  </si>
  <si>
    <t>CHQ0200ED10002510</t>
  </si>
  <si>
    <t>CHQ0250EJ11001720</t>
  </si>
  <si>
    <t>CHQ0300BF11000679</t>
  </si>
  <si>
    <t>CHQ0300ED12002200</t>
  </si>
  <si>
    <t>CHQ0300JU12201400</t>
  </si>
  <si>
    <t>CHQ0300JU12201750</t>
  </si>
  <si>
    <t>CHQ0400EB12501500</t>
  </si>
  <si>
    <t>CHQ0400ED11501000</t>
  </si>
  <si>
    <t>CHQ0400ED11502000</t>
  </si>
  <si>
    <t>CHQ0400ED12002500</t>
  </si>
  <si>
    <t>CHQ0400ED12002780</t>
  </si>
  <si>
    <t>CHQ0475ED12501390</t>
  </si>
  <si>
    <t>CHQ0475ED12501986</t>
  </si>
  <si>
    <t>CHQ0475ED12502250</t>
  </si>
  <si>
    <t>CHQ0475EE12301600</t>
  </si>
  <si>
    <t>CHQ0475EJ14001500</t>
  </si>
  <si>
    <t>CHQ0475EJ14001880</t>
  </si>
  <si>
    <t>CHQ0475EJ14001560</t>
  </si>
  <si>
    <t>NBRNM87 SAE1008</t>
  </si>
  <si>
    <t>CHQ0575PQ11501935</t>
  </si>
  <si>
    <t>CHQ0600EL12003000</t>
  </si>
  <si>
    <t>CHQ0600IH10001400</t>
  </si>
  <si>
    <t>CHQ0600IH10002050</t>
  </si>
  <si>
    <t>CHQ0630IH13003000</t>
  </si>
  <si>
    <t>CHQ0800ED12002000</t>
  </si>
  <si>
    <t>CHQ0975AZ13001400</t>
  </si>
  <si>
    <t>CHQ0975AZ13001900</t>
  </si>
  <si>
    <t>CHQ1175AY10002000</t>
  </si>
  <si>
    <t>CHQ1200BJ12503000</t>
  </si>
  <si>
    <t>BLD0140HX10000930</t>
  </si>
  <si>
    <t>CHZ0140HX10001350</t>
  </si>
  <si>
    <t>Nº</t>
  </si>
  <si>
    <t>BSW - PROPOSTAS PARA REDUÇÕES</t>
  </si>
  <si>
    <t>STATUS</t>
  </si>
  <si>
    <t>EM IMPLEMENTAÇÃO</t>
  </si>
  <si>
    <t>DADOS DO MATERIAL (USAR PLANILHA DE DEMANDA ENVIADA)</t>
  </si>
  <si>
    <t>ESPESSURA</t>
  </si>
  <si>
    <t>BORDAS APARADAS</t>
  </si>
  <si>
    <t>ALTERAÇÕES DE QUALIDADE</t>
  </si>
  <si>
    <t>ALTERAÇÃO DE MEDIDA</t>
  </si>
  <si>
    <t>SOLICITANTE</t>
  </si>
  <si>
    <t>COMPRAS</t>
  </si>
  <si>
    <t>ENGENHARIA</t>
  </si>
  <si>
    <t>LOGÍSTICA</t>
  </si>
  <si>
    <t>TODOS</t>
  </si>
  <si>
    <t>Nome do Projeto</t>
  </si>
  <si>
    <t>CÓDIGO DELGA</t>
  </si>
  <si>
    <t>Qual projeto esse item faz parte?</t>
  </si>
  <si>
    <t>DESCRIÇÃO</t>
  </si>
  <si>
    <t>MÉDIA CONSUMO FEV ~ MAI</t>
  </si>
  <si>
    <t>REDUÇÃO POTENCIAL (R$ ANUAL)</t>
  </si>
  <si>
    <t>PLANTA DELGA</t>
  </si>
  <si>
    <t>FONTE</t>
  </si>
  <si>
    <t>ESP. NOMINAL (mm)</t>
  </si>
  <si>
    <t>TOLERANCIA ESP. ATUAL (mm)</t>
  </si>
  <si>
    <t>TOLERANCIA ESP. PROPOSTA DELGA (mm)</t>
  </si>
  <si>
    <t>TOLERANCIA ATUAL (mm)</t>
  </si>
  <si>
    <t>TOLERANCIA PROPOSTA DELGA (mm)</t>
  </si>
  <si>
    <t>QUALIDADE ATUAL</t>
  </si>
  <si>
    <t>QUALIDADE PROPOSTA</t>
  </si>
  <si>
    <t>LARGURA ATUAL</t>
  </si>
  <si>
    <t>LARGURA PROPOSTA</t>
  </si>
  <si>
    <t>COMPRIMENTO ATUAL</t>
  </si>
  <si>
    <t>COMPRIMENTO PROPOSTO</t>
  </si>
  <si>
    <t>FORMALIZADO COM COMPRAS</t>
  </si>
  <si>
    <t>PASSADO PARA USINA ?</t>
  </si>
  <si>
    <t>DATA ENVIO P/ USINA</t>
  </si>
  <si>
    <t>PRAZO DA USINA PARA RETORNO</t>
  </si>
  <si>
    <t>DATA DE DEVOLUÇÃO DA CONSULTA</t>
  </si>
  <si>
    <t>VIABILIDADE TÉCNICA</t>
  </si>
  <si>
    <t>ENVIO DE PLANO DE CORTE PARA COMPRAS</t>
  </si>
  <si>
    <t>ENVIO DO PLANO DE CORTE PARA USINAS</t>
  </si>
  <si>
    <t>PRAZO PARA CADASTRO DO NOVO PN (LIBERAR PROGRAMAÇÃO)</t>
  </si>
  <si>
    <t>DATA DE CADASTRO DO NOVO PN (Usina)</t>
  </si>
  <si>
    <t>PRAZO DE RECEBIMENTO NAS NOVAS ESPECIFICAÇÕES (APROXIMADO)</t>
  </si>
  <si>
    <t xml:space="preserve">ÁREA PENDENTE DE ATUAÇÃO PARA EVOLUÇÃO DO PROJETO </t>
  </si>
  <si>
    <t xml:space="preserve">HISTÓRICO </t>
  </si>
  <si>
    <t>BOQ B105-13 12,25-0,00/+0,58X1250 MTH</t>
  </si>
  <si>
    <t>12,50 (-0,25/+0,23)</t>
  </si>
  <si>
    <t>-0,00 / +38,00</t>
  </si>
  <si>
    <t>-0,00 / +30,00</t>
  </si>
  <si>
    <t>Data não informada.</t>
  </si>
  <si>
    <t xml:space="preserve">VIÁVEL COM RESTRIÇÕES </t>
  </si>
  <si>
    <t xml:space="preserve">ALTERAÇÃO DE PART NUMBER (ESP.)
CONSULTA REVISADA 2601342 TOLERANCIA ESP. 
04/08 - ENVIADO NOVA PROPOSTA PARA USIMINAS </t>
  </si>
  <si>
    <t>BOQ B105-13 15,75-0,00/+0,58X1250 MTH</t>
  </si>
  <si>
    <t>-0,00 / +25,00</t>
  </si>
  <si>
    <t>VIÁVEL COM RESTRIÇÕES</t>
  </si>
  <si>
    <t>LOGÍSTICA - PROGRAMAÇÃO</t>
  </si>
  <si>
    <t>MTL INVIÁVEL, GANHAMOS NA ALTERAÇÃO DE BORDAS</t>
  </si>
  <si>
    <t>BOQ USISAR55 11,75+0,54X1050 MTH</t>
  </si>
  <si>
    <t>-0,00 / +32,00</t>
  </si>
  <si>
    <t>VIÁVEL</t>
  </si>
  <si>
    <t>AGUARDANDO PROGRAMAÇÃO</t>
  </si>
  <si>
    <t>06 - Redução consumo MTP aplicando tolerância mínima</t>
  </si>
  <si>
    <t>Mean to-low Curva A</t>
  </si>
  <si>
    <t>SLZ VW50065 CR300LA-GI40/40U 1,80X366</t>
  </si>
  <si>
    <t>-0,04 / +0,00
+0,03 / -0,07 PROPOSTA USINA</t>
  </si>
  <si>
    <t>USINA - EM PRODUÇÃO</t>
  </si>
  <si>
    <t>VW50065 CR300LA GI40/40U 1,40X312,5X950</t>
  </si>
  <si>
    <t>-0,0375 / +0,00</t>
  </si>
  <si>
    <t>INVIÁVEL</t>
  </si>
  <si>
    <t>FORNECEDOR IRÁ COMUNICAR A VW AS ALTERAÇÕES</t>
  </si>
  <si>
    <t>1450
1250</t>
  </si>
  <si>
    <t>1750 / 3000</t>
  </si>
  <si>
    <t>2620 / 2700 / 2960
2450 / 2700 / 2950</t>
  </si>
  <si>
    <t>MATERIAL COM 1450MM JÁ CHEGOU. MATERIAL COM 1200MM PENDENTE</t>
  </si>
  <si>
    <t>CONSULTA DEVOVLIDA 24/07/2026 - VIÁVEL APENAS RESTRIÇÃO NA LARGURA</t>
  </si>
  <si>
    <t>BOQ B105-13 12,75X1250 MTH</t>
  </si>
  <si>
    <t>RECONSULTA</t>
  </si>
  <si>
    <t>USINA - CONSULTA</t>
  </si>
  <si>
    <t>RECONSULTA ABERTA PARA RESTRIÇÃO APENAS DE LARGURA</t>
  </si>
  <si>
    <t>SLZ VW50065 CR300LA GI40/40U 1,80X325</t>
  </si>
  <si>
    <t>BDZ VW50065 CR300LA GI40/40 1,40X575X517</t>
  </si>
  <si>
    <t>-0,0325 / +0</t>
  </si>
  <si>
    <t>INVIABILIDADE - FORNECEDOR DIRECT BUY IRÁ COMUNICAR A VW</t>
  </si>
  <si>
    <t>SLZ VW50065 CR300LA-GI40/40U 1,80X466</t>
  </si>
  <si>
    <t>-0,04 / +0,00 PROPOSTA DELGA
+0,02 / -0,08 PROPOSTA USINA</t>
  </si>
  <si>
    <t>PENDENTE</t>
  </si>
  <si>
    <t>USINA - RECEBIMENTO
ENGENHARIA - REGULARIZAR PLANO DE CORTE</t>
  </si>
  <si>
    <t>ITEM ENVIADO NO PRIMEIRO PACOTE DE SOLICITAÇÕES DE MODIFICAÇÕES
20/07/2026 - APROVADO ALTERAÇÕES DE LARGURA S/ ALTERAÇÕES DE PREÇO. NECESSÁRIO ENVIO DO PLANO DE CORTE
PLANO DE CORTE FALTA ALTERAR CÓDIGO DE LARGURA</t>
  </si>
  <si>
    <t>-0,00 / +0,25</t>
  </si>
  <si>
    <t>MATERIAL PROGRAMADO</t>
  </si>
  <si>
    <t>2630
1930</t>
  </si>
  <si>
    <t>6510
2960</t>
  </si>
  <si>
    <t>CONFIRMAR RECEBIMENTO NAS NOVAS ESPECIFICAÇÕES</t>
  </si>
  <si>
    <t>CHQ0680TV15002680</t>
  </si>
  <si>
    <t>CHQ0680TV15002640
CHQ0680TV15002650</t>
  </si>
  <si>
    <t>7,00 -0,25 / +0,05</t>
  </si>
  <si>
    <t>ENGENHARIA - REANALISE DE PROPOSTA</t>
  </si>
  <si>
    <t>PRIMEIRA CONSULTA METALÚRGICA MOSTROU INVIABILIDADE. LAMINAÇÃO DE UM NOVO ESBOÇO ACONTECENDO NA KW31, REAVALIAÇÃO DA CONSULTA
PROPOSTA APRESENTADA 06/08 COM RESTRIÇÃO A SER AVALIADA PELA ENGENHARIA</t>
  </si>
  <si>
    <t>Largura de bobina</t>
  </si>
  <si>
    <t>PAINEL LATERAL INTERNO VW 50065 CR440Y780T-DPSUP - ESQ /DIR</t>
  </si>
  <si>
    <t>20/07/2026 - APROVADO ALTERAÇÕES DE LARGURA S/ ALTERAÇÕES DE PREÇO. NECESSÁRIO ENVIO DO PLANO DE CORTE</t>
  </si>
  <si>
    <t>nok</t>
  </si>
  <si>
    <t>largura aprovado</t>
  </si>
  <si>
    <t>BOZ VW50065 CR3-GI40/40-U-O 1,20X1250</t>
  </si>
  <si>
    <t>-0,0275 / +0,00 - PROPOSTA DELGA
+0,00 / -0,06 PROPOSTA USINA
+0,00 / -0,04 CONTRAPOPOSTA DECLINADA</t>
  </si>
  <si>
    <t>-0,00 / +12</t>
  </si>
  <si>
    <t>-0,00 / +6,0</t>
  </si>
  <si>
    <t>CONTRATPOPOSTA DELGA PARA TOLERANCIA PROPOSTA PELA USINA
NOVA TOLERANCIA SOLICITADA INVIÁVEL</t>
  </si>
  <si>
    <t>SLZ VW50065 CR300LA-GI40/40 0,70X275</t>
  </si>
  <si>
    <t>-0,02 / +0,00 PROPOSTA DELGA
+0,00 / -0,06 PROPOSTA USINA
+0,00 / -0,04 CONTRAPOPOSTA DECLINADA</t>
  </si>
  <si>
    <t>SLZ VW50065 CR300LA-GI40/40U 1,50X725</t>
  </si>
  <si>
    <t>-0,0375 / 0 - PROPOSTA DELGA
+0,03 / -0,07 - PROPOSTA USINA</t>
  </si>
  <si>
    <t>BOB VW50065 CR3 GI40/40 1,20X0950MM</t>
  </si>
  <si>
    <t>+0,00 / -0,04 - PROPOSTA USINA</t>
  </si>
  <si>
    <t>CONTRATPOPOSTA DELGA PARA TOLERANCIA PROPOSTA PELA USINA
20/07/2026 - APROVADO ALTERAÇÕES DE LARGURA S/ ALTERAÇÕES DE PREÇO. NECESSÁRIO ENVIO DO PLANO DE CORTE
NOVA TOLERANCIA SOLICITADA INVIÁVEL</t>
  </si>
  <si>
    <t>SLZ VW50065 CR4 GI40/40-U 0,70X650</t>
  </si>
  <si>
    <t>BOZ VW50065 CR4-GI40/40 1,20X900</t>
  </si>
  <si>
    <t>27 - Redução consumo MTP aplicando tolerância mínima curva B</t>
  </si>
  <si>
    <t>Mean to-low Curva B</t>
  </si>
  <si>
    <t>-0,02 / +0,00 PROPOSTA DELGA
INVIÁVEL MTL</t>
  </si>
  <si>
    <t>Bordas aparadas</t>
  </si>
  <si>
    <t>-0,00 / + 12,00</t>
  </si>
  <si>
    <t>COMPRAS - ENVIO PARA USINA</t>
  </si>
  <si>
    <t>45 - Redução de MP GM000409Z.
49 - REDUÇÃO DE MP GM000408Z / GM000409Z</t>
  </si>
  <si>
    <t>GMW3032M-STS CR340LA-HD60G60G-1,50X1250</t>
  </si>
  <si>
    <t>VERIFICAR PROGRAMAÇÃO</t>
  </si>
  <si>
    <t>SLZ VW50065 CR300LA-GI40/40 1,75X300</t>
  </si>
  <si>
    <t>-0,0375 / +0,00 PROPOSTA DELGA
+0,00 / -0,10 PROPOSTA USINA
+0,02 / -0,08 PROPOSTA USINA</t>
  </si>
  <si>
    <t>CONTRATPOPOSTA DELGA PARA TOLERANCIA PROPOSTA PELA USINA
RECEBIDO OK PARA TOLERANCIA DE +0,03 / -0,07</t>
  </si>
  <si>
    <t>INVIÁVEL - FORNECEDOR IRÁ COMUNICAR VW</t>
  </si>
  <si>
    <t>44 - Mudança de fonte Usiminas para Arcelor</t>
  </si>
  <si>
    <t>DE: USIMINAS
PARA: ARCELOR</t>
  </si>
  <si>
    <t>MTH (+0,25mm)</t>
  </si>
  <si>
    <t>MTL (-0,25mm)</t>
  </si>
  <si>
    <t>VW50065-CR2-GI40/40-U</t>
  </si>
  <si>
    <t>-0,02 / +0,00 PROPOSTA DELGA
+0,00 / -0,04 - PROPOSTA USINA</t>
  </si>
  <si>
    <t>-0,0275 / +0,00</t>
  </si>
  <si>
    <t>-0,02 / +0,00</t>
  </si>
  <si>
    <t>±0,085</t>
  </si>
  <si>
    <t>-0,04 / +0,00</t>
  </si>
  <si>
    <t>RESPOSTA CONSULTA METALÚRGICA DEVOLVIDA 26/08 - AGUARDANDO VALIDAÇÃO DA ENGENHARIA</t>
  </si>
  <si>
    <t>28 -  Redução consumo MTP aplicando tolerância mínima curva C</t>
  </si>
  <si>
    <t>SLZ0100RJ0574</t>
  </si>
  <si>
    <t>Mean to-low Curva C</t>
  </si>
  <si>
    <t>±0,03</t>
  </si>
  <si>
    <t>48 - REDUÇÃO DE MP BOZ0150HX1000</t>
  </si>
  <si>
    <t>±0,02</t>
  </si>
  <si>
    <t>SLZ0150HV0383</t>
  </si>
  <si>
    <t>DINEN10130DC01</t>
  </si>
  <si>
    <t>BOZ VW50065 CR3 GI40/40-U-O 0,70X800</t>
  </si>
  <si>
    <t>±0,35</t>
  </si>
  <si>
    <t xml:space="preserve">GMW2MSTS-CR2 HD60G60G-U TO GMW8 </t>
  </si>
  <si>
    <t>±0,105</t>
  </si>
  <si>
    <t>-0,0675 / +0,00 PROPOSTA DELGA</t>
  </si>
  <si>
    <t>SLQ0400VI0180</t>
  </si>
  <si>
    <t xml:space="preserve">GONVARRI </t>
  </si>
  <si>
    <t>±0,2</t>
  </si>
  <si>
    <t>-0,10 / +0,00</t>
  </si>
  <si>
    <t>INVIÁVEL MTL SEM COMUNICAR-MOS O CLIENTE FINAL</t>
  </si>
  <si>
    <t>±0,035</t>
  </si>
  <si>
    <t>±0,045</t>
  </si>
  <si>
    <t>08 - Redução de peso bruto MB002446LA / MB003670LA / MB003671LA</t>
  </si>
  <si>
    <t>CHQ NBR6656 LNE280-J1</t>
  </si>
  <si>
    <t>-0,25 / +0,25</t>
  </si>
  <si>
    <t>GANHO FOI REALIZADO AJUSTANDO O LAYOUT DAS PEÇAS. GANHO DO PESO BRUTO COM  A MESMA LARGURA PRATICADA.</t>
  </si>
  <si>
    <t>VW50065CR270LAGI4040-U-O</t>
  </si>
  <si>
    <t>CSN - INVIÁVEL FORNECIMENTO SEM INFORMAR O CLIENTE FINAL</t>
  </si>
  <si>
    <t>SL VW50065 - CR2 -GI40/40-U  1,20X350MM</t>
  </si>
  <si>
    <t>±0,075</t>
  </si>
  <si>
    <t>VW50065-CR2-GI40/40-U-O</t>
  </si>
  <si>
    <t>-0,0675 / +0,00</t>
  </si>
  <si>
    <t>SL VW50065-CR240LA-GI40/40-U  0,70X300MM</t>
  </si>
  <si>
    <t>- 0,0525 / +0,00</t>
  </si>
  <si>
    <t>VW50065CR240LA-GI40/40</t>
  </si>
  <si>
    <t>VW50065 CR240LA GI40/40</t>
  </si>
  <si>
    <t xml:space="preserve">GMW2MSTSCR2 HD60G60G-U TO GMW8 </t>
  </si>
  <si>
    <t>VW50065-CR1GI40/40-U</t>
  </si>
  <si>
    <t>SLF0150SF0100</t>
  </si>
  <si>
    <t>FERROLENE IRÁ COMUNICAR A VW AS ALTERAÇÕES</t>
  </si>
  <si>
    <t>23 - Redução do peso bruto VW000581Z / VW000582Z</t>
  </si>
  <si>
    <t>-0,14 / +0,14</t>
  </si>
  <si>
    <t>527 X 396</t>
  </si>
  <si>
    <t>BDZ VW50065 CR240LA GI4040 0,70X1600X675</t>
  </si>
  <si>
    <t>Proposta cancela por Jarinu (Produto apresenta rompimento)</t>
  </si>
  <si>
    <t>CHZ0100QD10500755
BOQ0100QD1050</t>
  </si>
  <si>
    <t>VW50065 CR210IF GI40/40 1,00X1050X755MM</t>
  </si>
  <si>
    <t>GONVARRI
FERROLENE</t>
  </si>
  <si>
    <t>Proposta cancela por Jarinu (Produto Saveiro)</t>
  </si>
  <si>
    <t>CHZ VW50065 CR240LA-GI40/40 0,60X500X490</t>
  </si>
  <si>
    <t>ENGENHARIA - PLANO DE CORTE</t>
  </si>
  <si>
    <t>CHF VW50065 CR240LA UC-U-O 1,00X325X720</t>
  </si>
  <si>
    <t>CHZ VW50065-CR300LA-GI40/40 1,20X300X470</t>
  </si>
  <si>
    <t>24 - KAIZEN - Redução de peso bruto_MB002289LA_MB002290LA</t>
  </si>
  <si>
    <t>CHQ0600LA10501540</t>
  </si>
  <si>
    <t>Já recebido material com medida nova</t>
  </si>
  <si>
    <t>±0,15</t>
  </si>
  <si>
    <t xml:space="preserve">MATERIAL VOLTARÁ A SER FORNECIDO EM BOBINA </t>
  </si>
  <si>
    <t>47 - REDUÇÃO DE MP DJ000079Z – 80Z</t>
  </si>
  <si>
    <t>SLF VW50065 CR380LA U-C</t>
  </si>
  <si>
    <t>LNE380</t>
  </si>
  <si>
    <t>-0,25 / +0,72</t>
  </si>
  <si>
    <t>9,00 -0,25 / +0,05</t>
  </si>
  <si>
    <t>1350
1950</t>
  </si>
  <si>
    <t>7570
7610</t>
  </si>
  <si>
    <t>REALIZADO SOLICITAÇÃO POR E-MAIL
ALTERAÇÃO NO COMPRIMENTO - ENVIAR PLANO DE CORTE PARA ALTERAÇÃO IMEDIATA</t>
  </si>
  <si>
    <t>-0,3 / 0</t>
  </si>
  <si>
    <t>2410
1960
2000
1510</t>
  </si>
  <si>
    <t>2410
2750</t>
  </si>
  <si>
    <t>± 0,54</t>
  </si>
  <si>
    <t>10,75 -0,00 / +0,38</t>
  </si>
  <si>
    <t>+ 0,56</t>
  </si>
  <si>
    <t>7,50 -0,25/+0,00</t>
  </si>
  <si>
    <t>FOI REALIZADO TAMBÉM A TROCA DE FONTE PARA ESSES ITENS, PASSANDO DE CSN PARA ARCELOR MITTAL</t>
  </si>
  <si>
    <t xml:space="preserve"> +0,44</t>
  </si>
  <si>
    <t>7,75 -0,05 / +0,25</t>
  </si>
  <si>
    <t>-0,00 / +0,24</t>
  </si>
  <si>
    <t>-0,25 / 0,05</t>
  </si>
  <si>
    <t>-0 / +0,46</t>
  </si>
  <si>
    <t>8,00 -0,25 / +0,00</t>
  </si>
  <si>
    <t>MATERIAL DA TAMPA, SOFRENDO MODIFICAÇÃO, USINA DE FORNECIMENTO A SER DEFINIDA</t>
  </si>
  <si>
    <t>BOQ0575EE1150
CHQ0575EE02870890</t>
  </si>
  <si>
    <t>CHQ NBR6656 LNE50</t>
  </si>
  <si>
    <r>
      <t xml:space="preserve">940 com cortes nas extremidades resultando em um paralelogramo de </t>
    </r>
    <r>
      <rPr>
        <b/>
        <sz val="11"/>
        <color theme="1"/>
        <rFont val="Aptos Narrow"/>
        <family val="2"/>
        <scheme val="minor"/>
      </rPr>
      <t>287,5X890</t>
    </r>
  </si>
  <si>
    <r>
      <t>1ª Proposta: 940 eliminando corte das extremidades</t>
    </r>
    <r>
      <rPr>
        <b/>
        <sz val="11"/>
        <color theme="1"/>
        <rFont val="Aptos Narrow"/>
        <family val="2"/>
        <scheme val="minor"/>
      </rPr>
      <t xml:space="preserve"> (287,5X940).
</t>
    </r>
    <r>
      <rPr>
        <sz val="11"/>
        <color theme="1"/>
        <rFont val="Aptos Narrow"/>
        <family val="2"/>
        <scheme val="minor"/>
      </rPr>
      <t>2ª Proposta: Desbobinar com passo de 890 em ângulo</t>
    </r>
    <r>
      <rPr>
        <b/>
        <sz val="11"/>
        <color theme="1"/>
        <rFont val="Aptos Narrow"/>
        <family val="2"/>
        <scheme val="minor"/>
      </rPr>
      <t xml:space="preserve"> (287,5X890).</t>
    </r>
  </si>
  <si>
    <t>COMPRAS - CONSULTA</t>
  </si>
  <si>
    <t xml:space="preserve">CONFIRMAÇÃO COM FERROLENE SE HÁ O DESCARTE DOS CANTOS DO BLANK </t>
  </si>
  <si>
    <t>Unidades</t>
  </si>
  <si>
    <t>Q. Bobinas</t>
  </si>
  <si>
    <t>Peso medio total</t>
  </si>
  <si>
    <t>Peso análisado</t>
  </si>
  <si>
    <t>Análises Concluidas (P)</t>
  </si>
  <si>
    <t>Ganho Financeiro</t>
  </si>
  <si>
    <t>Ganho Validado</t>
  </si>
  <si>
    <t>Total</t>
  </si>
  <si>
    <t>Usinas</t>
  </si>
  <si>
    <t>Q. bobinas</t>
  </si>
  <si>
    <t>Peso por Usina</t>
  </si>
  <si>
    <t>Representação Percentual</t>
  </si>
  <si>
    <t>Ganho por usina</t>
  </si>
  <si>
    <t xml:space="preserve">WOLVERINE TEKNO </t>
  </si>
  <si>
    <t>USINA - CADASTRO DE NOVO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</si>
</sst>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#,##0.000"/>
    <numFmt numFmtId="166" formatCode="mmmm\,\ yyyy;@"/>
    <numFmt numFmtId="167" formatCode="_-[$R$-416]\ * #,##0.00_-;\-[$R$-416]\ * #,##0.00_-;_-[$R$-416]\ * &quot;-&quot;??_-;_-@_-"/>
    <numFmt numFmtId="168" formatCode="\R&quot;R$&quot;\ #,##0.00"/>
    <numFmt numFmtId="169" formatCode="0.0%"/>
    <numFmt numFmtId="170" formatCode="&quot;R$&quot;\ #,##0.00"/>
    <numFmt numFmtId="171" formatCode="_-&quot;R$&quot;\ * #,##0_-;\-&quot;R$&quot;\ * #,##0_-;_-&quot;R$&quot;\ * &quot;-&quot;??_-;_-@_-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name val="Arial"/>
      <family val="2"/>
    </font>
    <font>
      <b/>
      <sz val="8"/>
      <color theme="0"/>
      <name val="Aptos"/>
      <family val="2"/>
    </font>
    <font>
      <sz val="8"/>
      <name val="Aptos"/>
      <family val="2"/>
    </font>
    <font>
      <sz val="11"/>
      <name val="Aptos Narrow"/>
      <family val="2"/>
      <scheme val="minor"/>
    </font>
    <font>
      <b/>
      <sz val="11"/>
      <color theme="6"/>
      <name val="Calibri"/>
      <family val="2"/>
    </font>
    <font>
      <b/>
      <sz val="10"/>
      <color theme="0"/>
      <name val="Arial"/>
      <family val="2"/>
    </font>
    <font>
      <b/>
      <sz val="11"/>
      <color theme="1"/>
      <name val="Aptos Narrow"/>
      <family val="2"/>
      <scheme val="minor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u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3" tint="0.249977111117893"/>
      <name val="Aptos Narrow"/>
      <family val="2"/>
      <scheme val="minor"/>
    </font>
    <font>
      <b/>
      <sz val="18"/>
      <color rgb="FFFFFFFF"/>
      <name val="Aptos"/>
      <family val="2"/>
    </font>
    <font>
      <sz val="11"/>
      <color theme="1"/>
      <name val="Aptos"/>
      <family val="2"/>
    </font>
    <font>
      <i/>
      <sz val="11"/>
      <color rgb="FF666666"/>
      <name val="Aptos"/>
      <family val="2"/>
    </font>
    <font>
      <sz val="11"/>
      <color rgb="FF1F1F1F"/>
      <name val="Aptos"/>
      <family val="2"/>
    </font>
    <font>
      <b/>
      <sz val="11"/>
      <color rgb="FFFFFFFF"/>
      <name val="Aptos"/>
      <family val="2"/>
    </font>
    <font>
      <b/>
      <sz val="16"/>
      <color theme="1"/>
      <name val="Aptos"/>
      <family val="2"/>
    </font>
    <font>
      <b/>
      <sz val="15"/>
      <color theme="1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17365D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6">
    <xf numFmtId="0" fontId="0" fillId="0" borderId="0" xfId="0"/>
    <xf numFmtId="43" fontId="4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4" fontId="9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1" applyFont="1" applyFill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43" fontId="9" fillId="0" borderId="1" xfId="0" applyNumberFormat="1" applyFont="1" applyBorder="1" applyAlignment="1">
      <alignment horizontal="center" vertical="center"/>
    </xf>
    <xf numFmtId="3" fontId="9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/>
    </xf>
    <xf numFmtId="4" fontId="4" fillId="0" borderId="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2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0" fillId="0" borderId="0" xfId="0" applyFont="1"/>
    <xf numFmtId="14" fontId="4" fillId="0" borderId="1" xfId="2" applyNumberFormat="1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/>
    </xf>
    <xf numFmtId="14" fontId="9" fillId="0" borderId="1" xfId="2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9" fontId="11" fillId="4" borderId="3" xfId="0" applyNumberFormat="1" applyFont="1" applyFill="1" applyBorder="1" applyAlignment="1" applyProtection="1">
      <alignment horizontal="center" vertical="center"/>
      <protection locked="0"/>
    </xf>
    <xf numFmtId="0" fontId="3" fillId="5" borderId="1" xfId="2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1" applyNumberFormat="1" applyFont="1" applyFill="1" applyBorder="1" applyAlignment="1" applyProtection="1">
      <alignment horizontal="center" vertical="center" wrapText="1"/>
    </xf>
    <xf numFmtId="0" fontId="3" fillId="5" borderId="2" xfId="1" applyNumberFormat="1" applyFont="1" applyFill="1" applyBorder="1" applyAlignment="1" applyProtection="1">
      <alignment horizontal="center" vertical="center" wrapText="1"/>
    </xf>
    <xf numFmtId="1" fontId="12" fillId="5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9" fontId="0" fillId="0" borderId="0" xfId="4" applyFont="1"/>
    <xf numFmtId="9" fontId="0" fillId="0" borderId="0" xfId="4" applyFont="1" applyAlignment="1">
      <alignment horizontal="center"/>
    </xf>
    <xf numFmtId="0" fontId="0" fillId="0" borderId="0" xfId="0" applyAlignment="1">
      <alignment horizontal="center" vertical="center"/>
    </xf>
    <xf numFmtId="2" fontId="9" fillId="0" borderId="1" xfId="2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9" fontId="13" fillId="0" borderId="0" xfId="4" applyFont="1" applyAlignment="1">
      <alignment horizontal="center"/>
    </xf>
    <xf numFmtId="2" fontId="0" fillId="0" borderId="0" xfId="0" applyNumberFormat="1"/>
    <xf numFmtId="10" fontId="0" fillId="0" borderId="0" xfId="4" applyNumberFormat="1" applyFont="1"/>
    <xf numFmtId="0" fontId="13" fillId="0" borderId="0" xfId="0" applyFont="1" applyAlignment="1">
      <alignment horizontal="left"/>
    </xf>
    <xf numFmtId="9" fontId="13" fillId="0" borderId="0" xfId="4" applyFont="1"/>
    <xf numFmtId="164" fontId="13" fillId="0" borderId="0" xfId="0" applyNumberFormat="1" applyFont="1"/>
    <xf numFmtId="43" fontId="4" fillId="0" borderId="1" xfId="1" applyFont="1" applyFill="1" applyBorder="1" applyAlignment="1">
      <alignment horizontal="center" vertical="center" wrapText="1"/>
    </xf>
    <xf numFmtId="0" fontId="12" fillId="5" borderId="1" xfId="1" applyNumberFormat="1" applyFont="1" applyFill="1" applyBorder="1" applyAlignment="1" applyProtection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44" fontId="4" fillId="0" borderId="1" xfId="1" applyNumberFormat="1" applyFont="1" applyFill="1" applyBorder="1" applyAlignment="1">
      <alignment horizontal="center" vertical="center"/>
    </xf>
    <xf numFmtId="44" fontId="0" fillId="0" borderId="0" xfId="5" applyFont="1"/>
    <xf numFmtId="44" fontId="13" fillId="0" borderId="0" xfId="5" applyFont="1" applyAlignment="1">
      <alignment horizontal="center"/>
    </xf>
    <xf numFmtId="44" fontId="13" fillId="0" borderId="0" xfId="5" applyFont="1"/>
    <xf numFmtId="0" fontId="0" fillId="6" borderId="0" xfId="0" applyFill="1"/>
    <xf numFmtId="0" fontId="0" fillId="6" borderId="0" xfId="0" applyFill="1" applyAlignment="1">
      <alignment horizontal="center"/>
    </xf>
    <xf numFmtId="0" fontId="8" fillId="5" borderId="3" xfId="2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left" vertical="center" wrapText="1"/>
    </xf>
    <xf numFmtId="20" fontId="0" fillId="0" borderId="0" xfId="0" applyNumberFormat="1"/>
    <xf numFmtId="0" fontId="4" fillId="0" borderId="1" xfId="2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center" wrapText="1"/>
    </xf>
    <xf numFmtId="43" fontId="4" fillId="3" borderId="1" xfId="1" applyFont="1" applyFill="1" applyBorder="1" applyAlignment="1">
      <alignment horizontal="center" vertical="center"/>
    </xf>
    <xf numFmtId="165" fontId="4" fillId="0" borderId="1" xfId="2" applyNumberFormat="1" applyFont="1" applyBorder="1" applyAlignment="1">
      <alignment horizontal="center" vertical="center"/>
    </xf>
    <xf numFmtId="43" fontId="9" fillId="3" borderId="1" xfId="1" applyFont="1" applyFill="1" applyBorder="1" applyAlignment="1">
      <alignment horizontal="center" vertical="center"/>
    </xf>
    <xf numFmtId="0" fontId="10" fillId="0" borderId="1" xfId="0" applyFont="1" applyBorder="1"/>
    <xf numFmtId="43" fontId="4" fillId="0" borderId="1" xfId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 wrapText="1"/>
    </xf>
    <xf numFmtId="0" fontId="18" fillId="5" borderId="1" xfId="1" applyNumberFormat="1" applyFont="1" applyFill="1" applyBorder="1" applyAlignment="1" applyProtection="1">
      <alignment horizontal="center" vertical="center" wrapText="1"/>
    </xf>
    <xf numFmtId="0" fontId="3" fillId="7" borderId="1" xfId="1" applyNumberFormat="1" applyFont="1" applyFill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left" vertical="center"/>
    </xf>
    <xf numFmtId="0" fontId="4" fillId="0" borderId="1" xfId="2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4" fontId="15" fillId="0" borderId="1" xfId="2" applyNumberFormat="1" applyFont="1" applyBorder="1" applyAlignment="1">
      <alignment horizontal="left" vertical="center" wrapText="1"/>
    </xf>
    <xf numFmtId="4" fontId="15" fillId="0" borderId="1" xfId="0" applyNumberFormat="1" applyFont="1" applyBorder="1" applyAlignment="1">
      <alignment horizontal="left" vertical="center" wrapText="1"/>
    </xf>
    <xf numFmtId="4" fontId="4" fillId="0" borderId="1" xfId="2" applyNumberFormat="1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166" fontId="4" fillId="3" borderId="1" xfId="1" applyNumberFormat="1" applyFont="1" applyFill="1" applyBorder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/>
    </xf>
    <xf numFmtId="44" fontId="10" fillId="0" borderId="0" xfId="0" applyNumberFormat="1" applyFont="1"/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0" fontId="23" fillId="9" borderId="12" xfId="0" applyFont="1" applyFill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center" wrapText="1"/>
    </xf>
    <xf numFmtId="0" fontId="23" fillId="9" borderId="14" xfId="0" applyFont="1" applyFill="1" applyBorder="1" applyAlignment="1">
      <alignment horizontal="center" vertical="center" wrapText="1"/>
    </xf>
    <xf numFmtId="0" fontId="23" fillId="9" borderId="15" xfId="0" applyFont="1" applyFill="1" applyBorder="1" applyAlignment="1">
      <alignment horizontal="center" vertical="center"/>
    </xf>
    <xf numFmtId="0" fontId="23" fillId="9" borderId="12" xfId="0" applyFont="1" applyFill="1" applyBorder="1" applyAlignment="1">
      <alignment horizontal="center" vertical="center" wrapText="1"/>
    </xf>
    <xf numFmtId="0" fontId="23" fillId="9" borderId="15" xfId="0" applyFont="1" applyFill="1" applyBorder="1" applyAlignment="1">
      <alignment horizontal="center" vertical="center" wrapText="1"/>
    </xf>
    <xf numFmtId="0" fontId="23" fillId="9" borderId="16" xfId="0" applyFont="1" applyFill="1" applyBorder="1" applyAlignment="1">
      <alignment horizontal="center" vertical="center" wrapText="1"/>
    </xf>
    <xf numFmtId="0" fontId="23" fillId="9" borderId="1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10" borderId="1" xfId="0" quotePrefix="1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quotePrefix="1" applyFill="1" applyBorder="1" applyAlignment="1">
      <alignment horizontal="center" vertical="center"/>
    </xf>
    <xf numFmtId="49" fontId="0" fillId="0" borderId="1" xfId="5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10" borderId="1" xfId="0" quotePrefix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2" fontId="0" fillId="0" borderId="1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8" borderId="4" xfId="0" applyFont="1" applyFill="1" applyBorder="1" applyAlignment="1">
      <alignment vertical="center"/>
    </xf>
    <xf numFmtId="0" fontId="20" fillId="8" borderId="5" xfId="0" applyFont="1" applyFill="1" applyBorder="1" applyAlignment="1">
      <alignment vertical="center"/>
    </xf>
    <xf numFmtId="0" fontId="20" fillId="8" borderId="6" xfId="0" applyFont="1" applyFill="1" applyBorder="1" applyAlignment="1">
      <alignment vertical="center"/>
    </xf>
    <xf numFmtId="0" fontId="20" fillId="8" borderId="7" xfId="0" applyFont="1" applyFill="1" applyBorder="1" applyAlignment="1">
      <alignment vertical="center"/>
    </xf>
    <xf numFmtId="0" fontId="20" fillId="8" borderId="8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/>
    </xf>
    <xf numFmtId="0" fontId="20" fillId="8" borderId="7" xfId="0" applyFont="1" applyFill="1" applyBorder="1"/>
    <xf numFmtId="0" fontId="20" fillId="8" borderId="8" xfId="0" applyFont="1" applyFill="1" applyBorder="1"/>
    <xf numFmtId="0" fontId="20" fillId="8" borderId="9" xfId="0" applyFont="1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25" fillId="12" borderId="17" xfId="0" applyFont="1" applyFill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10" borderId="1" xfId="0" quotePrefix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0" fillId="8" borderId="11" xfId="0" applyFont="1" applyFill="1" applyBorder="1" applyAlignment="1">
      <alignment horizontal="center" vertical="center"/>
    </xf>
    <xf numFmtId="0" fontId="20" fillId="8" borderId="2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20" fillId="8" borderId="2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68" fontId="0" fillId="0" borderId="0" xfId="0" applyNumberFormat="1"/>
    <xf numFmtId="169" fontId="0" fillId="0" borderId="0" xfId="0" applyNumberFormat="1"/>
    <xf numFmtId="0" fontId="27" fillId="0" borderId="0" xfId="0" applyFont="1" applyAlignment="1">
      <alignment vertical="top"/>
    </xf>
    <xf numFmtId="0" fontId="30" fillId="15" borderId="23" xfId="0" applyFont="1" applyFill="1" applyBorder="1" applyAlignment="1">
      <alignment horizontal="center" vertical="top"/>
    </xf>
    <xf numFmtId="0" fontId="30" fillId="15" borderId="2" xfId="0" applyFont="1" applyFill="1" applyBorder="1" applyAlignment="1">
      <alignment horizontal="center" vertical="top"/>
    </xf>
    <xf numFmtId="0" fontId="30" fillId="15" borderId="24" xfId="0" applyFont="1" applyFill="1" applyBorder="1" applyAlignment="1">
      <alignment horizontal="center" vertical="top"/>
    </xf>
    <xf numFmtId="3" fontId="31" fillId="0" borderId="25" xfId="0" applyNumberFormat="1" applyFont="1" applyBorder="1" applyAlignment="1">
      <alignment horizontal="center" vertical="top"/>
    </xf>
    <xf numFmtId="3" fontId="31" fillId="0" borderId="17" xfId="0" applyNumberFormat="1" applyFont="1" applyBorder="1" applyAlignment="1">
      <alignment horizontal="center" vertical="top"/>
    </xf>
    <xf numFmtId="3" fontId="31" fillId="0" borderId="26" xfId="0" applyNumberFormat="1" applyFont="1" applyBorder="1" applyAlignment="1">
      <alignment horizontal="center" vertical="top"/>
    </xf>
    <xf numFmtId="169" fontId="27" fillId="0" borderId="0" xfId="0" applyNumberFormat="1" applyFont="1" applyAlignment="1">
      <alignment vertical="top"/>
    </xf>
    <xf numFmtId="0" fontId="30" fillId="18" borderId="27" xfId="0" applyFont="1" applyFill="1" applyBorder="1" applyAlignment="1">
      <alignment horizontal="center" vertical="top"/>
    </xf>
    <xf numFmtId="0" fontId="27" fillId="0" borderId="28" xfId="0" applyFont="1" applyBorder="1" applyAlignment="1">
      <alignment vertical="top"/>
    </xf>
    <xf numFmtId="168" fontId="27" fillId="0" borderId="28" xfId="0" applyNumberFormat="1" applyFont="1" applyBorder="1" applyAlignment="1">
      <alignment vertical="top"/>
    </xf>
    <xf numFmtId="0" fontId="27" fillId="0" borderId="28" xfId="0" applyFont="1" applyBorder="1" applyAlignment="1">
      <alignment vertical="top" wrapText="1"/>
    </xf>
    <xf numFmtId="0" fontId="27" fillId="0" borderId="29" xfId="0" applyFont="1" applyBorder="1" applyAlignment="1">
      <alignment vertical="top"/>
    </xf>
    <xf numFmtId="168" fontId="27" fillId="0" borderId="29" xfId="0" applyNumberFormat="1" applyFont="1" applyBorder="1" applyAlignment="1">
      <alignment vertical="top"/>
    </xf>
    <xf numFmtId="0" fontId="27" fillId="0" borderId="29" xfId="0" applyFont="1" applyBorder="1" applyAlignment="1">
      <alignment vertical="top" wrapText="1"/>
    </xf>
    <xf numFmtId="169" fontId="27" fillId="0" borderId="28" xfId="0" applyNumberFormat="1" applyFont="1" applyBorder="1" applyAlignment="1">
      <alignment vertical="top"/>
    </xf>
    <xf numFmtId="169" fontId="27" fillId="0" borderId="29" xfId="0" applyNumberFormat="1" applyFont="1" applyBorder="1" applyAlignment="1">
      <alignment vertical="top"/>
    </xf>
    <xf numFmtId="0" fontId="30" fillId="19" borderId="27" xfId="0" applyFont="1" applyFill="1" applyBorder="1" applyAlignment="1">
      <alignment horizontal="center" vertical="top"/>
    </xf>
    <xf numFmtId="0" fontId="30" fillId="20" borderId="27" xfId="0" applyFont="1" applyFill="1" applyBorder="1" applyAlignment="1">
      <alignment horizontal="center" vertical="top"/>
    </xf>
    <xf numFmtId="14" fontId="27" fillId="0" borderId="28" xfId="0" applyNumberFormat="1" applyFont="1" applyBorder="1" applyAlignment="1">
      <alignment vertical="top"/>
    </xf>
    <xf numFmtId="14" fontId="27" fillId="0" borderId="29" xfId="0" applyNumberFormat="1" applyFont="1" applyBorder="1" applyAlignment="1">
      <alignment vertical="top"/>
    </xf>
    <xf numFmtId="170" fontId="31" fillId="0" borderId="17" xfId="0" applyNumberFormat="1" applyFont="1" applyBorder="1" applyAlignment="1">
      <alignment horizontal="center" vertical="top"/>
    </xf>
    <xf numFmtId="170" fontId="27" fillId="0" borderId="28" xfId="0" applyNumberFormat="1" applyFont="1" applyBorder="1" applyAlignment="1">
      <alignment vertical="top"/>
    </xf>
    <xf numFmtId="170" fontId="27" fillId="0" borderId="29" xfId="0" applyNumberFormat="1" applyFont="1" applyBorder="1" applyAlignment="1">
      <alignment vertical="top"/>
    </xf>
    <xf numFmtId="170" fontId="27" fillId="0" borderId="0" xfId="0" applyNumberFormat="1" applyFont="1" applyAlignment="1">
      <alignment vertical="top"/>
    </xf>
    <xf numFmtId="170" fontId="30" fillId="18" borderId="27" xfId="0" applyNumberFormat="1" applyFont="1" applyFill="1" applyBorder="1" applyAlignment="1">
      <alignment horizontal="center" vertical="top"/>
    </xf>
    <xf numFmtId="170" fontId="0" fillId="0" borderId="0" xfId="0" applyNumberFormat="1"/>
    <xf numFmtId="169" fontId="30" fillId="18" borderId="27" xfId="0" applyNumberFormat="1" applyFont="1" applyFill="1" applyBorder="1" applyAlignment="1">
      <alignment horizontal="center" vertical="top"/>
    </xf>
    <xf numFmtId="0" fontId="30" fillId="18" borderId="23" xfId="0" applyFont="1" applyFill="1" applyBorder="1" applyAlignment="1">
      <alignment horizontal="center" vertical="top"/>
    </xf>
    <xf numFmtId="0" fontId="30" fillId="18" borderId="2" xfId="0" applyFont="1" applyFill="1" applyBorder="1" applyAlignment="1">
      <alignment horizontal="center" vertical="top"/>
    </xf>
    <xf numFmtId="0" fontId="30" fillId="18" borderId="24" xfId="0" applyFont="1" applyFill="1" applyBorder="1" applyAlignment="1">
      <alignment horizontal="center" vertical="top"/>
    </xf>
    <xf numFmtId="3" fontId="32" fillId="0" borderId="25" xfId="0" applyNumberFormat="1" applyFont="1" applyBorder="1" applyAlignment="1">
      <alignment horizontal="center" vertical="top"/>
    </xf>
    <xf numFmtId="170" fontId="32" fillId="0" borderId="17" xfId="0" applyNumberFormat="1" applyFont="1" applyBorder="1" applyAlignment="1">
      <alignment horizontal="center" vertical="top"/>
    </xf>
    <xf numFmtId="169" fontId="32" fillId="0" borderId="17" xfId="0" applyNumberFormat="1" applyFont="1" applyBorder="1" applyAlignment="1">
      <alignment horizontal="center" vertical="top"/>
    </xf>
    <xf numFmtId="3" fontId="32" fillId="0" borderId="17" xfId="0" applyNumberFormat="1" applyFont="1" applyBorder="1" applyAlignment="1">
      <alignment horizontal="center" vertical="top"/>
    </xf>
    <xf numFmtId="3" fontId="32" fillId="0" borderId="26" xfId="0" applyNumberFormat="1" applyFont="1" applyBorder="1" applyAlignment="1">
      <alignment horizontal="center" vertical="top"/>
    </xf>
    <xf numFmtId="0" fontId="23" fillId="3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11" borderId="0" xfId="0" applyFill="1"/>
    <xf numFmtId="0" fontId="23" fillId="9" borderId="2" xfId="0" applyFont="1" applyFill="1" applyBorder="1" applyAlignment="1">
      <alignment horizontal="center" vertical="center" wrapText="1"/>
    </xf>
    <xf numFmtId="0" fontId="23" fillId="9" borderId="32" xfId="0" applyFont="1" applyFill="1" applyBorder="1" applyAlignment="1">
      <alignment horizontal="center" vertical="center" wrapText="1"/>
    </xf>
    <xf numFmtId="0" fontId="20" fillId="8" borderId="33" xfId="0" applyFont="1" applyFill="1" applyBorder="1" applyAlignment="1">
      <alignment vertical="center"/>
    </xf>
    <xf numFmtId="0" fontId="20" fillId="8" borderId="31" xfId="0" applyFont="1" applyFill="1" applyBorder="1" applyAlignment="1">
      <alignment vertical="center"/>
    </xf>
    <xf numFmtId="0" fontId="23" fillId="9" borderId="34" xfId="0" applyFont="1" applyFill="1" applyBorder="1" applyAlignment="1">
      <alignment horizontal="center" vertical="center" wrapText="1"/>
    </xf>
    <xf numFmtId="0" fontId="20" fillId="8" borderId="4" xfId="0" applyFont="1" applyFill="1" applyBorder="1"/>
    <xf numFmtId="0" fontId="20" fillId="8" borderId="6" xfId="0" applyFont="1" applyFill="1" applyBorder="1"/>
    <xf numFmtId="14" fontId="0" fillId="0" borderId="20" xfId="0" applyNumberFormat="1" applyBorder="1" applyAlignment="1">
      <alignment horizontal="center" vertical="center"/>
    </xf>
    <xf numFmtId="0" fontId="20" fillId="8" borderId="35" xfId="0" applyFont="1" applyFill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49" fontId="0" fillId="0" borderId="1" xfId="5" applyNumberFormat="1" applyFont="1" applyFill="1" applyBorder="1" applyAlignment="1">
      <alignment horizontal="center" vertical="center"/>
    </xf>
    <xf numFmtId="44" fontId="0" fillId="0" borderId="1" xfId="5" applyFont="1" applyFill="1" applyBorder="1" applyAlignment="1">
      <alignment horizontal="center" vertical="center"/>
    </xf>
    <xf numFmtId="49" fontId="0" fillId="10" borderId="1" xfId="0" quotePrefix="1" applyNumberFormat="1" applyFill="1" applyBorder="1" applyAlignment="1">
      <alignment horizontal="center" vertical="center" wrapText="1"/>
    </xf>
    <xf numFmtId="2" fontId="0" fillId="0" borderId="1" xfId="0" quotePrefix="1" applyNumberFormat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3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quotePrefix="1"/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71" fontId="0" fillId="0" borderId="1" xfId="5" applyNumberFormat="1" applyFon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3" fontId="0" fillId="0" borderId="0" xfId="0" applyNumberFormat="1"/>
    <xf numFmtId="0" fontId="20" fillId="8" borderId="4" xfId="0" applyFont="1" applyFill="1" applyBorder="1" applyAlignment="1">
      <alignment horizontal="center"/>
    </xf>
    <xf numFmtId="0" fontId="20" fillId="8" borderId="5" xfId="0" applyFont="1" applyFill="1" applyBorder="1" applyAlignment="1">
      <alignment horizontal="center"/>
    </xf>
    <xf numFmtId="0" fontId="20" fillId="8" borderId="7" xfId="0" applyFont="1" applyFill="1" applyBorder="1" applyAlignment="1">
      <alignment horizontal="center"/>
    </xf>
    <xf numFmtId="0" fontId="20" fillId="8" borderId="8" xfId="0" applyFont="1" applyFill="1" applyBorder="1" applyAlignment="1">
      <alignment horizontal="center"/>
    </xf>
    <xf numFmtId="0" fontId="20" fillId="8" borderId="0" xfId="0" applyFont="1" applyFill="1" applyAlignment="1">
      <alignment horizontal="center"/>
    </xf>
    <xf numFmtId="0" fontId="0" fillId="0" borderId="18" xfId="0" quotePrefix="1" applyBorder="1" applyAlignment="1">
      <alignment horizontal="center" vertical="center"/>
    </xf>
    <xf numFmtId="0" fontId="0" fillId="0" borderId="2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20" fillId="8" borderId="10" xfId="0" applyFont="1" applyFill="1" applyBorder="1" applyAlignment="1">
      <alignment horizontal="center"/>
    </xf>
    <xf numFmtId="0" fontId="20" fillId="8" borderId="11" xfId="0" applyFont="1" applyFill="1" applyBorder="1" applyAlignment="1">
      <alignment horizontal="center"/>
    </xf>
    <xf numFmtId="0" fontId="20" fillId="8" borderId="30" xfId="0" applyFont="1" applyFill="1" applyBorder="1" applyAlignment="1">
      <alignment horizontal="center"/>
    </xf>
    <xf numFmtId="0" fontId="30" fillId="19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30" fillId="13" borderId="0" xfId="0" applyFont="1" applyFill="1" applyAlignment="1">
      <alignment vertical="top"/>
    </xf>
    <xf numFmtId="0" fontId="30" fillId="20" borderId="0" xfId="0" applyFont="1" applyFill="1" applyAlignment="1">
      <alignment vertical="top"/>
    </xf>
    <xf numFmtId="0" fontId="26" fillId="21" borderId="0" xfId="0" applyFont="1" applyFill="1" applyAlignment="1">
      <alignment vertical="top"/>
    </xf>
    <xf numFmtId="0" fontId="28" fillId="0" borderId="0" xfId="0" applyFont="1" applyAlignment="1">
      <alignment vertical="top"/>
    </xf>
    <xf numFmtId="0" fontId="29" fillId="14" borderId="0" xfId="0" applyFont="1" applyFill="1" applyAlignment="1">
      <alignment vertical="top" wrapText="1"/>
    </xf>
    <xf numFmtId="0" fontId="30" fillId="16" borderId="0" xfId="0" applyFont="1" applyFill="1" applyAlignment="1">
      <alignment vertical="top"/>
    </xf>
    <xf numFmtId="0" fontId="27" fillId="17" borderId="0" xfId="0" applyFont="1" applyFill="1" applyAlignment="1">
      <alignment vertical="top" wrapText="1"/>
    </xf>
    <xf numFmtId="170" fontId="27" fillId="0" borderId="0" xfId="0" applyNumberFormat="1" applyFont="1" applyAlignment="1">
      <alignment vertical="top"/>
    </xf>
    <xf numFmtId="169" fontId="27" fillId="0" borderId="0" xfId="0" applyNumberFormat="1" applyFont="1" applyAlignment="1">
      <alignment vertical="top"/>
    </xf>
    <xf numFmtId="0" fontId="26" fillId="13" borderId="0" xfId="0" applyFont="1" applyFill="1" applyAlignment="1">
      <alignment vertical="top"/>
    </xf>
  </cellXfs>
  <cellStyles count="6">
    <cellStyle name="Moeda" xfId="5" builtinId="4"/>
    <cellStyle name="Normal" xfId="0" builtinId="0"/>
    <cellStyle name="Normal 10 2" xfId="3" xr:uid="{1B383F52-B05A-44D9-B6C7-8BD991E51E85}"/>
    <cellStyle name="Normal 4" xfId="2" xr:uid="{F191687B-6134-4FCE-8079-A034ADDB0F30}"/>
    <cellStyle name="Porcentagem" xfId="4" builtinId="5"/>
    <cellStyle name="Vírgula" xfId="1" builtinId="3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  <numFmt numFmtId="0" formatCode="General"/>
    </dxf>
    <dxf>
      <font>
        <b/>
        <i val="0"/>
        <color rgb="FF00B050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Potencial anual por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Propostas'!$O$9</c:f>
              <c:strCache>
                <c:ptCount val="1"/>
                <c:pt idx="0">
                  <c:v>Potencial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Propostas'!$N$10:$N$13</c:f>
              <c:strCache>
                <c:ptCount val="4"/>
                <c:pt idx="0">
                  <c:v>JARINU</c:v>
                </c:pt>
                <c:pt idx="1">
                  <c:v>FERRAZ</c:v>
                </c:pt>
                <c:pt idx="2">
                  <c:v>DIADEMA</c:v>
                </c:pt>
                <c:pt idx="3">
                  <c:v>SÃO LEPOLDO</c:v>
                </c:pt>
              </c:strCache>
            </c:strRef>
          </c:cat>
          <c:val>
            <c:numRef>
              <c:f>'Insights Propostas'!$O$10:$O$13</c:f>
              <c:numCache>
                <c:formatCode>"R$"\ #,##0.00</c:formatCode>
                <c:ptCount val="4"/>
                <c:pt idx="0">
                  <c:v>1894286.455803545</c:v>
                </c:pt>
                <c:pt idx="1">
                  <c:v>987200.72000000009</c:v>
                </c:pt>
                <c:pt idx="2">
                  <c:v>499406.86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C-450F-94AF-FE7469AA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336456"/>
        <c:axId val="1831338504"/>
      </c:barChart>
      <c:catAx>
        <c:axId val="1831336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38504"/>
        <c:crosses val="autoZero"/>
        <c:auto val="1"/>
        <c:lblAlgn val="ctr"/>
        <c:lblOffset val="100"/>
        <c:noMultiLvlLbl val="0"/>
      </c:catAx>
      <c:valAx>
        <c:axId val="183133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 / 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364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fontes/usinas por potencial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 Propostas'!$O$16</c:f>
              <c:strCache>
                <c:ptCount val="1"/>
                <c:pt idx="0">
                  <c:v>Potencial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Propostas'!$N$17:$N$24</c:f>
              <c:strCache>
                <c:ptCount val="8"/>
                <c:pt idx="0">
                  <c:v>S.U</c:v>
                </c:pt>
                <c:pt idx="1">
                  <c:v>USIMINAS</c:v>
                </c:pt>
                <c:pt idx="2">
                  <c:v>ARCELOR</c:v>
                </c:pt>
                <c:pt idx="3">
                  <c:v>GONVARRI</c:v>
                </c:pt>
                <c:pt idx="4">
                  <c:v>CSN</c:v>
                </c:pt>
                <c:pt idx="5">
                  <c:v>DE: USIMINAS PARA: ARCELOR</c:v>
                </c:pt>
                <c:pt idx="6">
                  <c:v>FERROLENE</c:v>
                </c:pt>
                <c:pt idx="7">
                  <c:v>VW - SU</c:v>
                </c:pt>
              </c:strCache>
            </c:strRef>
          </c:cat>
          <c:val>
            <c:numRef>
              <c:f>'Insights Propostas'!$O$17:$O$24</c:f>
              <c:numCache>
                <c:formatCode>"R$"\ #,##0.00</c:formatCode>
                <c:ptCount val="8"/>
                <c:pt idx="0">
                  <c:v>1390523.5442530026</c:v>
                </c:pt>
                <c:pt idx="1">
                  <c:v>998683.29479479801</c:v>
                </c:pt>
                <c:pt idx="2">
                  <c:v>341048.09</c:v>
                </c:pt>
                <c:pt idx="3">
                  <c:v>194339.68058881108</c:v>
                </c:pt>
                <c:pt idx="4">
                  <c:v>164779.96956508717</c:v>
                </c:pt>
                <c:pt idx="5">
                  <c:v>115000</c:v>
                </c:pt>
                <c:pt idx="6">
                  <c:v>105555.86660184528</c:v>
                </c:pt>
                <c:pt idx="7">
                  <c:v>70963.59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E-434C-94EC-0C07ED1E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065736"/>
        <c:axId val="1837067784"/>
      </c:barChart>
      <c:catAx>
        <c:axId val="1837065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Fonte/usina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067784"/>
        <c:crosses val="autoZero"/>
        <c:auto val="1"/>
        <c:lblAlgn val="ctr"/>
        <c:lblOffset val="100"/>
        <c:noMultiLvlLbl val="0"/>
      </c:catAx>
      <c:valAx>
        <c:axId val="183706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 / 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0657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propostas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'Insights Propostas'!$O$2</c:f>
              <c:strCache>
                <c:ptCount val="1"/>
                <c:pt idx="0">
                  <c:v>Qtd.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7B-4363-98F2-1D78D67AE6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7B-4363-98F2-1D78D67AE6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7B-4363-98F2-1D78D67AE6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7B-4363-98F2-1D78D67AE6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'Insights Propostas'!$N$3:$N$6</c:f>
              <c:strCache>
                <c:ptCount val="4"/>
                <c:pt idx="0">
                  <c:v>SIM</c:v>
                </c:pt>
                <c:pt idx="1">
                  <c:v>NÃO</c:v>
                </c:pt>
                <c:pt idx="2">
                  <c:v>N/A</c:v>
                </c:pt>
                <c:pt idx="3">
                  <c:v>KAIZEN PLANO DE CORTE</c:v>
                </c:pt>
              </c:strCache>
            </c:strRef>
          </c:cat>
          <c:val>
            <c:numRef>
              <c:f>'Insights Propostas'!$O$3:$O$6</c:f>
              <c:numCache>
                <c:formatCode>General</c:formatCode>
                <c:ptCount val="4"/>
                <c:pt idx="0">
                  <c:v>62</c:v>
                </c:pt>
                <c:pt idx="1">
                  <c:v>37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9-437F-9240-95609BA52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Potencial anual por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Propostas'!$O$9</c:f>
              <c:strCache>
                <c:ptCount val="1"/>
                <c:pt idx="0">
                  <c:v>Potencial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Propostas'!$N$10:$N$13</c:f>
              <c:strCache>
                <c:ptCount val="4"/>
                <c:pt idx="0">
                  <c:v>JARINU</c:v>
                </c:pt>
                <c:pt idx="1">
                  <c:v>FERRAZ</c:v>
                </c:pt>
                <c:pt idx="2">
                  <c:v>DIADEMA</c:v>
                </c:pt>
                <c:pt idx="3">
                  <c:v>SÃO LEPOLDO</c:v>
                </c:pt>
              </c:strCache>
            </c:strRef>
          </c:cat>
          <c:val>
            <c:numRef>
              <c:f>'Análise Propostas'!$O$10:$O$13</c:f>
              <c:numCache>
                <c:formatCode>"R$"\ #,##0.00</c:formatCode>
                <c:ptCount val="4"/>
                <c:pt idx="0" formatCode="\R&quot;R$&quot;\ #,##0.00">
                  <c:v>1894286.455803545</c:v>
                </c:pt>
                <c:pt idx="1">
                  <c:v>987200.72000000009</c:v>
                </c:pt>
                <c:pt idx="2">
                  <c:v>499406.86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5-43C2-974C-3CF30C9B3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824264"/>
        <c:axId val="1817830408"/>
      </c:barChart>
      <c:catAx>
        <c:axId val="1817824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830408"/>
        <c:crosses val="autoZero"/>
        <c:auto val="1"/>
        <c:lblAlgn val="ctr"/>
        <c:lblOffset val="100"/>
        <c:noMultiLvlLbl val="0"/>
      </c:catAx>
      <c:valAx>
        <c:axId val="181783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 / 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82426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fontes/usinas por potencial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Propostas'!$O$16</c:f>
              <c:strCache>
                <c:ptCount val="1"/>
                <c:pt idx="0">
                  <c:v>Potencial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Propostas'!$N$17:$N$24</c:f>
              <c:strCache>
                <c:ptCount val="8"/>
                <c:pt idx="0">
                  <c:v>S.U</c:v>
                </c:pt>
                <c:pt idx="1">
                  <c:v>USIMINAS</c:v>
                </c:pt>
                <c:pt idx="2">
                  <c:v>ARCELOR</c:v>
                </c:pt>
                <c:pt idx="3">
                  <c:v>GONVARRI</c:v>
                </c:pt>
                <c:pt idx="4">
                  <c:v>CSN</c:v>
                </c:pt>
                <c:pt idx="5">
                  <c:v>DE: USIMINAS PARA: ARCELOR</c:v>
                </c:pt>
                <c:pt idx="6">
                  <c:v>FERROLENE</c:v>
                </c:pt>
                <c:pt idx="7">
                  <c:v>VW - SU</c:v>
                </c:pt>
              </c:strCache>
            </c:strRef>
          </c:cat>
          <c:val>
            <c:numRef>
              <c:f>'Análise Propostas'!$O$17:$O$24</c:f>
              <c:numCache>
                <c:formatCode>"R$"\ #,##0.00</c:formatCode>
                <c:ptCount val="8"/>
                <c:pt idx="0">
                  <c:v>1390523.5442530026</c:v>
                </c:pt>
                <c:pt idx="1">
                  <c:v>998683.29479479801</c:v>
                </c:pt>
                <c:pt idx="2">
                  <c:v>341048.09</c:v>
                </c:pt>
                <c:pt idx="3">
                  <c:v>194339.68058881108</c:v>
                </c:pt>
                <c:pt idx="4">
                  <c:v>164779.96956508717</c:v>
                </c:pt>
                <c:pt idx="5">
                  <c:v>115000</c:v>
                </c:pt>
                <c:pt idx="6">
                  <c:v>105555.86660184528</c:v>
                </c:pt>
                <c:pt idx="7">
                  <c:v>70963.59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5-4A8D-8943-B41310C1B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9353096"/>
        <c:axId val="1819355144"/>
      </c:barChart>
      <c:catAx>
        <c:axId val="1819353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Fonte/usina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55144"/>
        <c:crosses val="autoZero"/>
        <c:auto val="1"/>
        <c:lblAlgn val="ctr"/>
        <c:lblOffset val="100"/>
        <c:noMultiLvlLbl val="0"/>
      </c:catAx>
      <c:valAx>
        <c:axId val="181935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 / 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5309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'Análise Propostas'!$O$2</c:f>
              <c:strCache>
                <c:ptCount val="1"/>
                <c:pt idx="0">
                  <c:v>Qtd.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36-44D7-9D44-6B185D1EC7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36-44D7-9D44-6B185D1EC7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36-44D7-9D44-6B185D1EC7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36-44D7-9D44-6B185D1EC7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Propostas'!$N$3:$N$6</c:f>
              <c:strCache>
                <c:ptCount val="4"/>
                <c:pt idx="0">
                  <c:v>SIM</c:v>
                </c:pt>
                <c:pt idx="1">
                  <c:v>NÃO</c:v>
                </c:pt>
                <c:pt idx="2">
                  <c:v>N/A</c:v>
                </c:pt>
                <c:pt idx="3">
                  <c:v>KAIZEN PLANO DE CORTE</c:v>
                </c:pt>
              </c:strCache>
            </c:strRef>
          </c:cat>
          <c:val>
            <c:numRef>
              <c:f>'Análise Propostas'!$O$3:$O$6</c:f>
              <c:numCache>
                <c:formatCode>General</c:formatCode>
                <c:ptCount val="4"/>
                <c:pt idx="0">
                  <c:v>62</c:v>
                </c:pt>
                <c:pt idx="1">
                  <c:v>37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8-4E85-86BD-9ECE127AB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Análise Geral por</a:t>
            </a:r>
            <a:r>
              <a:rPr lang="en-US" sz="1100" baseline="0"/>
              <a:t> volume</a:t>
            </a:r>
            <a:endParaRPr lang="en-US" sz="1100"/>
          </a:p>
        </c:rich>
      </c:tx>
      <c:layout>
        <c:manualLayout>
          <c:xMode val="edge"/>
          <c:yMode val="edge"/>
          <c:x val="0.18790387336445236"/>
          <c:y val="0.109066479884521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700988522123602E-2"/>
          <c:y val="0.59798430402758351"/>
          <c:w val="0.50367635085599782"/>
          <c:h val="0.22466796493161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Formulas!$A$6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9261579978559018"/>
                  <c:y val="0.272108843537414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4609587502807375"/>
                      <c:h val="0.517006802721088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52BD-4233-A96B-82DE963C6F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Formulas!$E$1</c:f>
              <c:strCache>
                <c:ptCount val="1"/>
                <c:pt idx="0">
                  <c:v>Análises Concluidas (P)</c:v>
                </c:pt>
              </c:strCache>
            </c:strRef>
          </c:cat>
          <c:val>
            <c:numRef>
              <c:f>Formulas!$E$6</c:f>
              <c:numCache>
                <c:formatCode>0%</c:formatCode>
                <c:ptCount val="1"/>
                <c:pt idx="0">
                  <c:v>0.8982688467852199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D-4233-A96B-82DE963C6F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9111839"/>
        <c:axId val="1729118079"/>
      </c:barChart>
      <c:catAx>
        <c:axId val="1729111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118079"/>
        <c:crosses val="autoZero"/>
        <c:auto val="1"/>
        <c:lblAlgn val="ctr"/>
        <c:lblOffset val="100"/>
        <c:noMultiLvlLbl val="0"/>
      </c:catAx>
      <c:valAx>
        <c:axId val="17291180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9111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845506976101671"/>
          <c:y val="7.4509600773587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3700988522123602E-2"/>
          <c:y val="0.59798430402758351"/>
          <c:w val="0.50367635085599782"/>
          <c:h val="0.22466796493161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Formulas!$A$2</c:f>
              <c:strCache>
                <c:ptCount val="1"/>
                <c:pt idx="0">
                  <c:v>Ferraz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9736842105263158"/>
                  <c:y val="0.310727841712093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3684210526315788"/>
                      <c:h val="0.387061403508771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0E9-4AE3-BD94-D47F3B9E71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Formulas!$E$1</c:f>
              <c:strCache>
                <c:ptCount val="1"/>
                <c:pt idx="0">
                  <c:v>Análises Concluidas (P)</c:v>
                </c:pt>
              </c:strCache>
            </c:strRef>
          </c:cat>
          <c:val>
            <c:numRef>
              <c:f>Formulas!$E$2</c:f>
              <c:numCache>
                <c:formatCode>0%</c:formatCode>
                <c:ptCount val="1"/>
                <c:pt idx="0">
                  <c:v>0.84582051151054938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9-4AE3-BD94-D47F3B9E71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9111839"/>
        <c:axId val="1729118079"/>
      </c:barChart>
      <c:catAx>
        <c:axId val="1729111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118079"/>
        <c:crosses val="autoZero"/>
        <c:auto val="1"/>
        <c:lblAlgn val="ctr"/>
        <c:lblOffset val="100"/>
        <c:noMultiLvlLbl val="0"/>
      </c:catAx>
      <c:valAx>
        <c:axId val="17291180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9111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845506976101671"/>
          <c:y val="7.4509600773587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3700988522123602E-2"/>
          <c:y val="0.59798430402758351"/>
          <c:w val="0.50367635085599782"/>
          <c:h val="0.22466796493161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Formulas!$A$4</c:f>
              <c:strCache>
                <c:ptCount val="1"/>
                <c:pt idx="0">
                  <c:v>Jarinu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8640350877192982"/>
                  <c:y val="0.282051282051281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5877192982456145"/>
                      <c:h val="0.452564102564102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C04-4E7C-B721-290594B234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Formulas!$E$1</c:f>
              <c:strCache>
                <c:ptCount val="1"/>
                <c:pt idx="0">
                  <c:v>Análises Concluidas (P)</c:v>
                </c:pt>
              </c:strCache>
            </c:strRef>
          </c:cat>
          <c:val>
            <c:numRef>
              <c:f>Formulas!$E$4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4-4E7C-B721-290594B234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9111839"/>
        <c:axId val="1729118079"/>
      </c:barChart>
      <c:catAx>
        <c:axId val="1729111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118079"/>
        <c:crosses val="autoZero"/>
        <c:auto val="1"/>
        <c:lblAlgn val="ctr"/>
        <c:lblOffset val="100"/>
        <c:noMultiLvlLbl val="0"/>
      </c:catAx>
      <c:valAx>
        <c:axId val="17291180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9111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845506976101671"/>
          <c:y val="7.4509600773587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3700988522123602E-2"/>
          <c:y val="0.59798430402758351"/>
          <c:w val="0.50367635085599782"/>
          <c:h val="0.22466796493161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Formulas!$A$3</c:f>
              <c:strCache>
                <c:ptCount val="1"/>
                <c:pt idx="0">
                  <c:v>Diadema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6447368421052633"/>
                  <c:y val="0.2820512820512820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9166666666666665"/>
                      <c:h val="0.452564102564102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B7F-4BC0-A642-6A8E13D451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Formulas!$E$1</c:f>
              <c:strCache>
                <c:ptCount val="1"/>
                <c:pt idx="0">
                  <c:v>Análises Concluidas (P)</c:v>
                </c:pt>
              </c:strCache>
            </c:strRef>
          </c:cat>
          <c:val>
            <c:numRef>
              <c:f>Formulas!$E$3</c:f>
              <c:numCache>
                <c:formatCode>0%</c:formatCode>
                <c:ptCount val="1"/>
                <c:pt idx="0">
                  <c:v>0.91656093574990061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F-4BC0-A642-6A8E13D451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9111839"/>
        <c:axId val="1729118079"/>
      </c:barChart>
      <c:catAx>
        <c:axId val="1729111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118079"/>
        <c:crosses val="autoZero"/>
        <c:auto val="1"/>
        <c:lblAlgn val="ctr"/>
        <c:lblOffset val="100"/>
        <c:noMultiLvlLbl val="0"/>
      </c:catAx>
      <c:valAx>
        <c:axId val="17291180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9111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231471888382375"/>
          <c:y val="7.4510397738744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3700988522123602E-2"/>
          <c:y val="0.59798430402758351"/>
          <c:w val="0.50367635085599782"/>
          <c:h val="0.22466796493161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Formulas!$A$5</c:f>
              <c:strCache>
                <c:ptCount val="1"/>
                <c:pt idx="0">
                  <c:v>Sul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1929824561403508"/>
                  <c:y val="0.3076923076923077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3815789473684206"/>
                      <c:h val="0.452564102564102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A1-4B3A-865B-317FD3674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Formulas!$E$1</c:f>
              <c:strCache>
                <c:ptCount val="1"/>
                <c:pt idx="0">
                  <c:v>Análises Concluidas (P)</c:v>
                </c:pt>
              </c:strCache>
            </c:strRef>
          </c:cat>
          <c:val>
            <c:numRef>
              <c:f>Formulas!$E$5</c:f>
              <c:numCache>
                <c:formatCode>0%</c:formatCode>
                <c:ptCount val="1"/>
                <c:pt idx="0">
                  <c:v>0.62816150533889237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1-4B3A-865B-317FD36746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9111839"/>
        <c:axId val="1729118079"/>
      </c:barChart>
      <c:catAx>
        <c:axId val="1729111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118079"/>
        <c:crosses val="autoZero"/>
        <c:auto val="1"/>
        <c:lblAlgn val="ctr"/>
        <c:lblOffset val="100"/>
        <c:noMultiLvlLbl val="0"/>
      </c:catAx>
      <c:valAx>
        <c:axId val="17291180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9111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24-4963-8ADF-5B47D2E4531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24-4963-8ADF-5B47D2E4531B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24-4963-8ADF-5B47D2E4531B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24-4963-8ADF-5B47D2E4531B}"/>
              </c:ext>
            </c:extLst>
          </c:dPt>
          <c:dLbls>
            <c:dLbl>
              <c:idx val="0"/>
              <c:layout>
                <c:manualLayout>
                  <c:x val="0.14283029505732006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24-4963-8ADF-5B47D2E4531B}"/>
                </c:ext>
              </c:extLst>
            </c:dLbl>
            <c:dLbl>
              <c:idx val="1"/>
              <c:layout>
                <c:manualLayout>
                  <c:x val="8.6449915429430549E-2"/>
                  <c:y val="-2.7777777777777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29411764705882"/>
                      <c:h val="0.156458333333333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E24-4963-8ADF-5B47D2E4531B}"/>
                </c:ext>
              </c:extLst>
            </c:dLbl>
            <c:dLbl>
              <c:idx val="2"/>
              <c:layout>
                <c:manualLayout>
                  <c:x val="-0.13883187548370962"/>
                  <c:y val="5.2738681102362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70205467190259"/>
                      <c:h val="0.112363575548372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E24-4963-8ADF-5B47D2E4531B}"/>
                </c:ext>
              </c:extLst>
            </c:dLbl>
            <c:dLbl>
              <c:idx val="3"/>
              <c:layout>
                <c:manualLayout>
                  <c:x val="-0.1231311975873341"/>
                  <c:y val="-7.3725120297462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07962493516"/>
                      <c:h val="0.112363575548372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E24-4963-8ADF-5B47D2E453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2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Formulas!$A$2:$A$5</c:f>
              <c:strCache>
                <c:ptCount val="4"/>
                <c:pt idx="0">
                  <c:v>Ferraz</c:v>
                </c:pt>
                <c:pt idx="1">
                  <c:v>Diadema</c:v>
                </c:pt>
                <c:pt idx="2">
                  <c:v>Jarinu</c:v>
                </c:pt>
                <c:pt idx="3">
                  <c:v>Sul</c:v>
                </c:pt>
              </c:strCache>
            </c:strRef>
          </c:cat>
          <c:val>
            <c:numRef>
              <c:f>Formulas!$F$2:$F$5</c:f>
              <c:numCache>
                <c:formatCode>_("R$"* #,##0.00_);_("R$"* \(#,##0.00\);_("R$"* "-"??_);_(@_)</c:formatCode>
                <c:ptCount val="4"/>
                <c:pt idx="0">
                  <c:v>94585.794166666674</c:v>
                </c:pt>
                <c:pt idx="1">
                  <c:v>312341.39</c:v>
                </c:pt>
                <c:pt idx="2">
                  <c:v>136436.7233333333</c:v>
                </c:pt>
                <c:pt idx="3">
                  <c:v>12517.415833333334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24-4963-8ADF-5B47D2E45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700988522123602E-2"/>
          <c:y val="0.59798430402758351"/>
          <c:w val="0.50367635085599782"/>
          <c:h val="0.22466796493161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Formulas!$A$6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239091589352463E-2"/>
                  <c:y val="0.2978623361476315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923051145944366"/>
                      <c:h val="0.482279388436677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2D6-4BAD-B977-7B3DE73472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Formulas!$F$1</c:f>
              <c:strCache>
                <c:ptCount val="1"/>
                <c:pt idx="0">
                  <c:v>Ganho Financeiro</c:v>
                </c:pt>
              </c:strCache>
            </c:strRef>
          </c:cat>
          <c:val>
            <c:numRef>
              <c:f>Formulas!$F$6</c:f>
              <c:numCache>
                <c:formatCode>_("R$"* #,##0.00_);_("R$"* \(#,##0.00\);_("R$"* "-"??_);_(@_)</c:formatCode>
                <c:ptCount val="1"/>
                <c:pt idx="0">
                  <c:v>555881.32333333336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D6-4BAD-B977-7B3DE73472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9111839"/>
        <c:axId val="1729118079"/>
      </c:barChart>
      <c:catAx>
        <c:axId val="1729111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118079"/>
        <c:crosses val="autoZero"/>
        <c:auto val="1"/>
        <c:lblAlgn val="ctr"/>
        <c:lblOffset val="100"/>
        <c:noMultiLvlLbl val="0"/>
      </c:catAx>
      <c:valAx>
        <c:axId val="172911807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29111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Formulas!$C$1</c:f>
              <c:strCache>
                <c:ptCount val="1"/>
                <c:pt idx="0">
                  <c:v>Peso medio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Formulas!$A$2:$A$5</c:f>
              <c:strCache>
                <c:ptCount val="4"/>
                <c:pt idx="0">
                  <c:v>Ferraz</c:v>
                </c:pt>
                <c:pt idx="1">
                  <c:v>Diadema</c:v>
                </c:pt>
                <c:pt idx="2">
                  <c:v>Jarinu</c:v>
                </c:pt>
                <c:pt idx="3">
                  <c:v>Sul</c:v>
                </c:pt>
              </c:strCache>
            </c:strRef>
          </c:cat>
          <c:val>
            <c:numRef>
              <c:f>Formulas!$C$2:$C$5</c:f>
              <c:numCache>
                <c:formatCode>0.0</c:formatCode>
                <c:ptCount val="4"/>
                <c:pt idx="0">
                  <c:v>1977.8500121879999</c:v>
                </c:pt>
                <c:pt idx="1">
                  <c:v>1317.7913101999993</c:v>
                </c:pt>
                <c:pt idx="2">
                  <c:v>1118.2558657600009</c:v>
                </c:pt>
                <c:pt idx="3">
                  <c:v>126.36337076589314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0-48CC-8FFF-2F1883A884C7}"/>
            </c:ext>
          </c:extLst>
        </c:ser>
        <c:ser>
          <c:idx val="1"/>
          <c:order val="1"/>
          <c:tx>
            <c:strRef>
              <c:f>Formulas!$D$1</c:f>
              <c:strCache>
                <c:ptCount val="1"/>
                <c:pt idx="0">
                  <c:v>Peso análisado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Formulas!$A$2:$A$5</c:f>
              <c:strCache>
                <c:ptCount val="4"/>
                <c:pt idx="0">
                  <c:v>Ferraz</c:v>
                </c:pt>
                <c:pt idx="1">
                  <c:v>Diadema</c:v>
                </c:pt>
                <c:pt idx="2">
                  <c:v>Jarinu</c:v>
                </c:pt>
                <c:pt idx="3">
                  <c:v>Sul</c:v>
                </c:pt>
              </c:strCache>
            </c:strRef>
          </c:cat>
          <c:val>
            <c:numRef>
              <c:f>Formulas!$D$2:$D$5</c:f>
              <c:numCache>
                <c:formatCode>0.0</c:formatCode>
                <c:ptCount val="4"/>
                <c:pt idx="0">
                  <c:v>1672.9061090000005</c:v>
                </c:pt>
                <c:pt idx="1">
                  <c:v>1207.8360363999989</c:v>
                </c:pt>
                <c:pt idx="2">
                  <c:v>1118.2558657600009</c:v>
                </c:pt>
                <c:pt idx="3">
                  <c:v>79.376605200000014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0-48CC-8FFF-2F1883A884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76028959"/>
        <c:axId val="1576027039"/>
      </c:barChart>
      <c:catAx>
        <c:axId val="157602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6027039"/>
        <c:crosses val="autoZero"/>
        <c:auto val="1"/>
        <c:lblAlgn val="ctr"/>
        <c:lblOffset val="100"/>
        <c:noMultiLvlLbl val="0"/>
      </c:catAx>
      <c:valAx>
        <c:axId val="15760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602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38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2" name="Potencial por Planta">
          <a:extLst>
            <a:ext uri="{FF2B5EF4-FFF2-40B4-BE49-F238E27FC236}">
              <a16:creationId xmlns:a16="http://schemas.microsoft.com/office/drawing/2014/main" id="{1752DF21-AFBD-1423-23F6-053FE0F62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6</xdr:col>
      <xdr:colOff>0</xdr:colOff>
      <xdr:row>66</xdr:row>
      <xdr:rowOff>0</xdr:rowOff>
    </xdr:to>
    <xdr:graphicFrame macro="">
      <xdr:nvGraphicFramePr>
        <xdr:cNvPr id="3" name="Top Fontes por Potencial">
          <a:extLst>
            <a:ext uri="{FF2B5EF4-FFF2-40B4-BE49-F238E27FC236}">
              <a16:creationId xmlns:a16="http://schemas.microsoft.com/office/drawing/2014/main" id="{548F2BB8-2B4F-8B78-993E-7C81FA6C5674}"/>
            </a:ext>
            <a:ext uri="{147F2762-F138-4A5C-976F-8EAC2B608ADB}">
              <a16:predDERef xmlns:a16="http://schemas.microsoft.com/office/drawing/2014/main" pred="{1752DF21-AFBD-1423-23F6-053FE0F62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55</xdr:row>
      <xdr:rowOff>0</xdr:rowOff>
    </xdr:from>
    <xdr:to>
      <xdr:col>12</xdr:col>
      <xdr:colOff>0</xdr:colOff>
      <xdr:row>71</xdr:row>
      <xdr:rowOff>0</xdr:rowOff>
    </xdr:to>
    <xdr:graphicFrame macro="">
      <xdr:nvGraphicFramePr>
        <xdr:cNvPr id="4" name="Distribuição por Status">
          <a:extLst>
            <a:ext uri="{FF2B5EF4-FFF2-40B4-BE49-F238E27FC236}">
              <a16:creationId xmlns:a16="http://schemas.microsoft.com/office/drawing/2014/main" id="{8F7653FB-17E9-7060-49CD-549137318398}"/>
            </a:ext>
            <a:ext uri="{147F2762-F138-4A5C-976F-8EAC2B608ADB}">
              <a16:predDERef xmlns:a16="http://schemas.microsoft.com/office/drawing/2014/main" pred="{548F2BB8-2B4F-8B78-993E-7C81FA6C5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24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Potencial por Planta">
          <a:extLst>
            <a:ext uri="{FF2B5EF4-FFF2-40B4-BE49-F238E27FC236}">
              <a16:creationId xmlns:a16="http://schemas.microsoft.com/office/drawing/2014/main" id="{756A778B-0906-5FE7-FD56-DE06E3F4F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12</xdr:col>
      <xdr:colOff>0</xdr:colOff>
      <xdr:row>58</xdr:row>
      <xdr:rowOff>0</xdr:rowOff>
    </xdr:to>
    <xdr:graphicFrame macro="">
      <xdr:nvGraphicFramePr>
        <xdr:cNvPr id="3" name="Top Fontes por Potencial">
          <a:extLst>
            <a:ext uri="{FF2B5EF4-FFF2-40B4-BE49-F238E27FC236}">
              <a16:creationId xmlns:a16="http://schemas.microsoft.com/office/drawing/2014/main" id="{F1CAF4F5-BECE-D10D-7438-D325245CEC03}"/>
            </a:ext>
            <a:ext uri="{147F2762-F138-4A5C-976F-8EAC2B608ADB}">
              <a16:predDERef xmlns:a16="http://schemas.microsoft.com/office/drawing/2014/main" pred="{756A778B-0906-5FE7-FD56-DE06E3F4F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6</xdr:col>
      <xdr:colOff>0</xdr:colOff>
      <xdr:row>63</xdr:row>
      <xdr:rowOff>0</xdr:rowOff>
    </xdr:to>
    <xdr:graphicFrame macro="">
      <xdr:nvGraphicFramePr>
        <xdr:cNvPr id="4" name="Distribuição por Status">
          <a:extLst>
            <a:ext uri="{FF2B5EF4-FFF2-40B4-BE49-F238E27FC236}">
              <a16:creationId xmlns:a16="http://schemas.microsoft.com/office/drawing/2014/main" id="{A81851C7-7B2C-5414-B7E6-733ADCB64C7E}"/>
            </a:ext>
            <a:ext uri="{147F2762-F138-4A5C-976F-8EAC2B608ADB}">
              <a16:predDERef xmlns:a16="http://schemas.microsoft.com/office/drawing/2014/main" pred="{F1CAF4F5-BECE-D10D-7438-D325245CE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33170</xdr:colOff>
      <xdr:row>0</xdr:row>
      <xdr:rowOff>35860</xdr:rowOff>
    </xdr:from>
    <xdr:to>
      <xdr:col>2</xdr:col>
      <xdr:colOff>515332</xdr:colOff>
      <xdr:row>0</xdr:row>
      <xdr:rowOff>782620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69F169-85F3-4B54-B647-4474DB9B9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17930</xdr:colOff>
      <xdr:row>0</xdr:row>
      <xdr:rowOff>828340</xdr:rowOff>
    </xdr:from>
    <xdr:to>
      <xdr:col>0</xdr:col>
      <xdr:colOff>1176170</xdr:colOff>
      <xdr:row>0</xdr:row>
      <xdr:rowOff>1323640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D319D12-218D-4EF5-9D9E-664F7E08A126}"/>
            </a:ext>
            <a:ext uri="{147F2762-F138-4A5C-976F-8EAC2B608ADB}">
              <a16:predDERef xmlns:a16="http://schemas.microsoft.com/office/drawing/2014/main" pred="{B069F169-85F3-4B54-B647-4474DB9B9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17930</xdr:colOff>
      <xdr:row>0</xdr:row>
      <xdr:rowOff>1361740</xdr:rowOff>
    </xdr:from>
    <xdr:to>
      <xdr:col>0</xdr:col>
      <xdr:colOff>1176170</xdr:colOff>
      <xdr:row>0</xdr:row>
      <xdr:rowOff>1857040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79ACD52-2DEE-483F-ADC5-A8D909210419}"/>
            </a:ext>
            <a:ext uri="{147F2762-F138-4A5C-976F-8EAC2B608ADB}">
              <a16:predDERef xmlns:a16="http://schemas.microsoft.com/office/drawing/2014/main" pred="{6D319D12-218D-4EF5-9D9E-664F7E08A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1221890</xdr:colOff>
      <xdr:row>0</xdr:row>
      <xdr:rowOff>828340</xdr:rowOff>
    </xdr:from>
    <xdr:to>
      <xdr:col>2</xdr:col>
      <xdr:colOff>520850</xdr:colOff>
      <xdr:row>0</xdr:row>
      <xdr:rowOff>1323640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3EC729E-447A-42C8-BCF2-46504A30DA1D}"/>
            </a:ext>
            <a:ext uri="{147F2762-F138-4A5C-976F-8EAC2B608ADB}">
              <a16:predDERef xmlns:a16="http://schemas.microsoft.com/office/drawing/2014/main" pred="{079ACD52-2DEE-483F-ADC5-A8D90921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1221890</xdr:colOff>
      <xdr:row>0</xdr:row>
      <xdr:rowOff>1369360</xdr:rowOff>
    </xdr:from>
    <xdr:to>
      <xdr:col>2</xdr:col>
      <xdr:colOff>520850</xdr:colOff>
      <xdr:row>0</xdr:row>
      <xdr:rowOff>1864660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FBB5071-2312-4AFD-AA36-5B8EBBAA6E85}"/>
            </a:ext>
            <a:ext uri="{147F2762-F138-4A5C-976F-8EAC2B608ADB}">
              <a16:predDERef xmlns:a16="http://schemas.microsoft.com/office/drawing/2014/main" pred="{43EC729E-447A-42C8-BCF2-46504A30D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560220</xdr:colOff>
      <xdr:row>0</xdr:row>
      <xdr:rowOff>35860</xdr:rowOff>
    </xdr:from>
    <xdr:to>
      <xdr:col>6</xdr:col>
      <xdr:colOff>932330</xdr:colOff>
      <xdr:row>0</xdr:row>
      <xdr:rowOff>1864660</xdr:rowOff>
    </xdr:to>
    <xdr:graphicFrame macro="">
      <xdr:nvGraphicFramePr>
        <xdr:cNvPr id="32" name="Gráfico 11">
          <a:extLst>
            <a:ext uri="{FF2B5EF4-FFF2-40B4-BE49-F238E27FC236}">
              <a16:creationId xmlns:a16="http://schemas.microsoft.com/office/drawing/2014/main" id="{B54A52A7-FB35-49E2-8FF2-5CDCD47387D0}"/>
            </a:ext>
            <a:ext uri="{147F2762-F138-4A5C-976F-8EAC2B608ADB}">
              <a16:predDERef xmlns:a16="http://schemas.microsoft.com/office/drawing/2014/main" pred="{EFBB5071-2312-4AFD-AA36-5B8EBBAA6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604670</xdr:colOff>
      <xdr:row>0</xdr:row>
      <xdr:rowOff>1582720</xdr:rowOff>
    </xdr:from>
    <xdr:to>
      <xdr:col>5</xdr:col>
      <xdr:colOff>40790</xdr:colOff>
      <xdr:row>0</xdr:row>
      <xdr:rowOff>1834180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82EC2C8-1267-4715-9024-141FB713E147}"/>
            </a:ext>
            <a:ext uri="{147F2762-F138-4A5C-976F-8EAC2B608ADB}">
              <a16:predDERef xmlns:a16="http://schemas.microsoft.com/office/drawing/2014/main" pred="{B54A52A7-FB35-49E2-8FF2-5CDCD4738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985670</xdr:colOff>
      <xdr:row>0</xdr:row>
      <xdr:rowOff>35861</xdr:rowOff>
    </xdr:from>
    <xdr:to>
      <xdr:col>13</xdr:col>
      <xdr:colOff>2098190</xdr:colOff>
      <xdr:row>0</xdr:row>
      <xdr:rowOff>1857041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69D569D-5BA7-468C-A9C2-5507133D774B}"/>
            </a:ext>
            <a:ext uri="{147F2762-F138-4A5C-976F-8EAC2B608ADB}">
              <a16:predDERef xmlns:a16="http://schemas.microsoft.com/office/drawing/2014/main" pred="{682EC2C8-1267-4715-9024-141FB713E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17930</xdr:colOff>
      <xdr:row>0</xdr:row>
      <xdr:rowOff>1813630</xdr:rowOff>
    </xdr:from>
    <xdr:to>
      <xdr:col>33</xdr:col>
      <xdr:colOff>0</xdr:colOff>
      <xdr:row>0</xdr:row>
      <xdr:rowOff>1859349</xdr:rowOff>
    </xdr:to>
    <xdr:sp macro="" textlink="">
      <xdr:nvSpPr>
        <xdr:cNvPr id="4" name="Retângulo: Cantos Arredondados 4">
          <a:extLst>
            <a:ext uri="{FF2B5EF4-FFF2-40B4-BE49-F238E27FC236}">
              <a16:creationId xmlns:a16="http://schemas.microsoft.com/office/drawing/2014/main" id="{AD98B55C-FAC1-0E67-6ADD-FA82D3259FA3}"/>
            </a:ext>
          </a:extLst>
        </xdr:cNvPr>
        <xdr:cNvSpPr/>
      </xdr:nvSpPr>
      <xdr:spPr>
        <a:xfrm>
          <a:off x="7268653" y="1813630"/>
          <a:ext cx="7338301" cy="4571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gadiadema-my.sharepoint.com/personal/alan_gomes_delga_com_br/Documents/02%20-%20BSW/00%20-%20Geral_2026_Rev01_Abril.xlsx" TargetMode="External"/><Relationship Id="rId1" Type="http://schemas.openxmlformats.org/officeDocument/2006/relationships/externalLinkPath" Target="https://delgadiadema-my.sharepoint.com/personal/alan_gomes_delga_com_br/Documents/02%20-%20BSW/00%20-%20Geral_2026_Rev01_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Dados internos - Laser"/>
      <sheetName val="Curva A"/>
      <sheetName val="Planilha2"/>
      <sheetName val="Tendência"/>
      <sheetName val="Custo aço"/>
      <sheetName val="MAIO"/>
      <sheetName val="JUNHO"/>
      <sheetName val="JULHO"/>
      <sheetName val="AGOSTO"/>
      <sheetName val="MB002286AB"/>
      <sheetName val="MB002287AA"/>
      <sheetName val="SV000122PL"/>
      <sheetName val="SV000157LA"/>
      <sheetName val="SV000152LA"/>
      <sheetName val="MB002402LA"/>
      <sheetName val="MB000311LA"/>
      <sheetName val="MB002401LA"/>
      <sheetName val="MB002183LQ"/>
      <sheetName val="SV000153LA"/>
      <sheetName val="DA000078LA_80LA"/>
      <sheetName val="BOQ1275BA1250"/>
      <sheetName val="BOQ1575BA1250"/>
      <sheetName val="BOQ1225BA1250"/>
      <sheetName val="BOQ1175AY1050"/>
      <sheetName val="VB000221LA"/>
      <sheetName val="VB000221LB"/>
      <sheetName val="SV000151_156Z"/>
      <sheetName val="MB002183LG"/>
      <sheetName val="Listas"/>
    </sheetNames>
    <sheetDataSet>
      <sheetData sheetId="0">
        <row r="1">
          <cell r="A1" t="str">
            <v>Curva ABC</v>
          </cell>
          <cell r="B1" t="str">
            <v>Material</v>
          </cell>
        </row>
        <row r="2">
          <cell r="A2" t="str">
            <v>A</v>
          </cell>
          <cell r="B2" t="str">
            <v>BOQ1225BA1250</v>
          </cell>
        </row>
        <row r="3">
          <cell r="A3" t="str">
            <v>A</v>
          </cell>
          <cell r="B3" t="str">
            <v>BOQ1575BA1250</v>
          </cell>
        </row>
        <row r="4">
          <cell r="A4" t="str">
            <v>A</v>
          </cell>
          <cell r="B4" t="str">
            <v>BOQ1175AY1050</v>
          </cell>
        </row>
        <row r="5">
          <cell r="A5" t="str">
            <v>A</v>
          </cell>
          <cell r="B5" t="str">
            <v>CHQ1250AZ23306970</v>
          </cell>
        </row>
        <row r="6">
          <cell r="A6" t="str">
            <v>A</v>
          </cell>
          <cell r="B6" t="str">
            <v>BOQ1000AY1050</v>
          </cell>
        </row>
        <row r="7">
          <cell r="A7" t="str">
            <v>A</v>
          </cell>
          <cell r="B7" t="str">
            <v>CHQ1275AZ24406900</v>
          </cell>
        </row>
        <row r="8">
          <cell r="A8" t="str">
            <v>A</v>
          </cell>
          <cell r="B8" t="str">
            <v>BOQ0800IS1200</v>
          </cell>
        </row>
        <row r="9">
          <cell r="A9" t="str">
            <v>A</v>
          </cell>
          <cell r="B9" t="str">
            <v>CHQ0975AZ23006550</v>
          </cell>
        </row>
        <row r="10">
          <cell r="A10" t="str">
            <v>A</v>
          </cell>
          <cell r="B10" t="str">
            <v>BOQ0975AB1250</v>
          </cell>
        </row>
        <row r="11">
          <cell r="A11" t="str">
            <v>A</v>
          </cell>
          <cell r="B11" t="str">
            <v>BOQ0475EE1230</v>
          </cell>
        </row>
        <row r="12">
          <cell r="A12" t="str">
            <v>A</v>
          </cell>
          <cell r="B12" t="str">
            <v>BOQ0580TV1500</v>
          </cell>
        </row>
        <row r="13">
          <cell r="A13" t="str">
            <v>A</v>
          </cell>
          <cell r="B13" t="str">
            <v>BOQ0680TV1500</v>
          </cell>
        </row>
        <row r="14">
          <cell r="A14" t="str">
            <v>A</v>
          </cell>
          <cell r="B14" t="str">
            <v>BOQ0600AO1200</v>
          </cell>
        </row>
        <row r="15">
          <cell r="A15" t="str">
            <v>A</v>
          </cell>
          <cell r="B15" t="str">
            <v>BOQ1275BA1250</v>
          </cell>
        </row>
        <row r="16">
          <cell r="A16" t="str">
            <v>A</v>
          </cell>
          <cell r="B16" t="str">
            <v>BOQ0700IS1300</v>
          </cell>
        </row>
        <row r="17">
          <cell r="A17" t="str">
            <v>A</v>
          </cell>
          <cell r="B17" t="str">
            <v>BOQ1075AZ1155</v>
          </cell>
        </row>
        <row r="18">
          <cell r="A18" t="str">
            <v>A</v>
          </cell>
          <cell r="B18" t="str">
            <v>BOQ0580HQ1000</v>
          </cell>
        </row>
        <row r="19">
          <cell r="A19" t="str">
            <v>A</v>
          </cell>
          <cell r="B19" t="str">
            <v>CHQ0200EJ11001775</v>
          </cell>
        </row>
        <row r="20">
          <cell r="A20" t="str">
            <v>A</v>
          </cell>
          <cell r="B20" t="str">
            <v>BOQ0725BF1100</v>
          </cell>
        </row>
        <row r="21">
          <cell r="A21" t="str">
            <v>A</v>
          </cell>
          <cell r="B21" t="str">
            <v>BOQ0400ED1150</v>
          </cell>
        </row>
        <row r="22">
          <cell r="A22" t="str">
            <v>A</v>
          </cell>
          <cell r="B22" t="str">
            <v>BOQ0700LN1200</v>
          </cell>
        </row>
        <row r="23">
          <cell r="A23" t="str">
            <v>A</v>
          </cell>
          <cell r="B23" t="str">
            <v>CHG1800BJ26008505</v>
          </cell>
        </row>
        <row r="24">
          <cell r="A24" t="str">
            <v>A</v>
          </cell>
          <cell r="B24" t="str">
            <v>BOQ0600AO1110</v>
          </cell>
        </row>
        <row r="25">
          <cell r="A25" t="str">
            <v>A</v>
          </cell>
          <cell r="B25" t="str">
            <v>BOQ0775BF1100</v>
          </cell>
        </row>
        <row r="26">
          <cell r="A26" t="str">
            <v>A</v>
          </cell>
          <cell r="B26" t="str">
            <v>BOQ0600KX1450</v>
          </cell>
        </row>
        <row r="27">
          <cell r="A27" t="str">
            <v>A</v>
          </cell>
          <cell r="B27" t="str">
            <v>BOQ0200EJ1100</v>
          </cell>
        </row>
        <row r="28">
          <cell r="A28" t="str">
            <v>A</v>
          </cell>
          <cell r="B28" t="str">
            <v>BOQ0775AB1100</v>
          </cell>
        </row>
        <row r="29">
          <cell r="A29" t="str">
            <v>A</v>
          </cell>
          <cell r="B29" t="str">
            <v>BOQ0250EJ1250</v>
          </cell>
        </row>
        <row r="30">
          <cell r="A30" t="str">
            <v>B</v>
          </cell>
          <cell r="B30" t="str">
            <v>BOQ0475ED1250</v>
          </cell>
        </row>
        <row r="31">
          <cell r="A31" t="str">
            <v>B</v>
          </cell>
          <cell r="B31" t="str">
            <v>BOF0200DV1000</v>
          </cell>
        </row>
        <row r="32">
          <cell r="A32" t="str">
            <v>B</v>
          </cell>
          <cell r="B32" t="str">
            <v>BOQ0200DV1000</v>
          </cell>
        </row>
        <row r="33">
          <cell r="A33" t="str">
            <v>B</v>
          </cell>
          <cell r="B33" t="str">
            <v>BOQ0630IH1300</v>
          </cell>
        </row>
        <row r="34">
          <cell r="A34" t="str">
            <v>B</v>
          </cell>
          <cell r="B34" t="str">
            <v>BOQ0475EJ1400</v>
          </cell>
        </row>
        <row r="35">
          <cell r="A35" t="str">
            <v>B</v>
          </cell>
          <cell r="B35" t="str">
            <v>BOQ0800ZN1300</v>
          </cell>
        </row>
        <row r="36">
          <cell r="A36" t="str">
            <v>B</v>
          </cell>
          <cell r="B36" t="str">
            <v>BOQ0600LA1050</v>
          </cell>
        </row>
        <row r="37">
          <cell r="A37" t="str">
            <v>B</v>
          </cell>
          <cell r="B37" t="str">
            <v>BOQ0800IH1200</v>
          </cell>
        </row>
        <row r="38">
          <cell r="A38" t="str">
            <v>B</v>
          </cell>
          <cell r="B38" t="str">
            <v>BOQ0875AS1400</v>
          </cell>
        </row>
        <row r="39">
          <cell r="A39" t="str">
            <v>B</v>
          </cell>
          <cell r="B39" t="str">
            <v>BOQ0800ZL1220</v>
          </cell>
        </row>
        <row r="40">
          <cell r="A40" t="str">
            <v>B</v>
          </cell>
          <cell r="B40" t="str">
            <v>BOQ0300JU1220</v>
          </cell>
        </row>
        <row r="41">
          <cell r="A41" t="str">
            <v>B</v>
          </cell>
          <cell r="B41" t="str">
            <v>BOQ0630LA1220</v>
          </cell>
        </row>
        <row r="42">
          <cell r="A42" t="str">
            <v>B</v>
          </cell>
          <cell r="B42" t="str">
            <v>BOQ0300BF1200</v>
          </cell>
        </row>
        <row r="43">
          <cell r="A43" t="str">
            <v>B</v>
          </cell>
          <cell r="B43" t="str">
            <v>BOQ0800AP1200</v>
          </cell>
        </row>
        <row r="44">
          <cell r="A44" t="str">
            <v>B</v>
          </cell>
          <cell r="B44" t="str">
            <v>BOQ0350EA1200</v>
          </cell>
        </row>
        <row r="45">
          <cell r="A45" t="str">
            <v>B</v>
          </cell>
          <cell r="B45" t="str">
            <v>BOQ0300ED1200</v>
          </cell>
        </row>
        <row r="46">
          <cell r="A46" t="str">
            <v>B</v>
          </cell>
          <cell r="B46" t="str">
            <v>BOQ1075BA1250</v>
          </cell>
        </row>
        <row r="47">
          <cell r="A47" t="str">
            <v>B</v>
          </cell>
          <cell r="B47" t="str">
            <v>BOQ0300LN1200</v>
          </cell>
        </row>
        <row r="48">
          <cell r="A48" t="str">
            <v>B</v>
          </cell>
          <cell r="B48" t="str">
            <v>BOQ0200EJ1200</v>
          </cell>
        </row>
        <row r="49">
          <cell r="A49" t="str">
            <v>B</v>
          </cell>
          <cell r="B49" t="str">
            <v>BOQ0300DX1200</v>
          </cell>
        </row>
        <row r="50">
          <cell r="A50" t="str">
            <v>B</v>
          </cell>
          <cell r="B50" t="str">
            <v>CHQ1600EB12002000</v>
          </cell>
        </row>
        <row r="51">
          <cell r="A51" t="str">
            <v>B</v>
          </cell>
          <cell r="B51" t="str">
            <v>BOQ0300EB1150</v>
          </cell>
        </row>
        <row r="52">
          <cell r="A52" t="str">
            <v>B</v>
          </cell>
          <cell r="B52" t="str">
            <v>BOQ1200AT1100</v>
          </cell>
        </row>
        <row r="53">
          <cell r="A53" t="str">
            <v>B</v>
          </cell>
          <cell r="B53" t="str">
            <v>BOQ0400EJ1350</v>
          </cell>
        </row>
        <row r="54">
          <cell r="A54" t="str">
            <v>B</v>
          </cell>
          <cell r="B54" t="str">
            <v>BOQ0400ED1200</v>
          </cell>
        </row>
        <row r="55">
          <cell r="A55" t="str">
            <v>B</v>
          </cell>
          <cell r="B55" t="str">
            <v>BOQ0950AT1200</v>
          </cell>
        </row>
        <row r="56">
          <cell r="A56" t="str">
            <v>B</v>
          </cell>
          <cell r="B56" t="str">
            <v>BOF0150AK1030</v>
          </cell>
        </row>
        <row r="57">
          <cell r="A57" t="str">
            <v>B</v>
          </cell>
          <cell r="B57" t="str">
            <v>CHQ0300AO12003000</v>
          </cell>
        </row>
        <row r="58">
          <cell r="A58" t="str">
            <v>B</v>
          </cell>
          <cell r="B58" t="str">
            <v>CHQ0300EA11502550</v>
          </cell>
        </row>
        <row r="59">
          <cell r="A59" t="str">
            <v>B</v>
          </cell>
          <cell r="B59" t="str">
            <v>BOQ0600AV1200</v>
          </cell>
        </row>
        <row r="60">
          <cell r="A60" t="str">
            <v>B</v>
          </cell>
          <cell r="B60" t="str">
            <v>BOF0150AK1200</v>
          </cell>
        </row>
        <row r="61">
          <cell r="A61" t="str">
            <v>B</v>
          </cell>
          <cell r="B61" t="str">
            <v>BOQ0800JW1200</v>
          </cell>
        </row>
        <row r="62">
          <cell r="A62" t="str">
            <v>B</v>
          </cell>
          <cell r="B62" t="str">
            <v>BOQ0950AS1200</v>
          </cell>
        </row>
        <row r="63">
          <cell r="A63" t="str">
            <v>B</v>
          </cell>
          <cell r="B63" t="str">
            <v>CHQ0600AP12002000</v>
          </cell>
        </row>
        <row r="64">
          <cell r="A64" t="str">
            <v>B</v>
          </cell>
          <cell r="B64" t="str">
            <v>CHQ0400AO12503000</v>
          </cell>
        </row>
        <row r="65">
          <cell r="A65" t="str">
            <v>B</v>
          </cell>
          <cell r="B65" t="str">
            <v>CHQ0400EA12002000</v>
          </cell>
        </row>
        <row r="66">
          <cell r="A66" t="str">
            <v>B</v>
          </cell>
          <cell r="B66" t="str">
            <v>CHQ0300EE10001600</v>
          </cell>
        </row>
        <row r="67">
          <cell r="A67" t="str">
            <v>B</v>
          </cell>
          <cell r="B67" t="str">
            <v>CHQ0400EE12002100</v>
          </cell>
        </row>
        <row r="68">
          <cell r="A68" t="str">
            <v>B</v>
          </cell>
          <cell r="B68" t="str">
            <v>BOQ0600LN1400</v>
          </cell>
        </row>
        <row r="69">
          <cell r="A69" t="str">
            <v>B</v>
          </cell>
          <cell r="B69" t="str">
            <v>CHQ0700AO12002360</v>
          </cell>
        </row>
        <row r="70">
          <cell r="A70" t="str">
            <v>B</v>
          </cell>
          <cell r="B70" t="str">
            <v>CHQ0300EG12002000</v>
          </cell>
        </row>
        <row r="71">
          <cell r="A71" t="str">
            <v>B</v>
          </cell>
          <cell r="B71" t="str">
            <v>CHQ0400DT11501500</v>
          </cell>
        </row>
        <row r="72">
          <cell r="A72" t="str">
            <v>C</v>
          </cell>
          <cell r="B72" t="str">
            <v>CHQ0475DZ12502880</v>
          </cell>
        </row>
        <row r="73">
          <cell r="A73" t="str">
            <v>C</v>
          </cell>
          <cell r="B73" t="str">
            <v>CHQ0950AO12502890</v>
          </cell>
        </row>
        <row r="74">
          <cell r="A74" t="str">
            <v>C</v>
          </cell>
          <cell r="B74" t="str">
            <v>CHQ0300EA11502450</v>
          </cell>
        </row>
        <row r="75">
          <cell r="A75" t="str">
            <v>C</v>
          </cell>
          <cell r="B75" t="str">
            <v>CHQ0475AP12002000</v>
          </cell>
        </row>
        <row r="76">
          <cell r="A76" t="str">
            <v>C</v>
          </cell>
          <cell r="B76" t="str">
            <v>BOQ0400EG1200</v>
          </cell>
        </row>
        <row r="77">
          <cell r="A77" t="str">
            <v>C</v>
          </cell>
          <cell r="B77" t="str">
            <v>BOQ0200LN1200</v>
          </cell>
        </row>
        <row r="78">
          <cell r="A78" t="str">
            <v>C</v>
          </cell>
          <cell r="B78" t="str">
            <v>CHF0190AL12001030</v>
          </cell>
        </row>
        <row r="79">
          <cell r="A79" t="str">
            <v>C</v>
          </cell>
          <cell r="B79" t="str">
            <v>CHQ0200AO11502840</v>
          </cell>
        </row>
        <row r="80">
          <cell r="A80" t="str">
            <v>C</v>
          </cell>
          <cell r="B80" t="str">
            <v>BOQ0800AT1300</v>
          </cell>
        </row>
        <row r="81">
          <cell r="A81" t="str">
            <v>C</v>
          </cell>
          <cell r="B81" t="str">
            <v>BOQ0200ED1200</v>
          </cell>
        </row>
        <row r="82">
          <cell r="A82" t="str">
            <v>C</v>
          </cell>
          <cell r="B82" t="str">
            <v>BLD0150DP04901150</v>
          </cell>
        </row>
        <row r="83">
          <cell r="A83" t="str">
            <v>C</v>
          </cell>
          <cell r="B83" t="str">
            <v>CHQ0475AV12002000</v>
          </cell>
        </row>
        <row r="84">
          <cell r="A84" t="str">
            <v>C</v>
          </cell>
          <cell r="B84" t="str">
            <v>CHQ1250AS12002900</v>
          </cell>
        </row>
        <row r="85">
          <cell r="A85" t="str">
            <v>C</v>
          </cell>
          <cell r="B85" t="str">
            <v>BOQ0950DM1200</v>
          </cell>
        </row>
        <row r="86">
          <cell r="A86" t="str">
            <v>C</v>
          </cell>
          <cell r="B86" t="str">
            <v>BLD0150DP04901230</v>
          </cell>
        </row>
        <row r="87">
          <cell r="A87" t="str">
            <v>C</v>
          </cell>
          <cell r="B87" t="str">
            <v>BOQ1100AY1050</v>
          </cell>
        </row>
        <row r="88">
          <cell r="A88" t="str">
            <v>C</v>
          </cell>
          <cell r="B88" t="str">
            <v>CHQ0250AO12002000</v>
          </cell>
        </row>
        <row r="89">
          <cell r="A89" t="str">
            <v>C</v>
          </cell>
          <cell r="B89" t="str">
            <v>BOZ0150CV1200</v>
          </cell>
        </row>
        <row r="90">
          <cell r="A90" t="str">
            <v>C</v>
          </cell>
          <cell r="B90" t="str">
            <v>CHQ0600AV12002000</v>
          </cell>
        </row>
        <row r="91">
          <cell r="A91" t="str">
            <v>C</v>
          </cell>
          <cell r="B91" t="str">
            <v>CHQ0700AS10002000</v>
          </cell>
        </row>
        <row r="92">
          <cell r="A92" t="str">
            <v>C</v>
          </cell>
          <cell r="B92" t="str">
            <v>CHQ0200EH12002000</v>
          </cell>
        </row>
        <row r="93">
          <cell r="A93" t="str">
            <v>C</v>
          </cell>
          <cell r="B93" t="str">
            <v>CHQ0700AQ12002000</v>
          </cell>
        </row>
        <row r="94">
          <cell r="A94" t="str">
            <v>C</v>
          </cell>
          <cell r="B94" t="str">
            <v>CHF0200AH12002000</v>
          </cell>
        </row>
        <row r="95">
          <cell r="A95" t="str">
            <v>C</v>
          </cell>
          <cell r="B95" t="str">
            <v>BOQ0200AT1100</v>
          </cell>
        </row>
        <row r="96">
          <cell r="A96" t="str">
            <v>C</v>
          </cell>
          <cell r="B96" t="str">
            <v>BOQ0600DW1200</v>
          </cell>
        </row>
        <row r="97">
          <cell r="A97" t="str">
            <v>C</v>
          </cell>
          <cell r="B97" t="str">
            <v>BOQ0600KX1220</v>
          </cell>
        </row>
        <row r="98">
          <cell r="A98" t="str">
            <v>C</v>
          </cell>
          <cell r="B98" t="str">
            <v>BOQ0265DX1200</v>
          </cell>
        </row>
        <row r="99">
          <cell r="A99" t="str">
            <v>C</v>
          </cell>
          <cell r="B99" t="str">
            <v>CHQ0400EJ13501850</v>
          </cell>
        </row>
        <row r="100">
          <cell r="A100" t="str">
            <v>C</v>
          </cell>
          <cell r="B100" t="str">
            <v>CHQ0400EE12002000</v>
          </cell>
        </row>
        <row r="101">
          <cell r="A101" t="str">
            <v>C</v>
          </cell>
          <cell r="B101" t="str">
            <v>BOQ0775LN1100</v>
          </cell>
        </row>
        <row r="102">
          <cell r="A102" t="str">
            <v>C</v>
          </cell>
          <cell r="B102" t="str">
            <v>CHQ0200EG10501600</v>
          </cell>
        </row>
        <row r="103">
          <cell r="A103" t="str">
            <v>C</v>
          </cell>
          <cell r="B103" t="str">
            <v>CHQ0600BF12002000</v>
          </cell>
        </row>
        <row r="104">
          <cell r="A104" t="str">
            <v>C</v>
          </cell>
          <cell r="B104" t="str">
            <v>BLD0150DP07552060</v>
          </cell>
        </row>
        <row r="105">
          <cell r="A105" t="str">
            <v>C</v>
          </cell>
          <cell r="B105" t="str">
            <v>CHF0106AH08001520</v>
          </cell>
        </row>
        <row r="106">
          <cell r="A106" t="str">
            <v>C</v>
          </cell>
          <cell r="B106" t="str">
            <v>BOF0170DH1200</v>
          </cell>
        </row>
        <row r="107">
          <cell r="A107" t="str">
            <v>C</v>
          </cell>
          <cell r="B107" t="str">
            <v>CHQ0500BF12002250</v>
          </cell>
        </row>
        <row r="108">
          <cell r="A108" t="str">
            <v>C</v>
          </cell>
          <cell r="B108" t="str">
            <v>BOQ0475SJ1230</v>
          </cell>
        </row>
        <row r="109">
          <cell r="A109" t="str">
            <v>C</v>
          </cell>
          <cell r="B109" t="str">
            <v>BLD0150DP04902000</v>
          </cell>
        </row>
        <row r="110">
          <cell r="A110" t="str">
            <v>C</v>
          </cell>
          <cell r="B110" t="str">
            <v>CHQ0600DV12002000</v>
          </cell>
        </row>
        <row r="111">
          <cell r="A111" t="str">
            <v>C</v>
          </cell>
          <cell r="B111" t="str">
            <v>BOF0170AK1030</v>
          </cell>
        </row>
        <row r="112">
          <cell r="A112" t="str">
            <v>C</v>
          </cell>
          <cell r="B112" t="str">
            <v>CHQ0425DX12002500</v>
          </cell>
        </row>
        <row r="113">
          <cell r="A113" t="str">
            <v>C</v>
          </cell>
          <cell r="B113" t="str">
            <v>CHQ0425EA12002000</v>
          </cell>
        </row>
        <row r="114">
          <cell r="A114" t="str">
            <v>C</v>
          </cell>
          <cell r="B114" t="str">
            <v>CHQ0300EJ12201400</v>
          </cell>
        </row>
        <row r="115">
          <cell r="A115" t="str">
            <v>C</v>
          </cell>
          <cell r="B115" t="str">
            <v>CHQ0200DV12002000</v>
          </cell>
        </row>
        <row r="116">
          <cell r="A116" t="str">
            <v>C</v>
          </cell>
          <cell r="B116" t="str">
            <v>CHF0150BS12002000</v>
          </cell>
        </row>
        <row r="117">
          <cell r="A117" t="str">
            <v>C</v>
          </cell>
          <cell r="B117" t="str">
            <v>BOQ0475EE1250</v>
          </cell>
        </row>
        <row r="118">
          <cell r="A118" t="str">
            <v>C</v>
          </cell>
          <cell r="B118" t="str">
            <v>BOQ1175AY1000</v>
          </cell>
        </row>
        <row r="119">
          <cell r="A119" t="str">
            <v>C</v>
          </cell>
          <cell r="B119" t="str">
            <v>CHQ1175AY10006900</v>
          </cell>
        </row>
        <row r="120">
          <cell r="A120" t="str">
            <v>C</v>
          </cell>
          <cell r="B120" t="str">
            <v>BOQ0300BF1100</v>
          </cell>
        </row>
        <row r="121">
          <cell r="A121" t="str">
            <v>C</v>
          </cell>
          <cell r="B121" t="str">
            <v>BOZ0150CD1000</v>
          </cell>
        </row>
        <row r="122">
          <cell r="A122" t="str">
            <v>C</v>
          </cell>
          <cell r="B122" t="str">
            <v>BOQ0475EJ1450</v>
          </cell>
        </row>
        <row r="123">
          <cell r="A123" t="str">
            <v>C</v>
          </cell>
          <cell r="B123" t="str">
            <v>CHQ0200EJ12001950</v>
          </cell>
        </row>
        <row r="124">
          <cell r="A124" t="str">
            <v>C</v>
          </cell>
          <cell r="B124" t="str">
            <v>CHF0150BC11002000</v>
          </cell>
        </row>
        <row r="125">
          <cell r="A125" t="str">
            <v>C</v>
          </cell>
          <cell r="B125" t="str">
            <v>BOQ1000EE1300</v>
          </cell>
        </row>
        <row r="126">
          <cell r="A126" t="str">
            <v>C</v>
          </cell>
          <cell r="B126" t="str">
            <v>CHQ0300BF12002900</v>
          </cell>
        </row>
        <row r="127">
          <cell r="A127" t="str">
            <v>C</v>
          </cell>
          <cell r="B127" t="str">
            <v>CHQ0265AP12002000</v>
          </cell>
        </row>
        <row r="128">
          <cell r="A128" t="str">
            <v>C</v>
          </cell>
          <cell r="B128" t="str">
            <v>CHF0120AH12002000</v>
          </cell>
        </row>
        <row r="129">
          <cell r="A129" t="str">
            <v>C</v>
          </cell>
          <cell r="B129" t="str">
            <v>CHF0106AH10001520</v>
          </cell>
        </row>
        <row r="130">
          <cell r="A130" t="str">
            <v>C</v>
          </cell>
          <cell r="B130" t="str">
            <v>BOF0120HJ1150</v>
          </cell>
        </row>
        <row r="131">
          <cell r="A131" t="str">
            <v>C</v>
          </cell>
          <cell r="B131" t="str">
            <v>CHF0090FH12002000</v>
          </cell>
        </row>
        <row r="132">
          <cell r="A132" t="str">
            <v>C</v>
          </cell>
          <cell r="B132" t="str">
            <v>BOQ0475EE1300</v>
          </cell>
        </row>
        <row r="133">
          <cell r="A133" t="str">
            <v>C</v>
          </cell>
          <cell r="B133" t="str">
            <v>CHQ2000BF12506000</v>
          </cell>
        </row>
        <row r="134">
          <cell r="A134" t="str">
            <v>C</v>
          </cell>
          <cell r="B134" t="str">
            <v>CHQ0400BT12001000</v>
          </cell>
        </row>
        <row r="135">
          <cell r="A135" t="str">
            <v>C</v>
          </cell>
          <cell r="B135" t="str">
            <v>BOQ0300BF1500</v>
          </cell>
        </row>
        <row r="136">
          <cell r="A136" t="str">
            <v>C</v>
          </cell>
          <cell r="B136" t="str">
            <v>CHF0100BC12002000</v>
          </cell>
        </row>
        <row r="137">
          <cell r="A137" t="str">
            <v>C</v>
          </cell>
          <cell r="B137" t="str">
            <v>CHF0190AM11001660</v>
          </cell>
        </row>
        <row r="138">
          <cell r="A138" t="str">
            <v>C</v>
          </cell>
          <cell r="B138" t="str">
            <v>BOQ0400EB1250</v>
          </cell>
        </row>
        <row r="139">
          <cell r="A139" t="str">
            <v>C</v>
          </cell>
          <cell r="B139" t="str">
            <v>CHQ0300EA10002000</v>
          </cell>
        </row>
        <row r="140">
          <cell r="A140" t="str">
            <v>C</v>
          </cell>
          <cell r="B140" t="str">
            <v>CHQ0300BF12002000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ric da Silva Maia" id="{D9E3AE94-B136-43DC-991E-9F5A8D1687A6}" userId="S::eric.maia@delga.com.br::43e774bf-1d7b-4030-aa96-fdc0a837fc3b" providerId="AD"/>
  <person displayName="Willian Matos" id="{E58E698B-0773-4F73-8467-6197DC817082}" userId="S::willian.matos@delga.com.br::313b58e4-b868-44ab-857b-6964f56cb71c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55" dT="2023-03-02T13:44:07.12" personId="{E58E698B-0773-4F73-8467-6197DC817082}" id="{33C328EB-7B56-47E9-A787-F392CA006902}">
    <text>Utilizando material 1,60x417</text>
  </threadedComment>
  <threadedComment ref="A564" dT="2025-02-06T17:11:01.02" personId="{D9E3AE94-B136-43DC-991E-9F5A8D1687A6}" id="{C01DA7E7-015C-4D77-8E50-06C386F35AF3}">
    <text>Temos na Fitametal 
BOZ0070TJ1350 - 10249kg</text>
  </threadedComment>
  <threadedComment ref="A574" dT="2025-04-22T15:20:08.79" personId="{D9E3AE94-B136-43DC-991E-9F5A8D1687A6}" id="{67F1D739-35C9-474A-BA1D-BDA6C83EF4A4}">
    <text>CORTAR SLEETER DE MATERIAL SEMELHANTE DEVIDO AO BAIXO VOLUME TEMOS O MESMO MATERIAL COM OUTRAS LARGURAS</text>
  </threadedComment>
  <threadedComment ref="A575" dT="2023-09-18T16:39:07.18" personId="{D9E3AE94-B136-43DC-991E-9F5A8D1687A6}" id="{9641E501-4748-445C-B1A5-D0E296582A82}">
    <text>Usar material BOZ0060HU1000 como material alternativo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E86D-424F-4648-A019-0A03784EC252}">
  <dimension ref="A1:S48"/>
  <sheetViews>
    <sheetView workbookViewId="0">
      <selection activeCell="AP502" sqref="AP502"/>
    </sheetView>
  </sheetViews>
  <sheetFormatPr defaultRowHeight="15" x14ac:dyDescent="0.25"/>
  <cols>
    <col min="1" max="5" width="22.85546875" style="151" customWidth="1"/>
    <col min="6" max="6" width="38.140625" style="151" customWidth="1"/>
    <col min="7" max="7" width="5" style="151" customWidth="1"/>
    <col min="8" max="8" width="22.85546875" style="151" customWidth="1"/>
    <col min="9" max="9" width="17.140625" style="151" customWidth="1"/>
    <col min="10" max="10" width="22.85546875" style="151" customWidth="1"/>
    <col min="11" max="11" width="17.140625" style="151" customWidth="1"/>
    <col min="12" max="12" width="22.85546875" style="151" customWidth="1"/>
    <col min="13" max="13" width="3.85546875" customWidth="1"/>
    <col min="14" max="14" width="28.140625" bestFit="1" customWidth="1"/>
    <col min="15" max="15" width="15.42578125" bestFit="1" customWidth="1"/>
    <col min="16" max="16" width="12.85546875" bestFit="1" customWidth="1"/>
    <col min="18" max="18" width="15.85546875" bestFit="1" customWidth="1"/>
    <col min="19" max="19" width="15.42578125" bestFit="1" customWidth="1"/>
  </cols>
  <sheetData>
    <row r="1" spans="1:19" ht="24" x14ac:dyDescent="0.25">
      <c r="A1" s="238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</row>
    <row r="2" spans="1:19" x14ac:dyDescent="0.25">
      <c r="A2" s="239" t="s">
        <v>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N2" t="s">
        <v>2</v>
      </c>
      <c r="O2" t="s">
        <v>3</v>
      </c>
      <c r="P2" t="s">
        <v>4</v>
      </c>
      <c r="R2" t="s">
        <v>5</v>
      </c>
      <c r="S2" t="s">
        <v>6</v>
      </c>
    </row>
    <row r="3" spans="1:19" x14ac:dyDescent="0.25">
      <c r="A3" s="240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N3" t="s">
        <v>8</v>
      </c>
      <c r="O3">
        <v>62</v>
      </c>
      <c r="P3">
        <v>2719491.794253001</v>
      </c>
      <c r="R3" t="s">
        <v>9</v>
      </c>
      <c r="S3">
        <f>COUNTA(A.Propostas!B6:B118)</f>
        <v>106</v>
      </c>
    </row>
    <row r="4" spans="1:19" x14ac:dyDescent="0.25">
      <c r="A4" s="235"/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N4" t="s">
        <v>10</v>
      </c>
      <c r="O4">
        <v>37</v>
      </c>
      <c r="P4">
        <v>631869.95155054168</v>
      </c>
      <c r="R4" t="s">
        <v>11</v>
      </c>
      <c r="S4" s="177">
        <f>SUM(A.Propostas!F6:F118)</f>
        <v>3426065.6302565872</v>
      </c>
    </row>
    <row r="5" spans="1:19" x14ac:dyDescent="0.25">
      <c r="A5" s="235"/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N5" t="s">
        <v>12</v>
      </c>
      <c r="O5">
        <v>1</v>
      </c>
      <c r="P5">
        <v>29532.29</v>
      </c>
      <c r="R5" t="s">
        <v>8</v>
      </c>
      <c r="S5">
        <f>COUNTIF(A.Propostas!Z6:Z118,"SIM")</f>
        <v>70</v>
      </c>
    </row>
    <row r="6" spans="1:19" x14ac:dyDescent="0.25">
      <c r="N6" t="s">
        <v>13</v>
      </c>
      <c r="O6">
        <v>3</v>
      </c>
      <c r="P6">
        <v>0</v>
      </c>
      <c r="R6" t="s">
        <v>10</v>
      </c>
      <c r="S6">
        <f>COUNTIF(A.Propostas!Z6:Z118,"NÃO")</f>
        <v>29</v>
      </c>
    </row>
    <row r="7" spans="1:19" x14ac:dyDescent="0.25">
      <c r="A7" s="179" t="s">
        <v>14</v>
      </c>
      <c r="B7" s="180" t="s">
        <v>15</v>
      </c>
      <c r="C7" s="180" t="s">
        <v>16</v>
      </c>
      <c r="D7" s="180" t="s">
        <v>17</v>
      </c>
      <c r="E7" s="180" t="s">
        <v>18</v>
      </c>
      <c r="F7" s="181" t="s">
        <v>19</v>
      </c>
      <c r="H7" s="241" t="s">
        <v>20</v>
      </c>
      <c r="I7" s="235"/>
      <c r="J7" s="235"/>
      <c r="K7" s="235"/>
      <c r="L7" s="235"/>
      <c r="R7" t="s">
        <v>21</v>
      </c>
      <c r="S7">
        <f>COUNTIF(A.Propostas!Z6:Z118,"KAIZEN PLANO DE CORTE")</f>
        <v>0</v>
      </c>
    </row>
    <row r="8" spans="1:19" ht="19.5" x14ac:dyDescent="0.25">
      <c r="A8" s="182">
        <f>COUNTA(A.Propostas!B6:B118)</f>
        <v>106</v>
      </c>
      <c r="B8" s="183">
        <f>SUM(A.Propostas!F6:F118)</f>
        <v>3426065.6302565872</v>
      </c>
      <c r="C8" s="183" cm="1">
        <f t="array" ref="C8">SUM(A.Propostas!F6:F118)-SUMPRODUCT(A.Propostas!F6:F118,--ISNUMBER(SEARCH("INVIÁVEL",A.Propostas!L6:L118&amp;A.Propostas!AC6:AC118&amp;A.Propostas!AK6:AK118)))</f>
        <v>2286855.5259197969</v>
      </c>
      <c r="D8" s="184" cm="1">
        <f t="array" ref="D8">SUM(LARGE(A.Propostas!F6:F118,{1,2,3,4,5}))/SUM(A.Propostas!F6:F118)</f>
        <v>0.26266248628853761</v>
      </c>
      <c r="E8" s="185" cm="1">
        <f t="array" ref="E8">SUMPRODUCT(--(MMULT(--ISNUMBER(SEARCH("PENDENTE",A.Propostas!AE6:AI118)),TRANSPOSE(COLUMN(A.Propostas!AE6:AI6)^0))&gt;0))</f>
        <v>9</v>
      </c>
      <c r="F8" s="186" cm="1">
        <f t="array" ref="F8">SUMPRODUCT(--ISNUMBER(SEARCH("INVIÁVEL",A.Propostas!L6:L118&amp;A.Propostas!AC6:AC118&amp;A.Propostas!AK6:AK118)))</f>
        <v>43</v>
      </c>
      <c r="H8" s="242" t="s">
        <v>22</v>
      </c>
      <c r="I8" s="235"/>
      <c r="J8" s="235"/>
      <c r="K8" s="235"/>
      <c r="L8" s="235"/>
    </row>
    <row r="9" spans="1:19" x14ac:dyDescent="0.25">
      <c r="H9" s="235"/>
      <c r="I9" s="235"/>
      <c r="J9" s="235"/>
      <c r="K9" s="235"/>
      <c r="L9" s="235"/>
      <c r="N9" t="s">
        <v>23</v>
      </c>
      <c r="O9" t="s">
        <v>4</v>
      </c>
    </row>
    <row r="10" spans="1:19" x14ac:dyDescent="0.25">
      <c r="N10" t="s">
        <v>24</v>
      </c>
      <c r="O10" s="177">
        <v>1894286.455803545</v>
      </c>
    </row>
    <row r="11" spans="1:19" x14ac:dyDescent="0.25">
      <c r="A11" s="236" t="s">
        <v>25</v>
      </c>
      <c r="B11" s="235"/>
      <c r="C11" s="235"/>
      <c r="D11" s="235"/>
      <c r="E11" s="235"/>
      <c r="F11" s="235"/>
      <c r="H11" s="236" t="s">
        <v>26</v>
      </c>
      <c r="I11" s="235"/>
      <c r="J11" s="235"/>
      <c r="K11" s="235"/>
      <c r="L11" s="235"/>
      <c r="N11" t="s">
        <v>27</v>
      </c>
      <c r="O11" s="177">
        <v>987200.72000000009</v>
      </c>
    </row>
    <row r="12" spans="1:19" x14ac:dyDescent="0.25">
      <c r="A12" s="159" t="s">
        <v>28</v>
      </c>
      <c r="B12" s="159" t="s">
        <v>29</v>
      </c>
      <c r="C12" s="159" t="s">
        <v>23</v>
      </c>
      <c r="D12" s="159" t="s">
        <v>30</v>
      </c>
      <c r="E12" s="159" t="s">
        <v>4</v>
      </c>
      <c r="F12" s="159" t="s">
        <v>31</v>
      </c>
      <c r="H12" s="159" t="s">
        <v>23</v>
      </c>
      <c r="I12" s="159" t="s">
        <v>3</v>
      </c>
      <c r="J12" s="159" t="s">
        <v>4</v>
      </c>
      <c r="K12" s="159" t="s">
        <v>32</v>
      </c>
      <c r="L12" s="159" t="s">
        <v>33</v>
      </c>
      <c r="N12" t="s">
        <v>34</v>
      </c>
      <c r="O12" s="177">
        <v>499406.86</v>
      </c>
    </row>
    <row r="13" spans="1:19" x14ac:dyDescent="0.25">
      <c r="A13" s="160">
        <v>1</v>
      </c>
      <c r="B13" s="160" t="s">
        <v>35</v>
      </c>
      <c r="C13" s="160" t="s">
        <v>27</v>
      </c>
      <c r="D13" s="160" t="s">
        <v>36</v>
      </c>
      <c r="E13" s="173">
        <v>223577.79</v>
      </c>
      <c r="F13" s="166">
        <v>6.6129783315395124E-2</v>
      </c>
      <c r="H13" s="160" t="s">
        <v>24</v>
      </c>
      <c r="I13" s="160">
        <v>80</v>
      </c>
      <c r="J13" s="173">
        <v>1894286.455803545</v>
      </c>
      <c r="K13" s="166">
        <v>0.56029157842367183</v>
      </c>
      <c r="L13" s="173">
        <v>23678.580697544312</v>
      </c>
      <c r="N13" t="s">
        <v>37</v>
      </c>
      <c r="O13" s="177">
        <v>0</v>
      </c>
    </row>
    <row r="14" spans="1:19" x14ac:dyDescent="0.25">
      <c r="A14" s="160">
        <v>2</v>
      </c>
      <c r="B14" s="160" t="s">
        <v>38</v>
      </c>
      <c r="C14" s="160" t="s">
        <v>27</v>
      </c>
      <c r="D14" s="160" t="s">
        <v>39</v>
      </c>
      <c r="E14" s="173">
        <v>214301.81</v>
      </c>
      <c r="F14" s="166">
        <v>0.12951591956531949</v>
      </c>
      <c r="H14" s="160" t="s">
        <v>27</v>
      </c>
      <c r="I14" s="160">
        <v>12</v>
      </c>
      <c r="J14" s="173">
        <v>987200.72000000009</v>
      </c>
      <c r="K14" s="166">
        <v>0.29199398429692885</v>
      </c>
      <c r="L14" s="173">
        <v>82266.726666666669</v>
      </c>
    </row>
    <row r="15" spans="1:19" x14ac:dyDescent="0.25">
      <c r="A15" s="160">
        <v>3</v>
      </c>
      <c r="B15" s="160" t="s">
        <v>40</v>
      </c>
      <c r="C15" s="160" t="s">
        <v>27</v>
      </c>
      <c r="D15" s="160" t="s">
        <v>39</v>
      </c>
      <c r="E15" s="173">
        <v>190474.65</v>
      </c>
      <c r="F15" s="166">
        <v>0.18585446433569103</v>
      </c>
      <c r="H15" s="160" t="s">
        <v>34</v>
      </c>
      <c r="I15" s="160">
        <v>8</v>
      </c>
      <c r="J15" s="173">
        <v>499406.86</v>
      </c>
      <c r="K15" s="166">
        <v>0.14771443727940003</v>
      </c>
      <c r="L15" s="173">
        <v>62425.857499999998</v>
      </c>
    </row>
    <row r="16" spans="1:19" x14ac:dyDescent="0.25">
      <c r="A16" s="160">
        <v>4</v>
      </c>
      <c r="B16" s="160" t="s">
        <v>41</v>
      </c>
      <c r="C16" s="160" t="s">
        <v>24</v>
      </c>
      <c r="D16" s="160" t="s">
        <v>42</v>
      </c>
      <c r="E16" s="173">
        <v>168140.89131840001</v>
      </c>
      <c r="F16" s="166">
        <v>0.23558713549834631</v>
      </c>
      <c r="H16" s="160" t="s">
        <v>37</v>
      </c>
      <c r="I16" s="160">
        <v>3</v>
      </c>
      <c r="J16" s="173">
        <v>0</v>
      </c>
      <c r="K16" s="166">
        <v>0</v>
      </c>
      <c r="L16" s="173">
        <v>0</v>
      </c>
      <c r="N16" t="s">
        <v>43</v>
      </c>
      <c r="O16" t="s">
        <v>4</v>
      </c>
    </row>
    <row r="17" spans="1:16" x14ac:dyDescent="0.25">
      <c r="A17" s="160">
        <v>5</v>
      </c>
      <c r="B17" s="160" t="s">
        <v>44</v>
      </c>
      <c r="C17" s="160" t="s">
        <v>24</v>
      </c>
      <c r="D17" s="160" t="s">
        <v>45</v>
      </c>
      <c r="E17" s="173">
        <v>167489.2253125</v>
      </c>
      <c r="F17" s="166">
        <v>0.28512705705128327</v>
      </c>
      <c r="N17" t="s">
        <v>42</v>
      </c>
      <c r="O17" s="177">
        <v>1390523.5442530026</v>
      </c>
    </row>
    <row r="18" spans="1:16" x14ac:dyDescent="0.25">
      <c r="A18" s="160">
        <v>6</v>
      </c>
      <c r="B18" s="160" t="s">
        <v>46</v>
      </c>
      <c r="C18" s="160" t="s">
        <v>34</v>
      </c>
      <c r="D18" s="160" t="s">
        <v>42</v>
      </c>
      <c r="E18" s="173">
        <v>128107.04</v>
      </c>
      <c r="F18" s="166">
        <v>0.32301852559284394</v>
      </c>
      <c r="N18" t="s">
        <v>39</v>
      </c>
      <c r="O18" s="177">
        <v>998683.29479479801</v>
      </c>
    </row>
    <row r="19" spans="1:16" x14ac:dyDescent="0.25">
      <c r="A19" s="160">
        <v>7</v>
      </c>
      <c r="B19" s="160" t="s">
        <v>47</v>
      </c>
      <c r="C19" s="160" t="s">
        <v>27</v>
      </c>
      <c r="D19" s="160" t="s">
        <v>36</v>
      </c>
      <c r="E19" s="173">
        <v>117470.3</v>
      </c>
      <c r="F19" s="166">
        <v>0.35776386181338027</v>
      </c>
      <c r="N19" t="s">
        <v>36</v>
      </c>
      <c r="O19" s="177">
        <v>341048.09</v>
      </c>
    </row>
    <row r="20" spans="1:16" x14ac:dyDescent="0.25">
      <c r="A20" s="160">
        <v>8</v>
      </c>
      <c r="B20" s="160" t="s">
        <v>48</v>
      </c>
      <c r="C20" s="160" t="s">
        <v>34</v>
      </c>
      <c r="D20" s="160" t="s">
        <v>49</v>
      </c>
      <c r="E20" s="173">
        <v>115000</v>
      </c>
      <c r="F20" s="166">
        <v>0.39177853331214779</v>
      </c>
      <c r="N20" t="s">
        <v>45</v>
      </c>
      <c r="O20" s="177">
        <v>194339.68058881108</v>
      </c>
    </row>
    <row r="21" spans="1:16" x14ac:dyDescent="0.25">
      <c r="A21" s="160">
        <v>9</v>
      </c>
      <c r="B21" s="160" t="s">
        <v>50</v>
      </c>
      <c r="C21" s="160" t="s">
        <v>24</v>
      </c>
      <c r="D21" s="160" t="s">
        <v>42</v>
      </c>
      <c r="E21" s="173">
        <v>113701.832244</v>
      </c>
      <c r="F21" s="166">
        <v>0.42540923307377942</v>
      </c>
      <c r="N21" t="s">
        <v>51</v>
      </c>
      <c r="O21" s="177">
        <v>164779.96956508717</v>
      </c>
    </row>
    <row r="22" spans="1:16" x14ac:dyDescent="0.25">
      <c r="A22" s="160">
        <v>10</v>
      </c>
      <c r="B22" s="160" t="s">
        <v>52</v>
      </c>
      <c r="C22" s="160" t="s">
        <v>24</v>
      </c>
      <c r="D22" s="160" t="s">
        <v>51</v>
      </c>
      <c r="E22" s="173">
        <v>113597.5197055</v>
      </c>
      <c r="F22" s="166">
        <v>0.459009079298626</v>
      </c>
      <c r="N22" t="s">
        <v>49</v>
      </c>
      <c r="O22" s="177">
        <v>115000</v>
      </c>
    </row>
    <row r="23" spans="1:16" x14ac:dyDescent="0.25">
      <c r="N23" t="s">
        <v>53</v>
      </c>
      <c r="O23" s="177">
        <v>105555.86660184528</v>
      </c>
    </row>
    <row r="24" spans="1:16" x14ac:dyDescent="0.25">
      <c r="N24" t="s">
        <v>54</v>
      </c>
      <c r="O24" s="177">
        <v>70963.59</v>
      </c>
    </row>
    <row r="25" spans="1:16" x14ac:dyDescent="0.25">
      <c r="A25" s="234" t="s">
        <v>55</v>
      </c>
      <c r="B25" s="235"/>
      <c r="C25" s="235"/>
      <c r="D25" s="235"/>
      <c r="E25" s="235"/>
      <c r="F25" s="235"/>
      <c r="H25" s="236" t="s">
        <v>56</v>
      </c>
      <c r="I25" s="235"/>
      <c r="J25" s="235"/>
      <c r="K25" s="235"/>
      <c r="L25" s="235"/>
    </row>
    <row r="26" spans="1:16" x14ac:dyDescent="0.25">
      <c r="A26" s="168" t="s">
        <v>57</v>
      </c>
      <c r="B26" s="168" t="s">
        <v>3</v>
      </c>
      <c r="C26" s="168" t="s">
        <v>58</v>
      </c>
      <c r="D26" s="168" t="s">
        <v>59</v>
      </c>
      <c r="H26" s="159" t="s">
        <v>43</v>
      </c>
      <c r="I26" s="159" t="s">
        <v>3</v>
      </c>
      <c r="J26" s="159" t="s">
        <v>4</v>
      </c>
      <c r="K26" s="159" t="s">
        <v>32</v>
      </c>
      <c r="L26" s="159" t="s">
        <v>33</v>
      </c>
    </row>
    <row r="27" spans="1:16" ht="60" x14ac:dyDescent="0.25">
      <c r="A27" s="160" t="s">
        <v>60</v>
      </c>
      <c r="B27" s="160">
        <v>16</v>
      </c>
      <c r="C27" s="173">
        <v>903321.84923620953</v>
      </c>
      <c r="D27" s="162" t="s">
        <v>61</v>
      </c>
      <c r="H27" s="160" t="s">
        <v>42</v>
      </c>
      <c r="I27" s="160">
        <v>49</v>
      </c>
      <c r="J27" s="173">
        <v>1390523.5442530026</v>
      </c>
      <c r="K27" s="166">
        <v>0.41128870929624228</v>
      </c>
      <c r="L27" s="173">
        <v>28378.031515367402</v>
      </c>
      <c r="N27" t="s">
        <v>28</v>
      </c>
      <c r="O27" t="s">
        <v>4</v>
      </c>
      <c r="P27" t="s">
        <v>31</v>
      </c>
    </row>
    <row r="28" spans="1:16" ht="90" x14ac:dyDescent="0.25">
      <c r="A28" s="160" t="s">
        <v>62</v>
      </c>
      <c r="B28" s="160">
        <v>6</v>
      </c>
      <c r="C28" s="173">
        <v>438060.56041410612</v>
      </c>
      <c r="D28" s="162" t="s">
        <v>63</v>
      </c>
      <c r="H28" s="160" t="s">
        <v>39</v>
      </c>
      <c r="I28" s="160">
        <v>28</v>
      </c>
      <c r="J28" s="173">
        <v>998683.29479479801</v>
      </c>
      <c r="K28" s="166">
        <v>0.29539029742392958</v>
      </c>
      <c r="L28" s="173">
        <v>35667.260528385646</v>
      </c>
      <c r="N28">
        <v>1</v>
      </c>
      <c r="O28" s="177">
        <v>223577.79</v>
      </c>
      <c r="P28" s="150">
        <v>6.6129783315395124E-2</v>
      </c>
    </row>
    <row r="29" spans="1:16" ht="60" x14ac:dyDescent="0.25">
      <c r="A29" s="160" t="s">
        <v>64</v>
      </c>
      <c r="B29" s="160">
        <v>11</v>
      </c>
      <c r="C29" s="173">
        <v>0</v>
      </c>
      <c r="D29" s="162" t="s">
        <v>65</v>
      </c>
      <c r="H29" s="160" t="s">
        <v>36</v>
      </c>
      <c r="I29" s="160">
        <v>4</v>
      </c>
      <c r="J29" s="173">
        <v>341048.09</v>
      </c>
      <c r="K29" s="166">
        <v>0.10087511953593144</v>
      </c>
      <c r="L29" s="173">
        <v>85262.022500000006</v>
      </c>
      <c r="N29">
        <v>2</v>
      </c>
      <c r="O29" s="177">
        <v>214301.81</v>
      </c>
      <c r="P29" s="150">
        <v>0.12951591956531949</v>
      </c>
    </row>
    <row r="30" spans="1:16" ht="75" x14ac:dyDescent="0.25">
      <c r="A30" s="160" t="s">
        <v>66</v>
      </c>
      <c r="B30" s="160">
        <v>3</v>
      </c>
      <c r="C30" s="173">
        <v>0</v>
      </c>
      <c r="D30" s="162" t="s">
        <v>67</v>
      </c>
      <c r="H30" s="160" t="s">
        <v>45</v>
      </c>
      <c r="I30" s="160">
        <v>5</v>
      </c>
      <c r="J30" s="173">
        <v>194339.68058881108</v>
      </c>
      <c r="K30" s="166">
        <v>5.7481742560033258E-2</v>
      </c>
      <c r="L30" s="173">
        <v>38867.93611776222</v>
      </c>
      <c r="N30">
        <v>3</v>
      </c>
      <c r="O30" s="177">
        <v>190474.65</v>
      </c>
      <c r="P30" s="150">
        <v>0.18585446433569103</v>
      </c>
    </row>
    <row r="31" spans="1:16" x14ac:dyDescent="0.25">
      <c r="H31" s="160" t="s">
        <v>51</v>
      </c>
      <c r="I31" s="160">
        <v>7</v>
      </c>
      <c r="J31" s="173">
        <v>164779.96956508717</v>
      </c>
      <c r="K31" s="166">
        <v>4.8738578559420501E-2</v>
      </c>
      <c r="L31" s="173">
        <v>23539.99565215531</v>
      </c>
      <c r="N31">
        <v>4</v>
      </c>
      <c r="O31" s="177">
        <v>168140.89131840001</v>
      </c>
      <c r="P31" s="150">
        <v>0.23558713549834631</v>
      </c>
    </row>
    <row r="32" spans="1:16" x14ac:dyDescent="0.25">
      <c r="H32" s="160" t="s">
        <v>49</v>
      </c>
      <c r="I32" s="160">
        <v>1</v>
      </c>
      <c r="J32" s="173">
        <v>115000</v>
      </c>
      <c r="K32" s="166">
        <v>3.4014671498767565E-2</v>
      </c>
      <c r="L32" s="173">
        <v>115000</v>
      </c>
      <c r="N32">
        <v>5</v>
      </c>
      <c r="O32" s="177">
        <v>167489.2253125</v>
      </c>
      <c r="P32" s="150">
        <v>0.28512705705128327</v>
      </c>
    </row>
    <row r="33" spans="1:16" x14ac:dyDescent="0.25">
      <c r="H33" s="160" t="s">
        <v>53</v>
      </c>
      <c r="I33" s="160">
        <v>6</v>
      </c>
      <c r="J33" s="173">
        <v>105555.86660184528</v>
      </c>
      <c r="K33" s="166">
        <v>3.1221288062865196E-2</v>
      </c>
      <c r="L33" s="173">
        <v>17592.644433640879</v>
      </c>
      <c r="N33">
        <v>6</v>
      </c>
      <c r="O33" s="177">
        <v>128107.04</v>
      </c>
      <c r="P33" s="150">
        <v>0.32301852559284394</v>
      </c>
    </row>
    <row r="34" spans="1:16" x14ac:dyDescent="0.25">
      <c r="H34" s="160" t="s">
        <v>54</v>
      </c>
      <c r="I34" s="160">
        <v>2</v>
      </c>
      <c r="J34" s="173">
        <v>70963.59</v>
      </c>
      <c r="K34" s="166">
        <v>2.0989593062810667E-2</v>
      </c>
      <c r="L34" s="173">
        <v>35481.794999999998</v>
      </c>
      <c r="N34">
        <v>7</v>
      </c>
      <c r="O34" s="177">
        <v>117470.3</v>
      </c>
      <c r="P34" s="150">
        <v>0.35776386181338027</v>
      </c>
    </row>
    <row r="35" spans="1:16" x14ac:dyDescent="0.25">
      <c r="N35">
        <v>8</v>
      </c>
      <c r="O35" s="177">
        <v>115000</v>
      </c>
      <c r="P35" s="150">
        <v>0.39177853331214779</v>
      </c>
    </row>
    <row r="36" spans="1:16" x14ac:dyDescent="0.25">
      <c r="N36">
        <v>9</v>
      </c>
      <c r="O36" s="177">
        <v>113701.832244</v>
      </c>
      <c r="P36" s="150">
        <v>0.42540923307377942</v>
      </c>
    </row>
    <row r="37" spans="1:16" x14ac:dyDescent="0.25">
      <c r="N37">
        <v>10</v>
      </c>
      <c r="O37" s="177">
        <v>113597.5197055</v>
      </c>
      <c r="P37" s="150">
        <v>0.459009079298626</v>
      </c>
    </row>
    <row r="39" spans="1:16" x14ac:dyDescent="0.25">
      <c r="A39" s="237" t="s">
        <v>68</v>
      </c>
      <c r="B39" s="235"/>
      <c r="C39" s="235"/>
      <c r="D39" s="235"/>
      <c r="E39" s="235"/>
      <c r="F39" s="235"/>
    </row>
    <row r="40" spans="1:16" x14ac:dyDescent="0.25">
      <c r="A40" s="169" t="s">
        <v>29</v>
      </c>
      <c r="B40" s="169" t="s">
        <v>23</v>
      </c>
      <c r="C40" s="169" t="s">
        <v>30</v>
      </c>
      <c r="D40" s="169" t="s">
        <v>4</v>
      </c>
      <c r="E40" s="169" t="s">
        <v>2</v>
      </c>
      <c r="F40" s="169" t="s">
        <v>69</v>
      </c>
    </row>
    <row r="41" spans="1:16" x14ac:dyDescent="0.25">
      <c r="A41" s="160" t="s">
        <v>41</v>
      </c>
      <c r="B41" s="160" t="s">
        <v>24</v>
      </c>
      <c r="C41" s="160" t="s">
        <v>42</v>
      </c>
      <c r="D41" s="173">
        <v>168140.89131840001</v>
      </c>
      <c r="E41" s="160" t="s">
        <v>8</v>
      </c>
      <c r="F41" s="162" t="s">
        <v>70</v>
      </c>
    </row>
    <row r="42" spans="1:16" x14ac:dyDescent="0.25">
      <c r="A42" s="160" t="s">
        <v>47</v>
      </c>
      <c r="B42" s="160" t="s">
        <v>27</v>
      </c>
      <c r="C42" s="160" t="s">
        <v>36</v>
      </c>
      <c r="D42" s="173">
        <v>117470.3</v>
      </c>
      <c r="E42" s="160" t="s">
        <v>8</v>
      </c>
      <c r="F42" s="162" t="s">
        <v>70</v>
      </c>
    </row>
    <row r="43" spans="1:16" x14ac:dyDescent="0.25">
      <c r="A43" s="160" t="s">
        <v>50</v>
      </c>
      <c r="B43" s="160" t="s">
        <v>24</v>
      </c>
      <c r="C43" s="160" t="s">
        <v>42</v>
      </c>
      <c r="D43" s="173">
        <v>113701.832244</v>
      </c>
      <c r="E43" s="160" t="s">
        <v>8</v>
      </c>
      <c r="F43" s="162" t="s">
        <v>70</v>
      </c>
    </row>
    <row r="44" spans="1:16" ht="30" x14ac:dyDescent="0.25">
      <c r="A44" s="160" t="s">
        <v>71</v>
      </c>
      <c r="B44" s="160" t="s">
        <v>24</v>
      </c>
      <c r="C44" s="160" t="s">
        <v>42</v>
      </c>
      <c r="D44" s="173">
        <v>110915.64340784001</v>
      </c>
      <c r="E44" s="160" t="s">
        <v>8</v>
      </c>
      <c r="F44" s="162" t="s">
        <v>72</v>
      </c>
    </row>
    <row r="45" spans="1:16" ht="30" x14ac:dyDescent="0.25">
      <c r="A45" s="160" t="s">
        <v>73</v>
      </c>
      <c r="B45" s="160" t="s">
        <v>24</v>
      </c>
      <c r="C45" s="160" t="s">
        <v>42</v>
      </c>
      <c r="D45" s="173">
        <v>96985.81</v>
      </c>
      <c r="E45" s="160" t="s">
        <v>8</v>
      </c>
      <c r="F45" s="162" t="s">
        <v>72</v>
      </c>
    </row>
    <row r="46" spans="1:16" x14ac:dyDescent="0.25">
      <c r="A46" s="160" t="s">
        <v>74</v>
      </c>
      <c r="B46" s="160" t="s">
        <v>24</v>
      </c>
      <c r="C46" s="160" t="s">
        <v>42</v>
      </c>
      <c r="D46" s="173">
        <v>77871.275812968903</v>
      </c>
      <c r="E46" s="160" t="s">
        <v>8</v>
      </c>
      <c r="F46" s="162" t="s">
        <v>70</v>
      </c>
    </row>
    <row r="47" spans="1:16" ht="30" x14ac:dyDescent="0.25">
      <c r="A47" s="160" t="s">
        <v>75</v>
      </c>
      <c r="B47" s="160" t="s">
        <v>24</v>
      </c>
      <c r="C47" s="160" t="s">
        <v>42</v>
      </c>
      <c r="D47" s="173">
        <v>76712.124567900901</v>
      </c>
      <c r="E47" s="160" t="s">
        <v>8</v>
      </c>
      <c r="F47" s="162" t="s">
        <v>72</v>
      </c>
    </row>
    <row r="48" spans="1:16" x14ac:dyDescent="0.25">
      <c r="A48" s="160" t="s">
        <v>76</v>
      </c>
      <c r="B48" s="160" t="s">
        <v>24</v>
      </c>
      <c r="C48" s="160" t="s">
        <v>42</v>
      </c>
      <c r="D48" s="173">
        <v>43018.019512899802</v>
      </c>
      <c r="E48" s="160" t="s">
        <v>8</v>
      </c>
      <c r="F48" s="162" t="s">
        <v>70</v>
      </c>
    </row>
  </sheetData>
  <mergeCells count="10">
    <mergeCell ref="A25:F25"/>
    <mergeCell ref="H25:L25"/>
    <mergeCell ref="A39:F39"/>
    <mergeCell ref="A1:L1"/>
    <mergeCell ref="A2:L2"/>
    <mergeCell ref="A3:L5"/>
    <mergeCell ref="H7:L7"/>
    <mergeCell ref="H8:L9"/>
    <mergeCell ref="A11:F11"/>
    <mergeCell ref="H11:L11"/>
  </mergeCells>
  <conditionalFormatting sqref="C27:C30">
    <cfRule type="colorScale" priority="1">
      <colorScale>
        <cfvo type="min"/>
        <cfvo type="percentile" val="50"/>
        <cfvo type="max"/>
        <color rgb="FFFFFFFF"/>
        <color rgb="FFFCE4D6"/>
        <color rgb="FFF4B084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2717-95D6-44F4-9C23-1609A7972D26}">
  <dimension ref="A1:R50"/>
  <sheetViews>
    <sheetView topLeftCell="A141" workbookViewId="0">
      <selection activeCell="AP502" sqref="AP502"/>
    </sheetView>
  </sheetViews>
  <sheetFormatPr defaultRowHeight="15" x14ac:dyDescent="0.25"/>
  <cols>
    <col min="1" max="1" width="22.85546875" style="151" customWidth="1"/>
    <col min="2" max="2" width="21" style="151" customWidth="1"/>
    <col min="3" max="3" width="22.85546875" style="151" customWidth="1"/>
    <col min="4" max="4" width="36.140625" style="151" customWidth="1"/>
    <col min="5" max="5" width="22.85546875" style="151" customWidth="1"/>
    <col min="6" max="6" width="38.140625" style="151" customWidth="1"/>
    <col min="7" max="7" width="5.140625" style="151" customWidth="1"/>
    <col min="8" max="8" width="22.85546875" style="151" customWidth="1"/>
    <col min="9" max="9" width="15.140625" style="151" customWidth="1"/>
    <col min="10" max="10" width="22.85546875" style="151" customWidth="1"/>
    <col min="11" max="11" width="15.140625" style="151" customWidth="1"/>
    <col min="12" max="12" width="22.85546875" style="151" customWidth="1"/>
    <col min="13" max="13" width="3.85546875" customWidth="1"/>
    <col min="14" max="14" width="28.140625" bestFit="1" customWidth="1"/>
    <col min="15" max="15" width="16.5703125" bestFit="1" customWidth="1"/>
    <col min="17" max="17" width="13.85546875" bestFit="1" customWidth="1"/>
    <col min="18" max="18" width="16.5703125" bestFit="1" customWidth="1"/>
  </cols>
  <sheetData>
    <row r="1" spans="1:18" ht="24" x14ac:dyDescent="0.25">
      <c r="A1" s="245" t="s">
        <v>77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</row>
    <row r="2" spans="1:18" x14ac:dyDescent="0.25">
      <c r="A2" s="239" t="s">
        <v>78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N2" t="s">
        <v>2</v>
      </c>
      <c r="O2" t="s">
        <v>3</v>
      </c>
      <c r="Q2" t="s">
        <v>79</v>
      </c>
    </row>
    <row r="3" spans="1:18" x14ac:dyDescent="0.25">
      <c r="A3" s="240" t="s">
        <v>80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N3" t="s">
        <v>8</v>
      </c>
      <c r="O3">
        <v>62</v>
      </c>
      <c r="Q3" t="s">
        <v>81</v>
      </c>
      <c r="R3">
        <f>COUNTA(A.Propostas!B6:B118)</f>
        <v>106</v>
      </c>
    </row>
    <row r="4" spans="1:18" x14ac:dyDescent="0.25">
      <c r="A4" s="235"/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N4" t="s">
        <v>10</v>
      </c>
      <c r="O4">
        <v>37</v>
      </c>
      <c r="Q4" t="s">
        <v>82</v>
      </c>
      <c r="R4" s="177">
        <f>SUM(A.Propostas!F6:F118)</f>
        <v>3426065.6302565872</v>
      </c>
    </row>
    <row r="5" spans="1:18" x14ac:dyDescent="0.25">
      <c r="N5" t="s">
        <v>12</v>
      </c>
      <c r="O5">
        <v>1</v>
      </c>
      <c r="Q5" t="s">
        <v>8</v>
      </c>
      <c r="R5">
        <f>COUNTIF(A.Propostas!Z6:Z118,"SIM")</f>
        <v>70</v>
      </c>
    </row>
    <row r="6" spans="1:18" x14ac:dyDescent="0.25">
      <c r="A6" s="152" t="s">
        <v>14</v>
      </c>
      <c r="B6" s="153" t="s">
        <v>83</v>
      </c>
      <c r="C6" s="153" t="s">
        <v>84</v>
      </c>
      <c r="D6" s="153" t="s">
        <v>85</v>
      </c>
      <c r="E6" s="153" t="s">
        <v>18</v>
      </c>
      <c r="F6" s="154" t="s">
        <v>86</v>
      </c>
      <c r="H6" s="241" t="s">
        <v>87</v>
      </c>
      <c r="I6" s="235"/>
      <c r="J6" s="235"/>
      <c r="K6" s="235"/>
      <c r="L6" s="235"/>
      <c r="N6" t="s">
        <v>13</v>
      </c>
      <c r="O6">
        <v>3</v>
      </c>
      <c r="Q6" t="s">
        <v>10</v>
      </c>
      <c r="R6">
        <f>COUNTIF(A.Propostas!Z6:Z118,"NÃO")</f>
        <v>29</v>
      </c>
    </row>
    <row r="7" spans="1:18" ht="21" x14ac:dyDescent="0.25">
      <c r="A7" s="155">
        <f>COUNTA(A.Propostas!B6:B118)</f>
        <v>106</v>
      </c>
      <c r="B7" s="172">
        <f>SUM(A.Propostas!F6:F118)</f>
        <v>3426065.6302565872</v>
      </c>
      <c r="C7" s="172">
        <f>B7/A7</f>
        <v>32321.373870345164</v>
      </c>
      <c r="D7" s="156">
        <f>COUNTIF(A.Propostas!Z6:Z118,"SIM")</f>
        <v>70</v>
      </c>
      <c r="E7" s="156" cm="1">
        <f t="array" ref="E7">SUMPRODUCT(--(MMULT(--ISNUMBER(SEARCH("PENDENTE",A.Propostas!AE6:AI118)),TRANSPOSE(COLUMN(A.Propostas!AE6:AI6)^0))&gt;0))</f>
        <v>9</v>
      </c>
      <c r="F7" s="157" cm="1">
        <f t="array" ref="F7">SUMPRODUCT(--(A.Propostas!AB6:AB118&lt;DATE(2026,7,28)),--(A.Propostas!AB6:AB118&lt;&gt;""),--(A.Propostas!AC6:AC118=""),--ISERROR(SEARCH("INVIÁVEL",A.Propostas!L6:L118&amp;A.Propostas!AC6:AC118&amp;A.Propostas!AK6:AK118)))</f>
        <v>0</v>
      </c>
      <c r="H7" s="242" t="s">
        <v>88</v>
      </c>
      <c r="I7" s="235"/>
      <c r="J7" s="235"/>
      <c r="K7" s="235"/>
      <c r="L7" s="235"/>
      <c r="Q7" t="s">
        <v>21</v>
      </c>
      <c r="R7">
        <f>COUNTIF(A.Propostas!Z6:Z118,"KAIZEN PLANO DE CORTE")</f>
        <v>0</v>
      </c>
    </row>
    <row r="8" spans="1:18" x14ac:dyDescent="0.25">
      <c r="H8" s="235"/>
      <c r="I8" s="235"/>
      <c r="J8" s="235"/>
      <c r="K8" s="235"/>
      <c r="L8" s="235"/>
    </row>
    <row r="9" spans="1:18" x14ac:dyDescent="0.25">
      <c r="N9" t="s">
        <v>23</v>
      </c>
      <c r="O9" t="s">
        <v>4</v>
      </c>
    </row>
    <row r="10" spans="1:18" x14ac:dyDescent="0.25">
      <c r="A10" s="236" t="s">
        <v>89</v>
      </c>
      <c r="B10" s="235"/>
      <c r="C10" s="235"/>
      <c r="D10" s="235"/>
      <c r="E10" s="235"/>
      <c r="F10" s="235"/>
      <c r="H10" s="236" t="s">
        <v>26</v>
      </c>
      <c r="I10" s="235"/>
      <c r="J10" s="235"/>
      <c r="K10" s="235"/>
      <c r="L10" s="235"/>
      <c r="N10" t="s">
        <v>24</v>
      </c>
      <c r="O10" s="149">
        <v>1894286.455803545</v>
      </c>
    </row>
    <row r="11" spans="1:18" x14ac:dyDescent="0.25">
      <c r="A11" s="159" t="s">
        <v>29</v>
      </c>
      <c r="B11" s="159" t="s">
        <v>23</v>
      </c>
      <c r="C11" s="159" t="s">
        <v>30</v>
      </c>
      <c r="D11" s="159" t="s">
        <v>2</v>
      </c>
      <c r="E11" s="159" t="s">
        <v>90</v>
      </c>
      <c r="F11" s="159" t="s">
        <v>91</v>
      </c>
      <c r="H11" s="159" t="s">
        <v>23</v>
      </c>
      <c r="I11" s="159" t="s">
        <v>3</v>
      </c>
      <c r="J11" s="159" t="s">
        <v>4</v>
      </c>
      <c r="K11" s="159" t="s">
        <v>92</v>
      </c>
      <c r="L11" s="159" t="s">
        <v>33</v>
      </c>
      <c r="N11" t="s">
        <v>27</v>
      </c>
      <c r="O11" s="177">
        <v>987200.72000000009</v>
      </c>
    </row>
    <row r="12" spans="1:18" ht="30" x14ac:dyDescent="0.25">
      <c r="A12" s="160" t="s">
        <v>35</v>
      </c>
      <c r="B12" s="160" t="s">
        <v>27</v>
      </c>
      <c r="C12" s="160" t="s">
        <v>36</v>
      </c>
      <c r="D12" s="160" t="s">
        <v>8</v>
      </c>
      <c r="E12" s="173">
        <v>223577.79</v>
      </c>
      <c r="F12" s="162" t="s">
        <v>93</v>
      </c>
      <c r="H12" s="160" t="s">
        <v>24</v>
      </c>
      <c r="I12" s="160">
        <v>80</v>
      </c>
      <c r="J12" s="173">
        <v>1894286.455803545</v>
      </c>
      <c r="K12" s="166">
        <v>0.56029157842367183</v>
      </c>
      <c r="L12" s="173">
        <v>23678.580697544312</v>
      </c>
      <c r="N12" t="s">
        <v>34</v>
      </c>
      <c r="O12" s="177">
        <v>499406.86</v>
      </c>
    </row>
    <row r="13" spans="1:18" ht="45" x14ac:dyDescent="0.25">
      <c r="A13" s="160" t="s">
        <v>38</v>
      </c>
      <c r="B13" s="160" t="s">
        <v>27</v>
      </c>
      <c r="C13" s="160" t="s">
        <v>39</v>
      </c>
      <c r="D13" s="160" t="s">
        <v>8</v>
      </c>
      <c r="E13" s="173">
        <v>214301.81</v>
      </c>
      <c r="F13" s="162" t="s">
        <v>94</v>
      </c>
      <c r="H13" s="160" t="s">
        <v>27</v>
      </c>
      <c r="I13" s="160">
        <v>12</v>
      </c>
      <c r="J13" s="173">
        <v>987200.72000000009</v>
      </c>
      <c r="K13" s="166">
        <v>0.29199398429692885</v>
      </c>
      <c r="L13" s="173">
        <v>82266.726666666669</v>
      </c>
      <c r="N13" t="s">
        <v>37</v>
      </c>
      <c r="O13" s="177">
        <v>0</v>
      </c>
    </row>
    <row r="14" spans="1:18" x14ac:dyDescent="0.25">
      <c r="A14" s="160" t="s">
        <v>40</v>
      </c>
      <c r="B14" s="160" t="s">
        <v>27</v>
      </c>
      <c r="C14" s="160" t="s">
        <v>39</v>
      </c>
      <c r="D14" s="160" t="s">
        <v>8</v>
      </c>
      <c r="E14" s="173">
        <v>190474.65</v>
      </c>
      <c r="F14" s="162" t="s">
        <v>95</v>
      </c>
      <c r="H14" s="160" t="s">
        <v>34</v>
      </c>
      <c r="I14" s="160">
        <v>8</v>
      </c>
      <c r="J14" s="173">
        <v>499406.86</v>
      </c>
      <c r="K14" s="166">
        <v>0.14771443727940003</v>
      </c>
      <c r="L14" s="173">
        <v>62425.857499999998</v>
      </c>
      <c r="O14" s="177"/>
    </row>
    <row r="15" spans="1:18" ht="30" x14ac:dyDescent="0.25">
      <c r="A15" s="160" t="s">
        <v>41</v>
      </c>
      <c r="B15" s="160" t="s">
        <v>24</v>
      </c>
      <c r="C15" s="160" t="s">
        <v>42</v>
      </c>
      <c r="D15" s="160" t="s">
        <v>8</v>
      </c>
      <c r="E15" s="173">
        <v>168140.89131840001</v>
      </c>
      <c r="F15" s="162" t="s">
        <v>96</v>
      </c>
      <c r="H15" s="163" t="s">
        <v>37</v>
      </c>
      <c r="I15" s="163">
        <v>3</v>
      </c>
      <c r="J15" s="174">
        <v>0</v>
      </c>
      <c r="K15" s="167">
        <v>0</v>
      </c>
      <c r="L15" s="174">
        <v>0</v>
      </c>
      <c r="O15" s="177"/>
    </row>
    <row r="16" spans="1:18" x14ac:dyDescent="0.25">
      <c r="A16" s="160" t="s">
        <v>44</v>
      </c>
      <c r="B16" s="160" t="s">
        <v>24</v>
      </c>
      <c r="C16" s="160" t="s">
        <v>45</v>
      </c>
      <c r="D16" s="160" t="s">
        <v>10</v>
      </c>
      <c r="E16" s="173">
        <v>167489.2253125</v>
      </c>
      <c r="F16" s="162"/>
      <c r="J16" s="175"/>
      <c r="K16" s="158"/>
      <c r="L16" s="175"/>
      <c r="N16" t="s">
        <v>30</v>
      </c>
      <c r="O16" s="177" t="s">
        <v>4</v>
      </c>
    </row>
    <row r="17" spans="1:15" x14ac:dyDescent="0.25">
      <c r="A17" s="160" t="s">
        <v>46</v>
      </c>
      <c r="B17" s="160" t="s">
        <v>34</v>
      </c>
      <c r="C17" s="160" t="s">
        <v>42</v>
      </c>
      <c r="D17" s="160" t="s">
        <v>8</v>
      </c>
      <c r="E17" s="173">
        <v>128107.04</v>
      </c>
      <c r="F17" s="162"/>
      <c r="N17" t="s">
        <v>42</v>
      </c>
      <c r="O17" s="177">
        <v>1390523.5442530026</v>
      </c>
    </row>
    <row r="18" spans="1:15" ht="30" x14ac:dyDescent="0.25">
      <c r="A18" s="160" t="s">
        <v>47</v>
      </c>
      <c r="B18" s="160" t="s">
        <v>27</v>
      </c>
      <c r="C18" s="160" t="s">
        <v>36</v>
      </c>
      <c r="D18" s="160" t="s">
        <v>8</v>
      </c>
      <c r="E18" s="173">
        <v>117470.3</v>
      </c>
      <c r="F18" s="162" t="s">
        <v>97</v>
      </c>
      <c r="N18" t="s">
        <v>39</v>
      </c>
      <c r="O18" s="177">
        <v>998683.29479479801</v>
      </c>
    </row>
    <row r="19" spans="1:15" x14ac:dyDescent="0.25">
      <c r="A19" s="160" t="s">
        <v>48</v>
      </c>
      <c r="B19" s="160" t="s">
        <v>34</v>
      </c>
      <c r="C19" s="160" t="s">
        <v>49</v>
      </c>
      <c r="D19" s="160" t="s">
        <v>8</v>
      </c>
      <c r="E19" s="173">
        <v>115000</v>
      </c>
      <c r="F19" s="162" t="s">
        <v>98</v>
      </c>
      <c r="N19" t="s">
        <v>36</v>
      </c>
      <c r="O19" s="177">
        <v>341048.09</v>
      </c>
    </row>
    <row r="20" spans="1:15" ht="30" x14ac:dyDescent="0.25">
      <c r="A20" s="160" t="s">
        <v>50</v>
      </c>
      <c r="B20" s="160" t="s">
        <v>24</v>
      </c>
      <c r="C20" s="160" t="s">
        <v>42</v>
      </c>
      <c r="D20" s="160" t="s">
        <v>8</v>
      </c>
      <c r="E20" s="173">
        <v>113701.832244</v>
      </c>
      <c r="F20" s="162" t="s">
        <v>96</v>
      </c>
      <c r="N20" t="s">
        <v>45</v>
      </c>
      <c r="O20" s="177">
        <v>194339.68058881108</v>
      </c>
    </row>
    <row r="21" spans="1:15" x14ac:dyDescent="0.25">
      <c r="A21" s="163" t="s">
        <v>52</v>
      </c>
      <c r="B21" s="163" t="s">
        <v>24</v>
      </c>
      <c r="C21" s="163" t="s">
        <v>51</v>
      </c>
      <c r="D21" s="163" t="s">
        <v>10</v>
      </c>
      <c r="E21" s="174">
        <v>113597.5197055</v>
      </c>
      <c r="F21" s="165"/>
      <c r="N21" t="s">
        <v>51</v>
      </c>
      <c r="O21" s="177">
        <v>164779.96956508717</v>
      </c>
    </row>
    <row r="22" spans="1:15" x14ac:dyDescent="0.25">
      <c r="N22" t="s">
        <v>49</v>
      </c>
      <c r="O22" s="177">
        <v>115000</v>
      </c>
    </row>
    <row r="23" spans="1:15" x14ac:dyDescent="0.25">
      <c r="J23" s="175"/>
      <c r="K23" s="158"/>
      <c r="L23" s="175"/>
      <c r="N23" t="s">
        <v>53</v>
      </c>
      <c r="O23" s="177">
        <v>105555.86660184528</v>
      </c>
    </row>
    <row r="24" spans="1:15" x14ac:dyDescent="0.25">
      <c r="J24" s="175"/>
      <c r="K24" s="158"/>
      <c r="L24" s="175"/>
      <c r="N24" t="s">
        <v>54</v>
      </c>
      <c r="O24" s="177">
        <v>70963.59</v>
      </c>
    </row>
    <row r="25" spans="1:15" x14ac:dyDescent="0.25">
      <c r="A25" s="236" t="s">
        <v>99</v>
      </c>
      <c r="B25" s="235"/>
      <c r="C25" s="235"/>
      <c r="D25" s="235"/>
      <c r="E25" s="235"/>
      <c r="F25" s="235"/>
      <c r="H25" s="236" t="s">
        <v>100</v>
      </c>
      <c r="I25" s="235"/>
      <c r="J25" s="243"/>
      <c r="K25" s="244"/>
      <c r="L25" s="243"/>
      <c r="O25" s="177"/>
    </row>
    <row r="26" spans="1:15" x14ac:dyDescent="0.25">
      <c r="A26" s="168" t="s">
        <v>101</v>
      </c>
      <c r="B26" s="168" t="s">
        <v>3</v>
      </c>
      <c r="C26" s="168" t="s">
        <v>102</v>
      </c>
      <c r="D26" s="168" t="s">
        <v>103</v>
      </c>
      <c r="H26" s="159" t="s">
        <v>43</v>
      </c>
      <c r="I26" s="159" t="s">
        <v>3</v>
      </c>
      <c r="J26" s="176" t="s">
        <v>4</v>
      </c>
      <c r="K26" s="178" t="s">
        <v>92</v>
      </c>
      <c r="L26" s="176" t="s">
        <v>33</v>
      </c>
      <c r="O26" s="177"/>
    </row>
    <row r="27" spans="1:15" ht="45" x14ac:dyDescent="0.25">
      <c r="A27" s="160" t="s">
        <v>86</v>
      </c>
      <c r="B27" s="160">
        <v>0</v>
      </c>
      <c r="C27" s="173">
        <v>0</v>
      </c>
      <c r="D27" s="162" t="s">
        <v>104</v>
      </c>
      <c r="H27" s="160" t="s">
        <v>42</v>
      </c>
      <c r="I27" s="160">
        <v>49</v>
      </c>
      <c r="J27" s="173">
        <v>1390523.5442530026</v>
      </c>
      <c r="K27" s="166">
        <v>0.41128870929624228</v>
      </c>
      <c r="L27" s="173">
        <v>28378.031515367402</v>
      </c>
      <c r="O27" s="177"/>
    </row>
    <row r="28" spans="1:15" ht="45" x14ac:dyDescent="0.25">
      <c r="A28" s="160" t="s">
        <v>105</v>
      </c>
      <c r="B28" s="160">
        <v>16</v>
      </c>
      <c r="C28" s="173">
        <v>903321.84923620953</v>
      </c>
      <c r="D28" s="162" t="s">
        <v>106</v>
      </c>
      <c r="H28" s="160" t="s">
        <v>39</v>
      </c>
      <c r="I28" s="160">
        <v>28</v>
      </c>
      <c r="J28" s="173">
        <v>998683.29479479801</v>
      </c>
      <c r="K28" s="166">
        <v>0.29539029742392958</v>
      </c>
      <c r="L28" s="173">
        <v>35667.260528385646</v>
      </c>
      <c r="O28" s="177"/>
    </row>
    <row r="29" spans="1:15" ht="30" x14ac:dyDescent="0.25">
      <c r="A29" s="160" t="s">
        <v>107</v>
      </c>
      <c r="B29" s="160">
        <v>6</v>
      </c>
      <c r="C29" s="173">
        <v>438060.56041410612</v>
      </c>
      <c r="D29" s="162" t="s">
        <v>108</v>
      </c>
      <c r="H29" s="160" t="s">
        <v>36</v>
      </c>
      <c r="I29" s="160">
        <v>4</v>
      </c>
      <c r="J29" s="173">
        <v>341048.09</v>
      </c>
      <c r="K29" s="166">
        <v>0.10087511953593144</v>
      </c>
      <c r="L29" s="173">
        <v>85262.022500000006</v>
      </c>
      <c r="O29" s="177"/>
    </row>
    <row r="30" spans="1:15" ht="45" x14ac:dyDescent="0.25">
      <c r="A30" s="163" t="s">
        <v>109</v>
      </c>
      <c r="B30" s="163">
        <v>3</v>
      </c>
      <c r="C30" s="174">
        <v>0</v>
      </c>
      <c r="D30" s="165" t="s">
        <v>110</v>
      </c>
      <c r="H30" s="160" t="s">
        <v>45</v>
      </c>
      <c r="I30" s="160">
        <v>5</v>
      </c>
      <c r="J30" s="173">
        <v>194339.68058881108</v>
      </c>
      <c r="K30" s="166">
        <v>5.7481742560033258E-2</v>
      </c>
      <c r="L30" s="173">
        <v>38867.93611776222</v>
      </c>
      <c r="O30" s="177"/>
    </row>
    <row r="31" spans="1:15" x14ac:dyDescent="0.25">
      <c r="H31" s="160" t="s">
        <v>51</v>
      </c>
      <c r="I31" s="160">
        <v>7</v>
      </c>
      <c r="J31" s="173">
        <v>164779.96956508717</v>
      </c>
      <c r="K31" s="166">
        <v>4.8738578559420501E-2</v>
      </c>
      <c r="L31" s="173">
        <v>23539.99565215531</v>
      </c>
      <c r="O31" s="177"/>
    </row>
    <row r="32" spans="1:15" x14ac:dyDescent="0.25">
      <c r="H32" s="160" t="s">
        <v>49</v>
      </c>
      <c r="I32" s="160">
        <v>1</v>
      </c>
      <c r="J32" s="173">
        <v>115000</v>
      </c>
      <c r="K32" s="166">
        <v>3.4014671498767565E-2</v>
      </c>
      <c r="L32" s="173">
        <v>115000</v>
      </c>
      <c r="O32" s="177"/>
    </row>
    <row r="33" spans="1:15" x14ac:dyDescent="0.25">
      <c r="A33" s="236" t="s">
        <v>111</v>
      </c>
      <c r="B33" s="235"/>
      <c r="C33" s="235"/>
      <c r="D33" s="235"/>
      <c r="E33" s="235"/>
      <c r="F33" s="235"/>
      <c r="H33" s="160" t="s">
        <v>53</v>
      </c>
      <c r="I33" s="160">
        <v>6</v>
      </c>
      <c r="J33" s="161">
        <v>105555.86660184528</v>
      </c>
      <c r="K33" s="166">
        <v>3.1221288062865196E-2</v>
      </c>
      <c r="L33" s="161">
        <v>17592.644433640879</v>
      </c>
      <c r="O33" s="177"/>
    </row>
    <row r="34" spans="1:15" x14ac:dyDescent="0.25">
      <c r="A34" s="169" t="s">
        <v>29</v>
      </c>
      <c r="B34" s="169" t="s">
        <v>23</v>
      </c>
      <c r="C34" s="169" t="s">
        <v>30</v>
      </c>
      <c r="D34" s="169" t="s">
        <v>112</v>
      </c>
      <c r="E34" s="169" t="s">
        <v>4</v>
      </c>
      <c r="F34" s="169" t="s">
        <v>69</v>
      </c>
      <c r="H34" s="160" t="s">
        <v>54</v>
      </c>
      <c r="I34" s="160">
        <v>2</v>
      </c>
      <c r="J34" s="161">
        <v>70963.59</v>
      </c>
      <c r="K34" s="166">
        <v>2.0989593062810667E-2</v>
      </c>
      <c r="L34" s="161">
        <v>35481.794999999998</v>
      </c>
      <c r="O34" s="177"/>
    </row>
    <row r="35" spans="1:15" x14ac:dyDescent="0.25">
      <c r="A35" s="160" t="s">
        <v>41</v>
      </c>
      <c r="B35" s="160" t="s">
        <v>24</v>
      </c>
      <c r="C35" s="160" t="s">
        <v>42</v>
      </c>
      <c r="D35" s="170" t="s">
        <v>113</v>
      </c>
      <c r="E35" s="173">
        <v>168140.89131840001</v>
      </c>
      <c r="F35" s="162" t="s">
        <v>114</v>
      </c>
      <c r="H35" s="163" t="s">
        <v>115</v>
      </c>
      <c r="I35" s="163">
        <v>1</v>
      </c>
      <c r="J35" s="164">
        <v>0</v>
      </c>
      <c r="K35" s="167">
        <v>0</v>
      </c>
      <c r="L35" s="164">
        <v>0</v>
      </c>
      <c r="O35" s="177"/>
    </row>
    <row r="36" spans="1:15" x14ac:dyDescent="0.25">
      <c r="A36" s="160" t="s">
        <v>47</v>
      </c>
      <c r="B36" s="160" t="s">
        <v>27</v>
      </c>
      <c r="C36" s="160" t="s">
        <v>36</v>
      </c>
      <c r="D36" s="170" t="s">
        <v>116</v>
      </c>
      <c r="E36" s="173">
        <v>117470.3</v>
      </c>
      <c r="F36" s="162" t="s">
        <v>114</v>
      </c>
      <c r="O36" s="177"/>
    </row>
    <row r="37" spans="1:15" x14ac:dyDescent="0.25">
      <c r="A37" s="160" t="s">
        <v>50</v>
      </c>
      <c r="B37" s="160" t="s">
        <v>24</v>
      </c>
      <c r="C37" s="160" t="s">
        <v>42</v>
      </c>
      <c r="D37" s="170" t="s">
        <v>113</v>
      </c>
      <c r="E37" s="173">
        <v>113701.832244</v>
      </c>
      <c r="F37" s="162" t="s">
        <v>114</v>
      </c>
      <c r="O37" s="177"/>
    </row>
    <row r="38" spans="1:15" x14ac:dyDescent="0.25">
      <c r="A38" s="160" t="s">
        <v>71</v>
      </c>
      <c r="B38" s="160" t="s">
        <v>24</v>
      </c>
      <c r="C38" s="160" t="s">
        <v>42</v>
      </c>
      <c r="D38" s="170" t="s">
        <v>117</v>
      </c>
      <c r="E38" s="173">
        <v>110915.64340784001</v>
      </c>
      <c r="F38" s="162" t="s">
        <v>114</v>
      </c>
      <c r="O38" s="177"/>
    </row>
    <row r="39" spans="1:15" x14ac:dyDescent="0.25">
      <c r="A39" s="160" t="s">
        <v>73</v>
      </c>
      <c r="B39" s="160" t="s">
        <v>24</v>
      </c>
      <c r="C39" s="160" t="s">
        <v>42</v>
      </c>
      <c r="D39" s="170" t="s">
        <v>118</v>
      </c>
      <c r="E39" s="173">
        <v>96985.81</v>
      </c>
      <c r="F39" s="162" t="s">
        <v>114</v>
      </c>
      <c r="O39" s="177"/>
    </row>
    <row r="40" spans="1:15" x14ac:dyDescent="0.25">
      <c r="A40" s="160" t="s">
        <v>74</v>
      </c>
      <c r="B40" s="160" t="s">
        <v>24</v>
      </c>
      <c r="C40" s="160" t="s">
        <v>42</v>
      </c>
      <c r="D40" s="170" t="s">
        <v>113</v>
      </c>
      <c r="E40" s="173">
        <v>77871.275812968903</v>
      </c>
      <c r="F40" s="162" t="s">
        <v>114</v>
      </c>
      <c r="O40" s="177"/>
    </row>
    <row r="41" spans="1:15" x14ac:dyDescent="0.25">
      <c r="A41" s="160" t="s">
        <v>75</v>
      </c>
      <c r="B41" s="160" t="s">
        <v>24</v>
      </c>
      <c r="C41" s="160" t="s">
        <v>42</v>
      </c>
      <c r="D41" s="170" t="s">
        <v>118</v>
      </c>
      <c r="E41" s="173">
        <v>76712.124567900901</v>
      </c>
      <c r="F41" s="162" t="s">
        <v>114</v>
      </c>
    </row>
    <row r="42" spans="1:15" x14ac:dyDescent="0.25">
      <c r="A42" s="163" t="s">
        <v>76</v>
      </c>
      <c r="B42" s="163" t="s">
        <v>24</v>
      </c>
      <c r="C42" s="163" t="s">
        <v>42</v>
      </c>
      <c r="D42" s="171" t="s">
        <v>113</v>
      </c>
      <c r="E42" s="174">
        <v>43018.019512899802</v>
      </c>
      <c r="F42" s="165" t="s">
        <v>114</v>
      </c>
      <c r="O42" s="177"/>
    </row>
    <row r="43" spans="1:15" x14ac:dyDescent="0.25">
      <c r="O43" s="177"/>
    </row>
    <row r="44" spans="1:15" x14ac:dyDescent="0.25">
      <c r="O44" s="177"/>
    </row>
    <row r="45" spans="1:15" x14ac:dyDescent="0.25">
      <c r="O45" s="177"/>
    </row>
    <row r="46" spans="1:15" x14ac:dyDescent="0.25">
      <c r="O46" s="177"/>
    </row>
    <row r="47" spans="1:15" x14ac:dyDescent="0.25">
      <c r="O47" s="177"/>
    </row>
    <row r="48" spans="1:15" x14ac:dyDescent="0.25">
      <c r="O48" s="177"/>
    </row>
    <row r="49" spans="15:15" x14ac:dyDescent="0.25">
      <c r="O49" s="177"/>
    </row>
    <row r="50" spans="15:15" x14ac:dyDescent="0.25">
      <c r="O50" s="177"/>
    </row>
  </sheetData>
  <mergeCells count="10">
    <mergeCell ref="H25:L25"/>
    <mergeCell ref="A25:F25"/>
    <mergeCell ref="A33:F33"/>
    <mergeCell ref="A1:L1"/>
    <mergeCell ref="A2:L2"/>
    <mergeCell ref="A3:L4"/>
    <mergeCell ref="H6:L6"/>
    <mergeCell ref="H7:L8"/>
    <mergeCell ref="A10:F10"/>
    <mergeCell ref="H10:L10"/>
  </mergeCells>
  <conditionalFormatting sqref="B27:C30">
    <cfRule type="colorScale" priority="1">
      <colorScale>
        <cfvo type="min"/>
        <cfvo type="percentile" val="50"/>
        <cfvo type="max"/>
        <color rgb="FFFFFFFF"/>
        <color rgb="FFFCE4D6"/>
        <color rgb="FFF4B084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37EE-405D-4A43-9EB9-23F1BEB36011}">
  <sheetPr codeName="Folha1" filterMode="1"/>
  <dimension ref="A1:AP720"/>
  <sheetViews>
    <sheetView showGridLines="0" zoomScaleNormal="100" workbookViewId="0">
      <pane xSplit="1" ySplit="2" topLeftCell="B107" activePane="bottomRight" state="frozen"/>
      <selection pane="topRight" activeCell="B1" sqref="B1"/>
      <selection pane="bottomLeft" activeCell="A3" sqref="A3"/>
      <selection pane="bottomRight" activeCell="Y20" sqref="Y20:Y122"/>
    </sheetView>
  </sheetViews>
  <sheetFormatPr defaultRowHeight="15" x14ac:dyDescent="0.25"/>
  <cols>
    <col min="1" max="1" width="18.42578125" bestFit="1" customWidth="1"/>
    <col min="2" max="2" width="8.5703125" bestFit="1" customWidth="1"/>
    <col min="3" max="4" width="9.5703125" bestFit="1" customWidth="1"/>
    <col min="5" max="5" width="10.5703125" bestFit="1" customWidth="1"/>
    <col min="6" max="6" width="13.42578125" customWidth="1"/>
    <col min="7" max="7" width="28.5703125" customWidth="1"/>
    <col min="8" max="8" width="14.42578125" customWidth="1"/>
    <col min="9" max="9" width="10.140625" customWidth="1"/>
    <col min="10" max="10" width="9.5703125" customWidth="1"/>
    <col min="11" max="11" width="21.42578125" customWidth="1"/>
    <col min="12" max="12" width="20.42578125" customWidth="1"/>
    <col min="13" max="13" width="23.5703125" customWidth="1"/>
    <col min="14" max="14" width="32.42578125" customWidth="1"/>
    <col min="15" max="15" width="8.5703125" customWidth="1"/>
    <col min="16" max="16" width="10.42578125" hidden="1" customWidth="1"/>
    <col min="17" max="17" width="12.42578125" hidden="1" customWidth="1"/>
    <col min="18" max="18" width="11.5703125" customWidth="1"/>
    <col min="19" max="19" width="15" customWidth="1"/>
    <col min="20" max="20" width="15.5703125" customWidth="1"/>
    <col min="21" max="21" width="16.42578125" customWidth="1"/>
    <col min="22" max="25" width="15.42578125" customWidth="1"/>
    <col min="26" max="26" width="13.5703125" bestFit="1" customWidth="1"/>
    <col min="27" max="27" width="11.42578125" bestFit="1" customWidth="1"/>
    <col min="28" max="28" width="16.140625" bestFit="1" customWidth="1"/>
    <col min="29" max="29" width="13.42578125" bestFit="1" customWidth="1"/>
    <col min="30" max="30" width="15.5703125" bestFit="1" customWidth="1"/>
    <col min="31" max="31" width="13.42578125" bestFit="1" customWidth="1"/>
    <col min="32" max="32" width="10.5703125" bestFit="1" customWidth="1"/>
    <col min="33" max="33" width="13" bestFit="1" customWidth="1"/>
    <col min="34" max="34" width="12.85546875" hidden="1" customWidth="1"/>
    <col min="35" max="35" width="16.42578125" bestFit="1" customWidth="1"/>
    <col min="36" max="36" width="26.140625" style="142" customWidth="1"/>
    <col min="37" max="37" width="16.42578125" bestFit="1" customWidth="1"/>
    <col min="38" max="38" width="14.85546875" hidden="1" customWidth="1"/>
    <col min="39" max="39" width="43.85546875" customWidth="1"/>
    <col min="40" max="40" width="24" style="50" customWidth="1"/>
    <col min="41" max="41" width="24.140625" style="50" customWidth="1"/>
    <col min="42" max="42" width="13.85546875" bestFit="1" customWidth="1"/>
  </cols>
  <sheetData>
    <row r="1" spans="1:41" ht="151.35" customHeight="1" x14ac:dyDescent="0.25"/>
    <row r="2" spans="1:41" ht="33.75" x14ac:dyDescent="0.25">
      <c r="A2" s="39" t="s">
        <v>119</v>
      </c>
      <c r="B2" s="40" t="s">
        <v>101</v>
      </c>
      <c r="C2" s="40" t="s">
        <v>120</v>
      </c>
      <c r="D2" s="40" t="s">
        <v>121</v>
      </c>
      <c r="E2" s="40" t="s">
        <v>122</v>
      </c>
      <c r="F2" s="40" t="s">
        <v>123</v>
      </c>
      <c r="G2" s="40" t="s">
        <v>124</v>
      </c>
      <c r="H2" s="40" t="s">
        <v>125</v>
      </c>
      <c r="I2" s="41" t="s">
        <v>126</v>
      </c>
      <c r="J2" s="40" t="s">
        <v>127</v>
      </c>
      <c r="K2" s="40" t="s">
        <v>128</v>
      </c>
      <c r="L2" s="39" t="s">
        <v>129</v>
      </c>
      <c r="M2" s="39" t="s">
        <v>130</v>
      </c>
      <c r="N2" s="39" t="s">
        <v>131</v>
      </c>
      <c r="O2" s="40" t="s">
        <v>132</v>
      </c>
      <c r="P2" s="42" t="s">
        <v>133</v>
      </c>
      <c r="Q2" s="43" t="s">
        <v>134</v>
      </c>
      <c r="R2" s="40" t="s">
        <v>135</v>
      </c>
      <c r="S2" s="41" t="s">
        <v>136</v>
      </c>
      <c r="T2" s="44" t="s">
        <v>137</v>
      </c>
      <c r="U2" s="44" t="s">
        <v>138</v>
      </c>
      <c r="V2" s="44" t="s">
        <v>139</v>
      </c>
      <c r="W2" s="44" t="s">
        <v>140</v>
      </c>
      <c r="X2" s="44" t="s">
        <v>141</v>
      </c>
      <c r="Y2" s="44" t="s">
        <v>142</v>
      </c>
      <c r="Z2" s="45" t="s">
        <v>143</v>
      </c>
      <c r="AA2" s="45" t="s">
        <v>144</v>
      </c>
      <c r="AB2" s="45" t="s">
        <v>145</v>
      </c>
      <c r="AC2" s="45" t="s">
        <v>146</v>
      </c>
      <c r="AD2" s="45" t="s">
        <v>147</v>
      </c>
      <c r="AE2" s="45" t="s">
        <v>148</v>
      </c>
      <c r="AF2" s="45" t="s">
        <v>149</v>
      </c>
      <c r="AG2" s="45" t="s">
        <v>150</v>
      </c>
      <c r="AH2" s="45" t="s">
        <v>151</v>
      </c>
      <c r="AI2" s="44" t="s">
        <v>152</v>
      </c>
      <c r="AJ2" s="44" t="s">
        <v>153</v>
      </c>
      <c r="AK2" s="82" t="s">
        <v>154</v>
      </c>
      <c r="AL2" s="44" t="s">
        <v>155</v>
      </c>
      <c r="AM2" s="44" t="s">
        <v>156</v>
      </c>
      <c r="AN2" s="83" t="s">
        <v>157</v>
      </c>
      <c r="AO2" s="83" t="s">
        <v>158</v>
      </c>
    </row>
    <row r="3" spans="1:41" hidden="1" x14ac:dyDescent="0.25">
      <c r="A3" s="22" t="s">
        <v>159</v>
      </c>
      <c r="B3" s="2" t="s">
        <v>160</v>
      </c>
      <c r="C3" s="21">
        <v>1.8</v>
      </c>
      <c r="D3" s="23">
        <v>1100</v>
      </c>
      <c r="E3" s="23" t="s">
        <v>161</v>
      </c>
      <c r="F3" s="23" t="s">
        <v>162</v>
      </c>
      <c r="G3" s="3" t="s">
        <v>163</v>
      </c>
      <c r="H3" s="10">
        <v>34029156</v>
      </c>
      <c r="I3" s="10"/>
      <c r="J3" s="6"/>
      <c r="K3" s="21"/>
      <c r="L3" s="21" t="s">
        <v>54</v>
      </c>
      <c r="M3" s="6" t="s">
        <v>164</v>
      </c>
      <c r="N3" s="35" t="s">
        <v>165</v>
      </c>
      <c r="O3" s="12" t="s">
        <v>166</v>
      </c>
      <c r="P3" s="10" t="s">
        <v>167</v>
      </c>
      <c r="Q3" s="29" t="s">
        <v>167</v>
      </c>
      <c r="R3" s="27" t="s">
        <v>167</v>
      </c>
      <c r="S3" s="10" t="s">
        <v>167</v>
      </c>
      <c r="T3" s="13">
        <v>194.52238</v>
      </c>
      <c r="U3" s="13">
        <v>211.84826000000001</v>
      </c>
      <c r="V3" s="13">
        <v>213.42334</v>
      </c>
      <c r="W3" s="13">
        <v>127.58148</v>
      </c>
      <c r="X3" s="13">
        <v>189.00960000000001</v>
      </c>
      <c r="Y3" s="1">
        <f t="shared" ref="Y3:Y66" si="0">AVERAGE(T3:X3)</f>
        <v>187.27701199999998</v>
      </c>
      <c r="Z3" s="10" t="s">
        <v>168</v>
      </c>
      <c r="AA3" s="10" t="s">
        <v>168</v>
      </c>
      <c r="AB3" s="10" t="s">
        <v>168</v>
      </c>
      <c r="AC3" s="10" t="s">
        <v>168</v>
      </c>
      <c r="AD3" s="10" t="s">
        <v>168</v>
      </c>
      <c r="AE3" s="10" t="s">
        <v>168</v>
      </c>
      <c r="AF3" s="10" t="s">
        <v>168</v>
      </c>
      <c r="AG3" s="38">
        <f t="shared" ref="AG3:AG66" si="1">COUNTIF(Z3:AF3,"X")/7</f>
        <v>1</v>
      </c>
      <c r="AH3" s="51">
        <f t="shared" ref="AH3:AH66" si="2">IF(AG3=100%,Y3," ")</f>
        <v>187.27701199999998</v>
      </c>
      <c r="AI3" s="64">
        <v>2</v>
      </c>
      <c r="AJ3" s="72" t="s">
        <v>169</v>
      </c>
      <c r="AK3" s="65">
        <v>0</v>
      </c>
      <c r="AL3" s="1"/>
      <c r="AM3" s="80" t="s">
        <v>170</v>
      </c>
      <c r="AN3" s="81"/>
      <c r="AO3" s="81"/>
    </row>
    <row r="4" spans="1:41" s="26" customFormat="1" ht="146.25" hidden="1" x14ac:dyDescent="0.25">
      <c r="A4" s="22" t="s">
        <v>171</v>
      </c>
      <c r="B4" s="2" t="s">
        <v>172</v>
      </c>
      <c r="C4" s="21">
        <v>4.75</v>
      </c>
      <c r="D4" s="23">
        <v>1250</v>
      </c>
      <c r="E4" s="23" t="s">
        <v>161</v>
      </c>
      <c r="F4" s="23" t="s">
        <v>173</v>
      </c>
      <c r="G4" s="3" t="s">
        <v>174</v>
      </c>
      <c r="H4" s="10" t="s">
        <v>161</v>
      </c>
      <c r="I4" s="10"/>
      <c r="J4" s="6"/>
      <c r="K4" s="5"/>
      <c r="L4" s="5" t="s">
        <v>39</v>
      </c>
      <c r="M4" s="6" t="s">
        <v>175</v>
      </c>
      <c r="N4" s="6" t="s">
        <v>176</v>
      </c>
      <c r="O4" s="12" t="s">
        <v>166</v>
      </c>
      <c r="P4" s="10" t="s">
        <v>167</v>
      </c>
      <c r="Q4" s="29" t="s">
        <v>167</v>
      </c>
      <c r="R4" s="27" t="s">
        <v>167</v>
      </c>
      <c r="S4" s="10" t="s">
        <v>177</v>
      </c>
      <c r="T4" s="13">
        <v>67.237323999999987</v>
      </c>
      <c r="U4" s="13">
        <v>68.395356000000007</v>
      </c>
      <c r="V4" s="13">
        <v>89.373863999999998</v>
      </c>
      <c r="W4" s="13">
        <v>82.735722000000024</v>
      </c>
      <c r="X4" s="13">
        <v>82.275846000000001</v>
      </c>
      <c r="Y4" s="1">
        <f t="shared" si="0"/>
        <v>78.003622400000012</v>
      </c>
      <c r="Z4" s="10" t="s">
        <v>168</v>
      </c>
      <c r="AA4" s="10" t="s">
        <v>168</v>
      </c>
      <c r="AB4" s="10" t="s">
        <v>168</v>
      </c>
      <c r="AC4" s="10" t="s">
        <v>168</v>
      </c>
      <c r="AD4" s="10" t="s">
        <v>168</v>
      </c>
      <c r="AE4" s="10" t="s">
        <v>168</v>
      </c>
      <c r="AF4" s="10" t="s">
        <v>168</v>
      </c>
      <c r="AG4" s="38">
        <f t="shared" si="1"/>
        <v>1</v>
      </c>
      <c r="AH4" s="51">
        <f t="shared" si="2"/>
        <v>78.003622400000012</v>
      </c>
      <c r="AI4" s="64">
        <v>25</v>
      </c>
      <c r="AJ4" s="74" t="s">
        <v>178</v>
      </c>
      <c r="AK4" s="65">
        <v>43147.96</v>
      </c>
      <c r="AL4" s="1"/>
      <c r="AM4" s="2" t="s">
        <v>179</v>
      </c>
      <c r="AN4" s="81">
        <v>46082</v>
      </c>
      <c r="AO4" s="81" t="s">
        <v>180</v>
      </c>
    </row>
    <row r="5" spans="1:41" s="26" customFormat="1" hidden="1" x14ac:dyDescent="0.25">
      <c r="A5" s="22" t="s">
        <v>181</v>
      </c>
      <c r="B5" s="2" t="s">
        <v>172</v>
      </c>
      <c r="C5" s="21">
        <v>2.85</v>
      </c>
      <c r="D5" s="23">
        <v>885</v>
      </c>
      <c r="E5" s="23" t="s">
        <v>161</v>
      </c>
      <c r="F5" s="23" t="s">
        <v>182</v>
      </c>
      <c r="G5" s="3" t="s">
        <v>183</v>
      </c>
      <c r="H5" s="10" t="s">
        <v>161</v>
      </c>
      <c r="I5" s="10"/>
      <c r="J5" s="6"/>
      <c r="K5" s="21"/>
      <c r="L5" s="21" t="s">
        <v>39</v>
      </c>
      <c r="M5" s="6" t="s">
        <v>184</v>
      </c>
      <c r="N5" s="6" t="s">
        <v>185</v>
      </c>
      <c r="O5" s="12" t="s">
        <v>166</v>
      </c>
      <c r="P5" s="10" t="s">
        <v>167</v>
      </c>
      <c r="Q5" s="29" t="s">
        <v>167</v>
      </c>
      <c r="R5" s="27" t="s">
        <v>167</v>
      </c>
      <c r="S5" s="10" t="s">
        <v>167</v>
      </c>
      <c r="T5" s="13">
        <v>75.626999999999995</v>
      </c>
      <c r="U5" s="13">
        <v>67.224000000000004</v>
      </c>
      <c r="V5" s="13">
        <v>73.509444000000002</v>
      </c>
      <c r="W5" s="13">
        <v>75.324491999999992</v>
      </c>
      <c r="X5" s="13">
        <v>76.837032000000008</v>
      </c>
      <c r="Y5" s="1">
        <f t="shared" si="0"/>
        <v>73.704393600000003</v>
      </c>
      <c r="Z5" s="10" t="s">
        <v>168</v>
      </c>
      <c r="AA5" s="10" t="s">
        <v>168</v>
      </c>
      <c r="AB5" s="10" t="s">
        <v>168</v>
      </c>
      <c r="AC5" s="10" t="s">
        <v>168</v>
      </c>
      <c r="AD5" s="10" t="s">
        <v>168</v>
      </c>
      <c r="AE5" s="10" t="s">
        <v>168</v>
      </c>
      <c r="AF5" s="10" t="s">
        <v>168</v>
      </c>
      <c r="AG5" s="38">
        <f t="shared" si="1"/>
        <v>1</v>
      </c>
      <c r="AH5" s="51">
        <f t="shared" si="2"/>
        <v>73.704393600000003</v>
      </c>
      <c r="AI5" s="64">
        <v>1</v>
      </c>
      <c r="AJ5" s="72" t="s">
        <v>186</v>
      </c>
      <c r="AK5" s="65">
        <v>4163.2700000000004</v>
      </c>
      <c r="AL5" s="1"/>
      <c r="AM5" s="1" t="s">
        <v>187</v>
      </c>
      <c r="AN5" s="81">
        <v>46143</v>
      </c>
      <c r="AO5" s="81" t="s">
        <v>180</v>
      </c>
    </row>
    <row r="6" spans="1:41" s="26" customFormat="1" hidden="1" x14ac:dyDescent="0.25">
      <c r="A6" s="22" t="s">
        <v>188</v>
      </c>
      <c r="B6" s="2" t="s">
        <v>189</v>
      </c>
      <c r="C6" s="21">
        <v>1.2</v>
      </c>
      <c r="D6" s="23">
        <v>500</v>
      </c>
      <c r="E6" s="23" t="s">
        <v>161</v>
      </c>
      <c r="F6" s="23"/>
      <c r="G6" s="3" t="s">
        <v>190</v>
      </c>
      <c r="H6" s="12">
        <v>34025664</v>
      </c>
      <c r="I6" s="10"/>
      <c r="J6" s="4"/>
      <c r="K6" s="5"/>
      <c r="L6" s="5" t="s">
        <v>191</v>
      </c>
      <c r="M6" s="4" t="s">
        <v>192</v>
      </c>
      <c r="N6" s="4" t="s">
        <v>193</v>
      </c>
      <c r="O6" s="12" t="s">
        <v>166</v>
      </c>
      <c r="P6" s="12" t="s">
        <v>167</v>
      </c>
      <c r="Q6" s="30" t="s">
        <v>167</v>
      </c>
      <c r="R6" s="27" t="s">
        <v>167</v>
      </c>
      <c r="S6" s="10" t="s">
        <v>167</v>
      </c>
      <c r="T6" s="78">
        <v>54.734399999999994</v>
      </c>
      <c r="U6" s="78">
        <v>52.453799999999994</v>
      </c>
      <c r="V6" s="78">
        <v>54.734399999999994</v>
      </c>
      <c r="W6" s="78">
        <v>48.652799999999999</v>
      </c>
      <c r="X6" s="78">
        <v>72.979199999999977</v>
      </c>
      <c r="Y6" s="76">
        <f t="shared" si="0"/>
        <v>56.710920000000002</v>
      </c>
      <c r="Z6" s="10" t="s">
        <v>168</v>
      </c>
      <c r="AA6" s="10" t="s">
        <v>168</v>
      </c>
      <c r="AB6" s="10" t="s">
        <v>168</v>
      </c>
      <c r="AC6" s="10" t="s">
        <v>168</v>
      </c>
      <c r="AD6" s="10" t="s">
        <v>168</v>
      </c>
      <c r="AE6" s="10" t="s">
        <v>168</v>
      </c>
      <c r="AF6" s="10" t="s">
        <v>168</v>
      </c>
      <c r="AG6" s="38">
        <f t="shared" si="1"/>
        <v>1</v>
      </c>
      <c r="AH6" s="51">
        <f t="shared" si="2"/>
        <v>56.710920000000002</v>
      </c>
      <c r="AI6" s="64">
        <v>2</v>
      </c>
      <c r="AJ6" s="72" t="s">
        <v>194</v>
      </c>
      <c r="AK6" s="65">
        <v>0</v>
      </c>
      <c r="AL6" s="1"/>
      <c r="AM6" s="1" t="s">
        <v>195</v>
      </c>
      <c r="AN6" s="81"/>
      <c r="AO6" s="81"/>
    </row>
    <row r="7" spans="1:41" s="26" customFormat="1" hidden="1" x14ac:dyDescent="0.25">
      <c r="A7" s="22" t="s">
        <v>196</v>
      </c>
      <c r="B7" s="2" t="s">
        <v>197</v>
      </c>
      <c r="C7" s="21">
        <v>1</v>
      </c>
      <c r="D7" s="23">
        <v>1350</v>
      </c>
      <c r="E7" s="23">
        <v>315</v>
      </c>
      <c r="F7" s="77">
        <v>7.4999999999999997E-2</v>
      </c>
      <c r="G7" s="3" t="s">
        <v>198</v>
      </c>
      <c r="H7" s="10" t="s">
        <v>199</v>
      </c>
      <c r="I7" s="10"/>
      <c r="J7" s="6"/>
      <c r="K7" s="21"/>
      <c r="L7" s="21" t="s">
        <v>53</v>
      </c>
      <c r="M7" s="6" t="s">
        <v>164</v>
      </c>
      <c r="N7" s="35" t="s">
        <v>165</v>
      </c>
      <c r="O7" s="12" t="s">
        <v>166</v>
      </c>
      <c r="P7" s="10" t="s">
        <v>167</v>
      </c>
      <c r="Q7" s="29" t="s">
        <v>167</v>
      </c>
      <c r="R7" s="27" t="s">
        <v>167</v>
      </c>
      <c r="S7" s="10" t="s">
        <v>167</v>
      </c>
      <c r="T7" s="13">
        <v>53.573211999999998</v>
      </c>
      <c r="U7" s="13">
        <v>60.627336</v>
      </c>
      <c r="V7" s="13">
        <v>61.00864</v>
      </c>
      <c r="W7" s="13">
        <v>36.414532000000001</v>
      </c>
      <c r="X7" s="13">
        <v>54.240494000000005</v>
      </c>
      <c r="Y7" s="1">
        <f t="shared" si="0"/>
        <v>53.172842799999998</v>
      </c>
      <c r="Z7" s="10" t="s">
        <v>168</v>
      </c>
      <c r="AA7" s="10" t="s">
        <v>168</v>
      </c>
      <c r="AB7" s="10" t="s">
        <v>168</v>
      </c>
      <c r="AC7" s="10" t="s">
        <v>168</v>
      </c>
      <c r="AD7" s="10" t="s">
        <v>168</v>
      </c>
      <c r="AE7" s="10" t="s">
        <v>168</v>
      </c>
      <c r="AF7" s="10" t="s">
        <v>168</v>
      </c>
      <c r="AG7" s="38">
        <f t="shared" si="1"/>
        <v>1</v>
      </c>
      <c r="AH7" s="51">
        <f t="shared" si="2"/>
        <v>53.172842799999998</v>
      </c>
      <c r="AI7" s="64">
        <v>2</v>
      </c>
      <c r="AJ7" s="72" t="s">
        <v>200</v>
      </c>
      <c r="AK7" s="65">
        <v>0</v>
      </c>
      <c r="AL7" s="1"/>
      <c r="AM7" s="1" t="s">
        <v>201</v>
      </c>
      <c r="AN7" s="81"/>
      <c r="AO7" s="81"/>
    </row>
    <row r="8" spans="1:41" s="26" customFormat="1" hidden="1" x14ac:dyDescent="0.25">
      <c r="A8" s="22" t="s">
        <v>202</v>
      </c>
      <c r="B8" s="2" t="s">
        <v>203</v>
      </c>
      <c r="C8" s="21">
        <v>1.8</v>
      </c>
      <c r="D8" s="23">
        <v>750</v>
      </c>
      <c r="E8" s="23">
        <v>640</v>
      </c>
      <c r="F8" s="23"/>
      <c r="G8" s="3" t="s">
        <v>204</v>
      </c>
      <c r="H8" s="12">
        <v>34025705</v>
      </c>
      <c r="I8" s="10"/>
      <c r="J8" s="4"/>
      <c r="K8" s="5"/>
      <c r="L8" s="5" t="s">
        <v>191</v>
      </c>
      <c r="M8" s="4" t="s">
        <v>164</v>
      </c>
      <c r="N8" s="36" t="s">
        <v>165</v>
      </c>
      <c r="O8" s="12" t="s">
        <v>166</v>
      </c>
      <c r="P8" s="12" t="s">
        <v>167</v>
      </c>
      <c r="Q8" s="30" t="s">
        <v>167</v>
      </c>
      <c r="R8" s="27" t="s">
        <v>205</v>
      </c>
      <c r="S8" s="10" t="s">
        <v>167</v>
      </c>
      <c r="T8" s="13">
        <v>41.85472</v>
      </c>
      <c r="U8" s="13">
        <v>47.74054000000001</v>
      </c>
      <c r="V8" s="13">
        <v>48.394520000000007</v>
      </c>
      <c r="W8" s="13">
        <v>29.429100000000002</v>
      </c>
      <c r="X8" s="13">
        <v>42.508699999999997</v>
      </c>
      <c r="Y8" s="1">
        <f t="shared" si="0"/>
        <v>41.985516000000004</v>
      </c>
      <c r="Z8" s="10" t="s">
        <v>168</v>
      </c>
      <c r="AA8" s="10" t="s">
        <v>168</v>
      </c>
      <c r="AB8" s="10" t="s">
        <v>168</v>
      </c>
      <c r="AC8" s="10" t="s">
        <v>168</v>
      </c>
      <c r="AD8" s="10" t="s">
        <v>168</v>
      </c>
      <c r="AE8" s="10" t="s">
        <v>168</v>
      </c>
      <c r="AF8" s="10" t="s">
        <v>168</v>
      </c>
      <c r="AG8" s="38">
        <f t="shared" si="1"/>
        <v>1</v>
      </c>
      <c r="AH8" s="51">
        <f t="shared" si="2"/>
        <v>41.985516000000004</v>
      </c>
      <c r="AI8" s="64">
        <v>2</v>
      </c>
      <c r="AJ8" s="84" t="s">
        <v>206</v>
      </c>
      <c r="AK8" s="65">
        <f>16000/12</f>
        <v>1333.3333333333333</v>
      </c>
      <c r="AL8" s="1"/>
      <c r="AM8" s="76" t="s">
        <v>207</v>
      </c>
      <c r="AN8" s="81"/>
      <c r="AO8" s="81" t="s">
        <v>180</v>
      </c>
    </row>
    <row r="9" spans="1:41" s="26" customFormat="1" ht="33.75" hidden="1" x14ac:dyDescent="0.25">
      <c r="A9" s="22" t="s">
        <v>208</v>
      </c>
      <c r="B9" s="2" t="s">
        <v>172</v>
      </c>
      <c r="C9" s="21">
        <v>1.8</v>
      </c>
      <c r="D9" s="23">
        <v>366</v>
      </c>
      <c r="E9" s="23">
        <v>840</v>
      </c>
      <c r="F9" s="77">
        <v>7.4999999999999997E-2</v>
      </c>
      <c r="G9" s="3" t="s">
        <v>209</v>
      </c>
      <c r="H9" s="10" t="s">
        <v>161</v>
      </c>
      <c r="I9" s="10"/>
      <c r="J9" s="6"/>
      <c r="K9" s="21"/>
      <c r="L9" s="21" t="s">
        <v>36</v>
      </c>
      <c r="M9" s="6" t="s">
        <v>210</v>
      </c>
      <c r="N9" s="6" t="s">
        <v>211</v>
      </c>
      <c r="O9" s="12" t="s">
        <v>166</v>
      </c>
      <c r="P9" s="10" t="s">
        <v>167</v>
      </c>
      <c r="Q9" s="29" t="s">
        <v>167</v>
      </c>
      <c r="R9" s="27" t="s">
        <v>167</v>
      </c>
      <c r="S9" s="10" t="s">
        <v>177</v>
      </c>
      <c r="T9" s="13">
        <v>24.0702</v>
      </c>
      <c r="U9" s="13">
        <v>42.526631999999999</v>
      </c>
      <c r="V9" s="13">
        <v>48.189152</v>
      </c>
      <c r="W9" s="13">
        <v>36.419423999999999</v>
      </c>
      <c r="X9" s="13">
        <v>42.402071999999997</v>
      </c>
      <c r="Y9" s="1">
        <f t="shared" si="0"/>
        <v>38.721496000000002</v>
      </c>
      <c r="Z9" s="10" t="s">
        <v>168</v>
      </c>
      <c r="AA9" s="10" t="s">
        <v>168</v>
      </c>
      <c r="AB9" s="10" t="s">
        <v>168</v>
      </c>
      <c r="AC9" s="10" t="s">
        <v>168</v>
      </c>
      <c r="AD9" s="10" t="s">
        <v>168</v>
      </c>
      <c r="AE9" s="10" t="s">
        <v>168</v>
      </c>
      <c r="AF9" s="10" t="s">
        <v>168</v>
      </c>
      <c r="AG9" s="38">
        <f t="shared" si="1"/>
        <v>1</v>
      </c>
      <c r="AH9" s="51">
        <f t="shared" si="2"/>
        <v>38.721496000000002</v>
      </c>
      <c r="AI9" s="64">
        <v>2</v>
      </c>
      <c r="AJ9" s="72" t="s">
        <v>212</v>
      </c>
      <c r="AK9" s="65">
        <v>20109.23</v>
      </c>
      <c r="AL9" s="1"/>
      <c r="AM9" s="62" t="s">
        <v>213</v>
      </c>
      <c r="AN9" s="81">
        <v>46113</v>
      </c>
      <c r="AO9" s="81" t="s">
        <v>180</v>
      </c>
    </row>
    <row r="10" spans="1:41" s="26" customFormat="1" hidden="1" x14ac:dyDescent="0.25">
      <c r="A10" s="3" t="s">
        <v>214</v>
      </c>
      <c r="B10" s="2" t="s">
        <v>197</v>
      </c>
      <c r="C10" s="21">
        <v>1</v>
      </c>
      <c r="D10" s="23">
        <v>1200</v>
      </c>
      <c r="E10" s="23" t="s">
        <v>161</v>
      </c>
      <c r="F10" s="23" t="s">
        <v>215</v>
      </c>
      <c r="G10" s="3" t="s">
        <v>216</v>
      </c>
      <c r="H10" s="12" t="s">
        <v>161</v>
      </c>
      <c r="I10" s="10"/>
      <c r="J10" s="4"/>
      <c r="K10" s="5"/>
      <c r="L10" s="5" t="s">
        <v>39</v>
      </c>
      <c r="M10" s="4" t="s">
        <v>217</v>
      </c>
      <c r="N10" s="4" t="s">
        <v>218</v>
      </c>
      <c r="O10" s="12" t="s">
        <v>166</v>
      </c>
      <c r="P10" s="12" t="s">
        <v>167</v>
      </c>
      <c r="Q10" s="30" t="s">
        <v>167</v>
      </c>
      <c r="R10" s="27" t="s">
        <v>167</v>
      </c>
      <c r="S10" s="10" t="s">
        <v>167</v>
      </c>
      <c r="T10" s="13">
        <v>31.936499999999995</v>
      </c>
      <c r="U10" s="13">
        <v>32.148000000000003</v>
      </c>
      <c r="V10" s="13">
        <v>55.339680000000001</v>
      </c>
      <c r="W10" s="13">
        <v>31.02</v>
      </c>
      <c r="X10" s="13">
        <v>34.742400000000004</v>
      </c>
      <c r="Y10" s="1">
        <f t="shared" si="0"/>
        <v>37.037315999999997</v>
      </c>
      <c r="Z10" s="10" t="s">
        <v>168</v>
      </c>
      <c r="AA10" s="10" t="s">
        <v>168</v>
      </c>
      <c r="AB10" s="10" t="s">
        <v>168</v>
      </c>
      <c r="AC10" s="10" t="s">
        <v>168</v>
      </c>
      <c r="AD10" s="10" t="s">
        <v>168</v>
      </c>
      <c r="AE10" s="10" t="s">
        <v>168</v>
      </c>
      <c r="AF10" s="10" t="s">
        <v>168</v>
      </c>
      <c r="AG10" s="38">
        <f t="shared" si="1"/>
        <v>1</v>
      </c>
      <c r="AH10" s="51">
        <f t="shared" si="2"/>
        <v>37.037315999999997</v>
      </c>
      <c r="AI10" s="64">
        <v>2</v>
      </c>
      <c r="AJ10" s="72" t="s">
        <v>219</v>
      </c>
      <c r="AK10" s="65">
        <v>21877.25</v>
      </c>
      <c r="AL10" s="1"/>
      <c r="AM10" s="1" t="s">
        <v>187</v>
      </c>
      <c r="AN10" s="81">
        <v>46113</v>
      </c>
      <c r="AO10" s="81" t="s">
        <v>180</v>
      </c>
    </row>
    <row r="11" spans="1:41" s="26" customFormat="1" hidden="1" x14ac:dyDescent="0.25">
      <c r="A11" s="22" t="s">
        <v>46</v>
      </c>
      <c r="B11" s="2" t="s">
        <v>160</v>
      </c>
      <c r="C11" s="21">
        <v>1.8</v>
      </c>
      <c r="D11" s="23">
        <v>1450</v>
      </c>
      <c r="E11" s="23" t="s">
        <v>161</v>
      </c>
      <c r="F11" s="23" t="s">
        <v>220</v>
      </c>
      <c r="G11" s="3" t="s">
        <v>221</v>
      </c>
      <c r="H11" s="10">
        <v>34029203</v>
      </c>
      <c r="I11" s="10"/>
      <c r="J11" s="6"/>
      <c r="K11" s="21"/>
      <c r="L11" s="21" t="s">
        <v>54</v>
      </c>
      <c r="M11" s="6" t="s">
        <v>164</v>
      </c>
      <c r="N11" s="35" t="s">
        <v>165</v>
      </c>
      <c r="O11" s="12" t="s">
        <v>166</v>
      </c>
      <c r="P11" s="10" t="s">
        <v>167</v>
      </c>
      <c r="Q11" s="29" t="s">
        <v>167</v>
      </c>
      <c r="R11" s="27" t="s">
        <v>167</v>
      </c>
      <c r="S11" s="10" t="s">
        <v>167</v>
      </c>
      <c r="T11" s="13">
        <v>34.166407</v>
      </c>
      <c r="U11" s="13">
        <v>40.171800000000005</v>
      </c>
      <c r="V11" s="13">
        <v>43.664999999999999</v>
      </c>
      <c r="W11" s="13">
        <v>13.972799999999999</v>
      </c>
      <c r="X11" s="13">
        <v>47.158199999999994</v>
      </c>
      <c r="Y11" s="1">
        <f t="shared" si="0"/>
        <v>35.826841399999999</v>
      </c>
      <c r="Z11" s="10" t="s">
        <v>168</v>
      </c>
      <c r="AA11" s="10" t="s">
        <v>168</v>
      </c>
      <c r="AB11" s="10" t="s">
        <v>168</v>
      </c>
      <c r="AC11" s="10" t="s">
        <v>168</v>
      </c>
      <c r="AD11" s="10" t="s">
        <v>168</v>
      </c>
      <c r="AE11" s="10" t="s">
        <v>168</v>
      </c>
      <c r="AF11" s="10" t="s">
        <v>168</v>
      </c>
      <c r="AG11" s="38">
        <f t="shared" si="1"/>
        <v>1</v>
      </c>
      <c r="AH11" s="51">
        <f t="shared" si="2"/>
        <v>35.826841399999999</v>
      </c>
      <c r="AI11" s="64">
        <v>2</v>
      </c>
      <c r="AJ11" s="72" t="s">
        <v>222</v>
      </c>
      <c r="AK11" s="65">
        <v>18301.009999999998</v>
      </c>
      <c r="AL11" s="1"/>
      <c r="AM11" s="1" t="s">
        <v>223</v>
      </c>
      <c r="AN11" s="81">
        <v>46174</v>
      </c>
      <c r="AO11" s="81"/>
    </row>
    <row r="12" spans="1:41" s="26" customFormat="1" hidden="1" x14ac:dyDescent="0.25">
      <c r="A12" s="22" t="s">
        <v>224</v>
      </c>
      <c r="B12" s="2" t="s">
        <v>203</v>
      </c>
      <c r="C12" s="21">
        <v>1.8</v>
      </c>
      <c r="D12" s="23">
        <v>400</v>
      </c>
      <c r="E12" s="23">
        <v>900</v>
      </c>
      <c r="F12" s="23"/>
      <c r="G12" s="3" t="s">
        <v>225</v>
      </c>
      <c r="H12" s="10">
        <v>34025704</v>
      </c>
      <c r="I12" s="10"/>
      <c r="J12" s="6"/>
      <c r="K12" s="21"/>
      <c r="L12" s="21" t="s">
        <v>191</v>
      </c>
      <c r="M12" s="6" t="s">
        <v>164</v>
      </c>
      <c r="N12" s="35" t="s">
        <v>165</v>
      </c>
      <c r="O12" s="12" t="s">
        <v>166</v>
      </c>
      <c r="P12" s="10" t="s">
        <v>167</v>
      </c>
      <c r="Q12" s="29" t="s">
        <v>167</v>
      </c>
      <c r="R12" s="27" t="s">
        <v>167</v>
      </c>
      <c r="S12" s="10" t="s">
        <v>167</v>
      </c>
      <c r="T12" s="13">
        <v>33.788051999999993</v>
      </c>
      <c r="U12" s="13">
        <v>35.502499999999998</v>
      </c>
      <c r="V12" s="13">
        <v>38.084499999999998</v>
      </c>
      <c r="W12" s="13">
        <v>16.783000000000001</v>
      </c>
      <c r="X12" s="13">
        <v>36.793500000000002</v>
      </c>
      <c r="Y12" s="1">
        <f t="shared" si="0"/>
        <v>32.190310400000001</v>
      </c>
      <c r="Z12" s="10" t="s">
        <v>168</v>
      </c>
      <c r="AA12" s="10" t="s">
        <v>168</v>
      </c>
      <c r="AB12" s="10" t="s">
        <v>168</v>
      </c>
      <c r="AC12" s="10" t="s">
        <v>168</v>
      </c>
      <c r="AD12" s="10" t="s">
        <v>168</v>
      </c>
      <c r="AE12" s="10" t="s">
        <v>168</v>
      </c>
      <c r="AF12" s="10" t="s">
        <v>168</v>
      </c>
      <c r="AG12" s="38">
        <f t="shared" si="1"/>
        <v>1</v>
      </c>
      <c r="AH12" s="51">
        <f t="shared" si="2"/>
        <v>32.190310400000001</v>
      </c>
      <c r="AI12" s="64">
        <v>2</v>
      </c>
      <c r="AJ12" s="85" t="s">
        <v>226</v>
      </c>
      <c r="AK12" s="65">
        <v>5385.33</v>
      </c>
      <c r="AL12" s="1"/>
      <c r="AM12" s="1" t="s">
        <v>227</v>
      </c>
      <c r="AN12" s="81">
        <v>46204</v>
      </c>
      <c r="AO12" s="81" t="s">
        <v>180</v>
      </c>
    </row>
    <row r="13" spans="1:41" s="26" customFormat="1" hidden="1" x14ac:dyDescent="0.25">
      <c r="A13" s="22" t="s">
        <v>228</v>
      </c>
      <c r="B13" s="2" t="s">
        <v>160</v>
      </c>
      <c r="C13" s="21">
        <v>1.8</v>
      </c>
      <c r="D13" s="23">
        <v>325</v>
      </c>
      <c r="E13" s="23">
        <v>630</v>
      </c>
      <c r="F13" s="77">
        <v>7.4999999999999997E-2</v>
      </c>
      <c r="G13" s="3" t="s">
        <v>229</v>
      </c>
      <c r="H13" s="10" t="s">
        <v>230</v>
      </c>
      <c r="I13" s="10"/>
      <c r="J13" s="6"/>
      <c r="K13" s="21"/>
      <c r="L13" s="21" t="s">
        <v>53</v>
      </c>
      <c r="M13" s="6" t="s">
        <v>164</v>
      </c>
      <c r="N13" s="35" t="s">
        <v>165</v>
      </c>
      <c r="O13" s="12" t="s">
        <v>166</v>
      </c>
      <c r="P13" s="10" t="s">
        <v>167</v>
      </c>
      <c r="Q13" s="29" t="s">
        <v>167</v>
      </c>
      <c r="R13" s="27" t="s">
        <v>167</v>
      </c>
      <c r="S13" s="10" t="s">
        <v>167</v>
      </c>
      <c r="T13" s="13">
        <v>33.5595</v>
      </c>
      <c r="U13" s="13">
        <v>36.140999999999998</v>
      </c>
      <c r="V13" s="13">
        <v>36.399149999999999</v>
      </c>
      <c r="W13" s="13">
        <v>21.684600000000003</v>
      </c>
      <c r="X13" s="13">
        <v>32.268749999999997</v>
      </c>
      <c r="Y13" s="1">
        <f t="shared" si="0"/>
        <v>32.010599999999997</v>
      </c>
      <c r="Z13" s="10" t="s">
        <v>168</v>
      </c>
      <c r="AA13" s="10" t="s">
        <v>168</v>
      </c>
      <c r="AB13" s="10" t="s">
        <v>168</v>
      </c>
      <c r="AC13" s="10" t="s">
        <v>168</v>
      </c>
      <c r="AD13" s="10" t="s">
        <v>168</v>
      </c>
      <c r="AE13" s="10" t="s">
        <v>168</v>
      </c>
      <c r="AF13" s="10" t="s">
        <v>168</v>
      </c>
      <c r="AG13" s="38">
        <f t="shared" si="1"/>
        <v>1</v>
      </c>
      <c r="AH13" s="51">
        <f t="shared" si="2"/>
        <v>32.010599999999997</v>
      </c>
      <c r="AI13" s="64">
        <v>4</v>
      </c>
      <c r="AJ13" s="85" t="s">
        <v>231</v>
      </c>
      <c r="AK13" s="65">
        <v>0</v>
      </c>
      <c r="AL13" s="1"/>
      <c r="AM13" s="1" t="s">
        <v>232</v>
      </c>
      <c r="AN13" s="81"/>
      <c r="AO13" s="81"/>
    </row>
    <row r="14" spans="1:41" s="26" customFormat="1" ht="22.5" hidden="1" x14ac:dyDescent="0.25">
      <c r="A14" s="22" t="s">
        <v>233</v>
      </c>
      <c r="B14" s="2" t="s">
        <v>160</v>
      </c>
      <c r="C14" s="21">
        <v>0.65</v>
      </c>
      <c r="D14" s="23">
        <v>1050</v>
      </c>
      <c r="E14" s="23" t="s">
        <v>161</v>
      </c>
      <c r="F14" s="23"/>
      <c r="G14" s="3" t="s">
        <v>234</v>
      </c>
      <c r="H14" s="12" t="s">
        <v>161</v>
      </c>
      <c r="I14" s="10"/>
      <c r="J14" s="4"/>
      <c r="K14" s="5"/>
      <c r="L14" s="5" t="s">
        <v>39</v>
      </c>
      <c r="M14" s="4" t="s">
        <v>217</v>
      </c>
      <c r="N14" s="4"/>
      <c r="O14" s="12" t="s">
        <v>166</v>
      </c>
      <c r="P14" s="12" t="s">
        <v>167</v>
      </c>
      <c r="Q14" s="30" t="s">
        <v>167</v>
      </c>
      <c r="R14" s="27" t="s">
        <v>167</v>
      </c>
      <c r="S14" s="10" t="s">
        <v>167</v>
      </c>
      <c r="T14" s="13">
        <v>25.185120000000001</v>
      </c>
      <c r="U14" s="13">
        <v>33.347760000000001</v>
      </c>
      <c r="V14" s="13">
        <v>38.936480000000003</v>
      </c>
      <c r="W14" s="13">
        <v>30.33296</v>
      </c>
      <c r="X14" s="13">
        <v>31.623840000000001</v>
      </c>
      <c r="Y14" s="1">
        <f t="shared" si="0"/>
        <v>31.885232000000002</v>
      </c>
      <c r="Z14" s="10" t="s">
        <v>168</v>
      </c>
      <c r="AA14" s="10" t="s">
        <v>168</v>
      </c>
      <c r="AB14" s="10" t="s">
        <v>168</v>
      </c>
      <c r="AC14" s="10" t="s">
        <v>168</v>
      </c>
      <c r="AD14" s="10" t="s">
        <v>168</v>
      </c>
      <c r="AE14" s="10" t="s">
        <v>168</v>
      </c>
      <c r="AF14" s="10" t="s">
        <v>168</v>
      </c>
      <c r="AG14" s="38">
        <f t="shared" si="1"/>
        <v>1</v>
      </c>
      <c r="AH14" s="51">
        <f t="shared" si="2"/>
        <v>31.885232000000002</v>
      </c>
      <c r="AI14" s="64">
        <v>6</v>
      </c>
      <c r="AJ14" s="22" t="s">
        <v>235</v>
      </c>
      <c r="AK14" s="65">
        <v>6282.89</v>
      </c>
      <c r="AL14" s="1"/>
      <c r="AM14" s="1" t="s">
        <v>236</v>
      </c>
      <c r="AN14" s="81">
        <v>46204</v>
      </c>
      <c r="AO14" s="81" t="s">
        <v>180</v>
      </c>
    </row>
    <row r="15" spans="1:41" s="26" customFormat="1" hidden="1" x14ac:dyDescent="0.25">
      <c r="A15" s="22" t="s">
        <v>237</v>
      </c>
      <c r="B15" s="2" t="s">
        <v>172</v>
      </c>
      <c r="C15" s="21">
        <v>6.3</v>
      </c>
      <c r="D15" s="23">
        <v>1200</v>
      </c>
      <c r="E15" s="23" t="s">
        <v>161</v>
      </c>
      <c r="F15" s="23"/>
      <c r="G15" s="3" t="s">
        <v>238</v>
      </c>
      <c r="H15" s="12" t="s">
        <v>161</v>
      </c>
      <c r="I15" s="12"/>
      <c r="J15" s="4"/>
      <c r="K15" s="5"/>
      <c r="L15" s="21" t="s">
        <v>36</v>
      </c>
      <c r="M15" s="4" t="s">
        <v>239</v>
      </c>
      <c r="N15" s="4" t="s">
        <v>240</v>
      </c>
      <c r="O15" s="12" t="s">
        <v>166</v>
      </c>
      <c r="P15" s="12" t="s">
        <v>167</v>
      </c>
      <c r="Q15" s="30" t="s">
        <v>167</v>
      </c>
      <c r="R15" s="27" t="s">
        <v>167</v>
      </c>
      <c r="S15" s="12" t="s">
        <v>177</v>
      </c>
      <c r="T15" s="13">
        <v>28.061085000000002</v>
      </c>
      <c r="U15" s="13">
        <v>27.691590000000005</v>
      </c>
      <c r="V15" s="13">
        <v>36.252684000000002</v>
      </c>
      <c r="W15" s="13">
        <v>33.390630000000002</v>
      </c>
      <c r="X15" s="13">
        <v>33.390630000000002</v>
      </c>
      <c r="Y15" s="1">
        <f t="shared" si="0"/>
        <v>31.757323800000005</v>
      </c>
      <c r="Z15" s="10" t="s">
        <v>168</v>
      </c>
      <c r="AA15" s="10" t="s">
        <v>168</v>
      </c>
      <c r="AB15" s="10" t="s">
        <v>168</v>
      </c>
      <c r="AC15" s="10" t="s">
        <v>168</v>
      </c>
      <c r="AD15" s="10" t="s">
        <v>168</v>
      </c>
      <c r="AE15" s="10" t="s">
        <v>168</v>
      </c>
      <c r="AF15" s="10" t="s">
        <v>168</v>
      </c>
      <c r="AG15" s="38">
        <f t="shared" si="1"/>
        <v>1</v>
      </c>
      <c r="AH15" s="51">
        <f t="shared" si="2"/>
        <v>31.757323800000005</v>
      </c>
      <c r="AI15" s="64">
        <v>1</v>
      </c>
      <c r="AJ15" s="72" t="s">
        <v>241</v>
      </c>
      <c r="AK15" s="65">
        <v>0</v>
      </c>
      <c r="AL15" s="1"/>
      <c r="AM15" s="1" t="s">
        <v>242</v>
      </c>
      <c r="AN15" s="81"/>
      <c r="AO15" s="81"/>
    </row>
    <row r="16" spans="1:41" s="26" customFormat="1" ht="33.75" hidden="1" x14ac:dyDescent="0.25">
      <c r="A16" s="22" t="s">
        <v>243</v>
      </c>
      <c r="B16" s="2" t="s">
        <v>160</v>
      </c>
      <c r="C16" s="21">
        <v>1.5</v>
      </c>
      <c r="D16" s="23">
        <v>1000</v>
      </c>
      <c r="E16" s="23" t="s">
        <v>161</v>
      </c>
      <c r="F16" s="23" t="s">
        <v>10</v>
      </c>
      <c r="G16" s="3" t="s">
        <v>244</v>
      </c>
      <c r="H16" s="12" t="s">
        <v>161</v>
      </c>
      <c r="I16" s="12"/>
      <c r="J16" s="4"/>
      <c r="K16" s="5"/>
      <c r="L16" s="5" t="s">
        <v>39</v>
      </c>
      <c r="M16" s="4" t="s">
        <v>217</v>
      </c>
      <c r="N16" s="4" t="s">
        <v>218</v>
      </c>
      <c r="O16" s="12" t="s">
        <v>166</v>
      </c>
      <c r="P16" s="12" t="s">
        <v>167</v>
      </c>
      <c r="Q16" s="30" t="s">
        <v>167</v>
      </c>
      <c r="R16" s="27" t="s">
        <v>167</v>
      </c>
      <c r="S16" s="12" t="s">
        <v>167</v>
      </c>
      <c r="T16" s="13">
        <v>26.850940000000001</v>
      </c>
      <c r="U16" s="13">
        <v>29.996158000000001</v>
      </c>
      <c r="V16" s="13">
        <v>38.147038000000002</v>
      </c>
      <c r="W16" s="13">
        <v>31.483694</v>
      </c>
      <c r="X16" s="13">
        <v>27.176200000000001</v>
      </c>
      <c r="Y16" s="1">
        <f t="shared" si="0"/>
        <v>30.730806000000001</v>
      </c>
      <c r="Z16" s="10" t="s">
        <v>168</v>
      </c>
      <c r="AA16" s="10" t="s">
        <v>168</v>
      </c>
      <c r="AB16" s="10" t="s">
        <v>168</v>
      </c>
      <c r="AC16" s="10" t="s">
        <v>168</v>
      </c>
      <c r="AD16" s="10" t="s">
        <v>168</v>
      </c>
      <c r="AE16" s="10" t="s">
        <v>168</v>
      </c>
      <c r="AF16" s="10" t="s">
        <v>168</v>
      </c>
      <c r="AG16" s="38">
        <f t="shared" si="1"/>
        <v>1</v>
      </c>
      <c r="AH16" s="51">
        <f t="shared" si="2"/>
        <v>30.730806000000001</v>
      </c>
      <c r="AI16" s="64">
        <v>6</v>
      </c>
      <c r="AJ16" s="86" t="s">
        <v>245</v>
      </c>
      <c r="AK16" s="65">
        <v>8657.01</v>
      </c>
      <c r="AL16" s="1"/>
      <c r="AM16" s="1" t="s">
        <v>246</v>
      </c>
      <c r="AN16" s="81">
        <v>46235</v>
      </c>
      <c r="AO16" s="81" t="s">
        <v>180</v>
      </c>
    </row>
    <row r="17" spans="1:41" s="26" customFormat="1" ht="22.5" hidden="1" x14ac:dyDescent="0.25">
      <c r="A17" s="22" t="s">
        <v>247</v>
      </c>
      <c r="B17" s="2" t="s">
        <v>203</v>
      </c>
      <c r="C17" s="21">
        <v>1.2</v>
      </c>
      <c r="D17" s="23">
        <v>210</v>
      </c>
      <c r="E17" s="23">
        <v>570</v>
      </c>
      <c r="F17" s="23"/>
      <c r="G17" s="3" t="s">
        <v>248</v>
      </c>
      <c r="H17" s="12">
        <v>34025707</v>
      </c>
      <c r="I17" s="10"/>
      <c r="J17" s="4"/>
      <c r="K17" s="5"/>
      <c r="L17" s="5" t="s">
        <v>191</v>
      </c>
      <c r="M17" s="4" t="s">
        <v>24</v>
      </c>
      <c r="N17" s="4" t="s">
        <v>249</v>
      </c>
      <c r="O17" s="12" t="s">
        <v>166</v>
      </c>
      <c r="P17" s="12" t="s">
        <v>167</v>
      </c>
      <c r="Q17" s="30" t="s">
        <v>167</v>
      </c>
      <c r="R17" s="27" t="s">
        <v>167</v>
      </c>
      <c r="S17" s="10" t="s">
        <v>167</v>
      </c>
      <c r="T17" s="13">
        <v>30.581407999999996</v>
      </c>
      <c r="U17" s="13">
        <v>26.403519999999997</v>
      </c>
      <c r="V17" s="13">
        <v>31.071039999999996</v>
      </c>
      <c r="W17" s="13">
        <v>32.443839999999994</v>
      </c>
      <c r="X17" s="13">
        <v>31.528639999999999</v>
      </c>
      <c r="Y17" s="1">
        <f t="shared" si="0"/>
        <v>30.405689599999999</v>
      </c>
      <c r="Z17" s="10" t="s">
        <v>168</v>
      </c>
      <c r="AA17" s="10" t="s">
        <v>168</v>
      </c>
      <c r="AB17" s="10" t="s">
        <v>168</v>
      </c>
      <c r="AC17" s="10" t="s">
        <v>168</v>
      </c>
      <c r="AD17" s="10" t="s">
        <v>168</v>
      </c>
      <c r="AE17" s="10" t="s">
        <v>168</v>
      </c>
      <c r="AF17" s="10" t="s">
        <v>168</v>
      </c>
      <c r="AG17" s="38">
        <f t="shared" si="1"/>
        <v>1</v>
      </c>
      <c r="AH17" s="51">
        <f t="shared" si="2"/>
        <v>30.405689599999999</v>
      </c>
      <c r="AI17" s="64">
        <v>4</v>
      </c>
      <c r="AJ17" s="22" t="s">
        <v>250</v>
      </c>
      <c r="AK17" s="65">
        <v>0</v>
      </c>
      <c r="AL17" s="1"/>
      <c r="AM17" s="1" t="s">
        <v>251</v>
      </c>
      <c r="AN17" s="81"/>
      <c r="AO17" s="81"/>
    </row>
    <row r="18" spans="1:41" s="26" customFormat="1" ht="56.25" hidden="1" x14ac:dyDescent="0.25">
      <c r="A18" s="22" t="s">
        <v>252</v>
      </c>
      <c r="B18" s="2" t="s">
        <v>172</v>
      </c>
      <c r="C18" s="21">
        <v>1.5</v>
      </c>
      <c r="D18" s="23">
        <v>725</v>
      </c>
      <c r="E18" s="23">
        <v>70</v>
      </c>
      <c r="F18" s="77">
        <v>7.4999999999999997E-2</v>
      </c>
      <c r="G18" s="3" t="s">
        <v>253</v>
      </c>
      <c r="H18" s="10" t="s">
        <v>161</v>
      </c>
      <c r="I18" s="10"/>
      <c r="J18" s="6"/>
      <c r="K18" s="5"/>
      <c r="L18" s="5" t="s">
        <v>39</v>
      </c>
      <c r="M18" s="6" t="s">
        <v>254</v>
      </c>
      <c r="N18" s="6" t="s">
        <v>255</v>
      </c>
      <c r="O18" s="12" t="s">
        <v>166</v>
      </c>
      <c r="P18" s="10" t="s">
        <v>167</v>
      </c>
      <c r="Q18" s="29" t="s">
        <v>167</v>
      </c>
      <c r="R18" s="27" t="s">
        <v>167</v>
      </c>
      <c r="S18" s="12" t="s">
        <v>177</v>
      </c>
      <c r="T18" s="13">
        <v>22.626375000000003</v>
      </c>
      <c r="U18" s="13">
        <v>26.807239999999997</v>
      </c>
      <c r="V18" s="13">
        <v>33.201522000000004</v>
      </c>
      <c r="W18" s="13">
        <v>31.318612000000002</v>
      </c>
      <c r="X18" s="13">
        <v>31.105689999999999</v>
      </c>
      <c r="Y18" s="1">
        <f t="shared" si="0"/>
        <v>29.011887800000004</v>
      </c>
      <c r="Z18" s="10" t="s">
        <v>168</v>
      </c>
      <c r="AA18" s="10" t="s">
        <v>168</v>
      </c>
      <c r="AB18" s="10" t="s">
        <v>168</v>
      </c>
      <c r="AC18" s="10" t="s">
        <v>168</v>
      </c>
      <c r="AD18" s="10" t="s">
        <v>168</v>
      </c>
      <c r="AE18" s="10" t="s">
        <v>168</v>
      </c>
      <c r="AF18" s="10" t="s">
        <v>168</v>
      </c>
      <c r="AG18" s="38">
        <f t="shared" si="1"/>
        <v>1</v>
      </c>
      <c r="AH18" s="51">
        <f t="shared" si="2"/>
        <v>29.011887800000004</v>
      </c>
      <c r="AI18" s="64">
        <v>10</v>
      </c>
      <c r="AJ18" s="85" t="s">
        <v>256</v>
      </c>
      <c r="AK18" s="65">
        <v>0</v>
      </c>
      <c r="AL18" s="1"/>
      <c r="AM18" s="1" t="s">
        <v>257</v>
      </c>
      <c r="AN18" s="81"/>
      <c r="AO18" s="81"/>
    </row>
    <row r="19" spans="1:41" s="26" customFormat="1" hidden="1" x14ac:dyDescent="0.25">
      <c r="A19" s="22" t="s">
        <v>258</v>
      </c>
      <c r="B19" s="2" t="s">
        <v>160</v>
      </c>
      <c r="C19" s="21">
        <v>1</v>
      </c>
      <c r="D19" s="23">
        <v>1200</v>
      </c>
      <c r="E19" s="23" t="s">
        <v>161</v>
      </c>
      <c r="F19" s="23"/>
      <c r="G19" s="3" t="s">
        <v>259</v>
      </c>
      <c r="H19" s="12" t="s">
        <v>161</v>
      </c>
      <c r="I19" s="10"/>
      <c r="J19" s="4"/>
      <c r="K19" s="5"/>
      <c r="L19" s="21" t="s">
        <v>39</v>
      </c>
      <c r="M19" s="4" t="s">
        <v>260</v>
      </c>
      <c r="N19" s="4" t="s">
        <v>261</v>
      </c>
      <c r="O19" s="12" t="s">
        <v>166</v>
      </c>
      <c r="P19" s="12" t="s">
        <v>167</v>
      </c>
      <c r="Q19" s="30" t="s">
        <v>167</v>
      </c>
      <c r="R19" s="27" t="s">
        <v>167</v>
      </c>
      <c r="S19" s="10" t="s">
        <v>177</v>
      </c>
      <c r="T19" s="13">
        <v>22.825967999999996</v>
      </c>
      <c r="U19" s="13">
        <v>27.861108000000002</v>
      </c>
      <c r="V19" s="13">
        <v>34.361015999999999</v>
      </c>
      <c r="W19" s="13">
        <v>27.861108000000002</v>
      </c>
      <c r="X19" s="13">
        <v>31.309415999999999</v>
      </c>
      <c r="Y19" s="1">
        <f t="shared" si="0"/>
        <v>28.843723199999999</v>
      </c>
      <c r="Z19" s="10" t="s">
        <v>168</v>
      </c>
      <c r="AA19" s="10" t="s">
        <v>168</v>
      </c>
      <c r="AB19" s="10" t="s">
        <v>168</v>
      </c>
      <c r="AC19" s="10" t="s">
        <v>168</v>
      </c>
      <c r="AD19" s="10" t="s">
        <v>168</v>
      </c>
      <c r="AE19" s="10" t="s">
        <v>168</v>
      </c>
      <c r="AF19" s="10" t="s">
        <v>168</v>
      </c>
      <c r="AG19" s="38">
        <f t="shared" si="1"/>
        <v>1</v>
      </c>
      <c r="AH19" s="51">
        <f t="shared" si="2"/>
        <v>28.843723199999999</v>
      </c>
      <c r="AI19" s="64">
        <v>1</v>
      </c>
      <c r="AJ19" s="22" t="s">
        <v>262</v>
      </c>
      <c r="AK19" s="65">
        <v>10148.41</v>
      </c>
      <c r="AL19" s="1"/>
      <c r="AM19" s="1" t="s">
        <v>263</v>
      </c>
      <c r="AN19" s="81">
        <v>46296</v>
      </c>
      <c r="AO19" s="81" t="s">
        <v>180</v>
      </c>
    </row>
    <row r="20" spans="1:41" s="26" customFormat="1" x14ac:dyDescent="0.25">
      <c r="A20" s="22" t="s">
        <v>264</v>
      </c>
      <c r="B20" s="2" t="s">
        <v>189</v>
      </c>
      <c r="C20" s="21">
        <v>1.8</v>
      </c>
      <c r="D20" s="23">
        <v>285</v>
      </c>
      <c r="E20" s="23" t="s">
        <v>161</v>
      </c>
      <c r="F20" s="23"/>
      <c r="G20" s="3" t="s">
        <v>265</v>
      </c>
      <c r="H20" s="12">
        <v>34026257</v>
      </c>
      <c r="I20" s="10"/>
      <c r="J20" s="4"/>
      <c r="K20" s="5"/>
      <c r="L20" s="5" t="s">
        <v>191</v>
      </c>
      <c r="M20" s="4" t="s">
        <v>164</v>
      </c>
      <c r="N20" s="4" t="s">
        <v>266</v>
      </c>
      <c r="O20" s="12" t="s">
        <v>166</v>
      </c>
      <c r="P20" s="12" t="s">
        <v>167</v>
      </c>
      <c r="Q20" s="30" t="s">
        <v>167</v>
      </c>
      <c r="R20" s="27" t="s">
        <v>167</v>
      </c>
      <c r="S20" s="10" t="s">
        <v>167</v>
      </c>
      <c r="T20" s="13">
        <v>24.737441999999998</v>
      </c>
      <c r="U20" s="13">
        <v>25.484900000000003</v>
      </c>
      <c r="V20" s="13">
        <v>31.726099999999999</v>
      </c>
      <c r="W20" s="13">
        <v>27.565300000000004</v>
      </c>
      <c r="X20" s="13">
        <v>31.206</v>
      </c>
      <c r="Y20" s="1">
        <f t="shared" si="0"/>
        <v>28.143948399999999</v>
      </c>
      <c r="Z20" s="10"/>
      <c r="AA20" s="10"/>
      <c r="AB20" s="10"/>
      <c r="AC20" s="10"/>
      <c r="AD20" s="10"/>
      <c r="AE20" s="10"/>
      <c r="AF20" s="10" t="s">
        <v>168</v>
      </c>
      <c r="AG20" s="38">
        <f t="shared" si="1"/>
        <v>0.14285714285714285</v>
      </c>
      <c r="AH20" s="51" t="str">
        <f t="shared" si="2"/>
        <v xml:space="preserve"> </v>
      </c>
      <c r="AI20" s="64">
        <v>2</v>
      </c>
      <c r="AJ20" s="22" t="s">
        <v>267</v>
      </c>
      <c r="AK20" s="65">
        <v>0</v>
      </c>
      <c r="AL20" s="1"/>
      <c r="AM20" s="1" t="s">
        <v>268</v>
      </c>
      <c r="AN20" s="81"/>
      <c r="AO20" s="81"/>
    </row>
    <row r="21" spans="1:41" s="26" customFormat="1" hidden="1" x14ac:dyDescent="0.25">
      <c r="A21" s="22" t="s">
        <v>269</v>
      </c>
      <c r="B21" s="2" t="s">
        <v>172</v>
      </c>
      <c r="C21" s="21">
        <v>0.7</v>
      </c>
      <c r="D21" s="23">
        <v>675</v>
      </c>
      <c r="E21" s="23">
        <v>1600</v>
      </c>
      <c r="F21" s="77">
        <v>5.5E-2</v>
      </c>
      <c r="G21" s="3" t="s">
        <v>270</v>
      </c>
      <c r="H21" s="10" t="s">
        <v>161</v>
      </c>
      <c r="I21" s="10"/>
      <c r="J21" s="6"/>
      <c r="K21" s="21"/>
      <c r="L21" s="21" t="s">
        <v>36</v>
      </c>
      <c r="M21" s="6" t="s">
        <v>27</v>
      </c>
      <c r="N21" s="6" t="s">
        <v>271</v>
      </c>
      <c r="O21" s="12" t="s">
        <v>166</v>
      </c>
      <c r="P21" s="10" t="s">
        <v>272</v>
      </c>
      <c r="Q21" s="29" t="s">
        <v>167</v>
      </c>
      <c r="R21" s="27" t="s">
        <v>167</v>
      </c>
      <c r="S21" s="10" t="s">
        <v>177</v>
      </c>
      <c r="T21" s="13">
        <v>13.4316</v>
      </c>
      <c r="U21" s="13">
        <v>28.781999999999996</v>
      </c>
      <c r="V21" s="13">
        <v>37.637999999999998</v>
      </c>
      <c r="W21" s="13">
        <v>26.568000000000001</v>
      </c>
      <c r="X21" s="13">
        <v>30.257999999999999</v>
      </c>
      <c r="Y21" s="1">
        <f t="shared" si="0"/>
        <v>27.335519999999995</v>
      </c>
      <c r="Z21" s="10" t="s">
        <v>168</v>
      </c>
      <c r="AA21" s="10" t="s">
        <v>168</v>
      </c>
      <c r="AB21" s="10" t="s">
        <v>168</v>
      </c>
      <c r="AC21" s="10" t="s">
        <v>168</v>
      </c>
      <c r="AD21" s="10" t="s">
        <v>168</v>
      </c>
      <c r="AE21" s="10" t="s">
        <v>168</v>
      </c>
      <c r="AF21" s="10" t="s">
        <v>168</v>
      </c>
      <c r="AG21" s="38">
        <f t="shared" si="1"/>
        <v>1</v>
      </c>
      <c r="AH21" s="51">
        <f t="shared" si="2"/>
        <v>27.335519999999995</v>
      </c>
      <c r="AI21" s="64">
        <v>2</v>
      </c>
      <c r="AJ21" s="87" t="s">
        <v>273</v>
      </c>
      <c r="AK21" s="65">
        <v>56402.8</v>
      </c>
      <c r="AL21" s="1"/>
      <c r="AM21" s="1" t="s">
        <v>274</v>
      </c>
      <c r="AN21" s="81">
        <v>46143</v>
      </c>
      <c r="AO21" s="81" t="s">
        <v>180</v>
      </c>
    </row>
    <row r="22" spans="1:41" s="26" customFormat="1" hidden="1" x14ac:dyDescent="0.25">
      <c r="A22" s="22" t="s">
        <v>275</v>
      </c>
      <c r="B22" s="2" t="s">
        <v>197</v>
      </c>
      <c r="C22" s="21">
        <v>2.75</v>
      </c>
      <c r="D22" s="23">
        <v>1280</v>
      </c>
      <c r="E22" s="23" t="s">
        <v>161</v>
      </c>
      <c r="F22" s="23"/>
      <c r="G22" s="3" t="s">
        <v>276</v>
      </c>
      <c r="H22" s="10">
        <v>34029201</v>
      </c>
      <c r="I22" s="10"/>
      <c r="J22" s="6"/>
      <c r="K22" s="21"/>
      <c r="L22" s="21" t="s">
        <v>54</v>
      </c>
      <c r="M22" s="6" t="s">
        <v>164</v>
      </c>
      <c r="N22" s="35" t="s">
        <v>165</v>
      </c>
      <c r="O22" s="12" t="s">
        <v>277</v>
      </c>
      <c r="P22" s="10" t="s">
        <v>167</v>
      </c>
      <c r="Q22" s="29" t="s">
        <v>167</v>
      </c>
      <c r="R22" s="27" t="s">
        <v>167</v>
      </c>
      <c r="S22" s="10" t="s">
        <v>167</v>
      </c>
      <c r="T22" s="13">
        <v>26.597999999999995</v>
      </c>
      <c r="U22" s="13">
        <v>28.643999999999995</v>
      </c>
      <c r="V22" s="13">
        <v>30.689999999999998</v>
      </c>
      <c r="W22" s="13">
        <v>10.23</v>
      </c>
      <c r="X22" s="13">
        <v>31.712999999999997</v>
      </c>
      <c r="Y22" s="1">
        <f t="shared" si="0"/>
        <v>25.574999999999996</v>
      </c>
      <c r="Z22" s="10" t="s">
        <v>168</v>
      </c>
      <c r="AA22" s="10" t="s">
        <v>168</v>
      </c>
      <c r="AB22" s="10" t="s">
        <v>168</v>
      </c>
      <c r="AC22" s="10" t="s">
        <v>168</v>
      </c>
      <c r="AD22" s="10" t="s">
        <v>168</v>
      </c>
      <c r="AE22" s="10" t="s">
        <v>168</v>
      </c>
      <c r="AF22" s="10" t="s">
        <v>168</v>
      </c>
      <c r="AG22" s="38">
        <f t="shared" si="1"/>
        <v>1</v>
      </c>
      <c r="AH22" s="51">
        <f t="shared" si="2"/>
        <v>25.574999999999996</v>
      </c>
      <c r="AI22" s="64">
        <v>2</v>
      </c>
      <c r="AJ22" s="72" t="s">
        <v>278</v>
      </c>
      <c r="AK22" s="65">
        <v>0</v>
      </c>
      <c r="AL22" s="1"/>
      <c r="AM22" s="1" t="s">
        <v>279</v>
      </c>
      <c r="AN22" s="81"/>
      <c r="AO22" s="81"/>
    </row>
    <row r="23" spans="1:41" s="26" customFormat="1" hidden="1" x14ac:dyDescent="0.25">
      <c r="A23" s="22" t="s">
        <v>280</v>
      </c>
      <c r="B23" s="2" t="s">
        <v>172</v>
      </c>
      <c r="C23" s="21">
        <v>7</v>
      </c>
      <c r="D23" s="23">
        <v>1300</v>
      </c>
      <c r="E23" s="23" t="s">
        <v>161</v>
      </c>
      <c r="F23" s="23"/>
      <c r="G23" s="3" t="s">
        <v>281</v>
      </c>
      <c r="H23" s="10" t="s">
        <v>161</v>
      </c>
      <c r="I23" s="10"/>
      <c r="J23" s="6"/>
      <c r="K23" s="21"/>
      <c r="L23" s="21" t="s">
        <v>36</v>
      </c>
      <c r="M23" s="4" t="s">
        <v>27</v>
      </c>
      <c r="N23" s="6" t="s">
        <v>240</v>
      </c>
      <c r="O23" s="12" t="s">
        <v>277</v>
      </c>
      <c r="P23" s="10" t="s">
        <v>167</v>
      </c>
      <c r="Q23" s="29" t="s">
        <v>167</v>
      </c>
      <c r="R23" s="27" t="s">
        <v>167</v>
      </c>
      <c r="S23" s="10" t="s">
        <v>177</v>
      </c>
      <c r="T23" s="13">
        <v>23.109119999999997</v>
      </c>
      <c r="U23" s="13">
        <v>21.749759999999998</v>
      </c>
      <c r="V23" s="13">
        <v>28.326729999999994</v>
      </c>
      <c r="W23" s="13">
        <v>26.507519999999996</v>
      </c>
      <c r="X23" s="13">
        <v>25.148160000000001</v>
      </c>
      <c r="Y23" s="1">
        <f t="shared" si="0"/>
        <v>24.968257999999999</v>
      </c>
      <c r="Z23" s="10" t="s">
        <v>168</v>
      </c>
      <c r="AA23" s="10" t="s">
        <v>168</v>
      </c>
      <c r="AB23" s="10" t="s">
        <v>168</v>
      </c>
      <c r="AC23" s="10" t="s">
        <v>168</v>
      </c>
      <c r="AD23" s="10" t="s">
        <v>168</v>
      </c>
      <c r="AE23" s="10" t="s">
        <v>168</v>
      </c>
      <c r="AF23" s="10" t="s">
        <v>168</v>
      </c>
      <c r="AG23" s="38">
        <f t="shared" si="1"/>
        <v>1</v>
      </c>
      <c r="AH23" s="51">
        <f t="shared" si="2"/>
        <v>24.968257999999999</v>
      </c>
      <c r="AI23" s="64">
        <v>1</v>
      </c>
      <c r="AJ23" s="88" t="s">
        <v>282</v>
      </c>
      <c r="AK23" s="65">
        <v>486.53</v>
      </c>
      <c r="AL23" s="1"/>
      <c r="AM23" s="1" t="s">
        <v>283</v>
      </c>
      <c r="AN23" s="81">
        <v>46143</v>
      </c>
      <c r="AO23" s="81" t="s">
        <v>180</v>
      </c>
    </row>
    <row r="24" spans="1:41" s="26" customFormat="1" hidden="1" x14ac:dyDescent="0.25">
      <c r="A24" s="22" t="s">
        <v>284</v>
      </c>
      <c r="B24" s="2" t="s">
        <v>197</v>
      </c>
      <c r="C24" s="21">
        <v>1.3</v>
      </c>
      <c r="D24" s="23">
        <v>950</v>
      </c>
      <c r="E24" s="23" t="s">
        <v>161</v>
      </c>
      <c r="F24" s="23"/>
      <c r="G24" s="3" t="s">
        <v>216</v>
      </c>
      <c r="H24" s="12" t="s">
        <v>161</v>
      </c>
      <c r="I24" s="10"/>
      <c r="J24" s="4"/>
      <c r="K24" s="5"/>
      <c r="L24" s="5" t="s">
        <v>39</v>
      </c>
      <c r="M24" s="4" t="s">
        <v>217</v>
      </c>
      <c r="N24" s="4" t="s">
        <v>218</v>
      </c>
      <c r="O24" s="12" t="s">
        <v>277</v>
      </c>
      <c r="P24" s="12" t="s">
        <v>167</v>
      </c>
      <c r="Q24" s="30" t="s">
        <v>167</v>
      </c>
      <c r="R24" s="27" t="s">
        <v>167</v>
      </c>
      <c r="S24" s="10" t="s">
        <v>167</v>
      </c>
      <c r="T24" s="13">
        <v>13.65024</v>
      </c>
      <c r="U24" s="13">
        <v>21.956063999999998</v>
      </c>
      <c r="V24" s="13">
        <v>37.565152000000005</v>
      </c>
      <c r="W24" s="13">
        <v>21.254272</v>
      </c>
      <c r="X24" s="13">
        <v>23.860928000000001</v>
      </c>
      <c r="Y24" s="1">
        <f t="shared" si="0"/>
        <v>23.657331200000002</v>
      </c>
      <c r="Z24" s="10" t="s">
        <v>168</v>
      </c>
      <c r="AA24" s="10" t="s">
        <v>168</v>
      </c>
      <c r="AB24" s="10" t="s">
        <v>168</v>
      </c>
      <c r="AC24" s="10" t="s">
        <v>168</v>
      </c>
      <c r="AD24" s="10" t="s">
        <v>168</v>
      </c>
      <c r="AE24" s="10" t="s">
        <v>168</v>
      </c>
      <c r="AF24" s="10" t="s">
        <v>168</v>
      </c>
      <c r="AG24" s="38">
        <f t="shared" si="1"/>
        <v>1</v>
      </c>
      <c r="AH24" s="51">
        <f t="shared" si="2"/>
        <v>23.657331200000002</v>
      </c>
      <c r="AI24" s="64">
        <v>2</v>
      </c>
      <c r="AJ24" s="72" t="s">
        <v>285</v>
      </c>
      <c r="AK24" s="65">
        <v>0</v>
      </c>
      <c r="AL24" s="1"/>
      <c r="AM24" s="1"/>
      <c r="AN24" s="81"/>
      <c r="AO24" s="81"/>
    </row>
    <row r="25" spans="1:41" s="26" customFormat="1" hidden="1" x14ac:dyDescent="0.25">
      <c r="A25" s="22" t="s">
        <v>286</v>
      </c>
      <c r="B25" s="2" t="s">
        <v>160</v>
      </c>
      <c r="C25" s="21">
        <v>2.5</v>
      </c>
      <c r="D25" s="23">
        <v>1160</v>
      </c>
      <c r="E25" s="23" t="s">
        <v>161</v>
      </c>
      <c r="F25" s="23"/>
      <c r="G25" s="3" t="s">
        <v>287</v>
      </c>
      <c r="H25" s="12">
        <v>34028996</v>
      </c>
      <c r="I25" s="12"/>
      <c r="J25" s="4"/>
      <c r="K25" s="5"/>
      <c r="L25" s="21" t="s">
        <v>54</v>
      </c>
      <c r="M25" s="4" t="s">
        <v>164</v>
      </c>
      <c r="N25" s="36" t="s">
        <v>165</v>
      </c>
      <c r="O25" s="12" t="s">
        <v>277</v>
      </c>
      <c r="P25" s="12" t="s">
        <v>167</v>
      </c>
      <c r="Q25" s="30" t="s">
        <v>167</v>
      </c>
      <c r="R25" s="27" t="s">
        <v>167</v>
      </c>
      <c r="S25" s="12" t="s">
        <v>167</v>
      </c>
      <c r="T25" s="13">
        <v>26.507114999999999</v>
      </c>
      <c r="U25" s="13">
        <v>24.796799999999998</v>
      </c>
      <c r="V25" s="13">
        <v>28.339200000000002</v>
      </c>
      <c r="W25" s="13">
        <v>8.8559999999999999</v>
      </c>
      <c r="X25" s="13">
        <v>28.339200000000002</v>
      </c>
      <c r="Y25" s="1">
        <f t="shared" si="0"/>
        <v>23.367663</v>
      </c>
      <c r="Z25" s="10" t="s">
        <v>168</v>
      </c>
      <c r="AA25" s="10" t="s">
        <v>168</v>
      </c>
      <c r="AB25" s="10" t="s">
        <v>168</v>
      </c>
      <c r="AC25" s="10" t="s">
        <v>168</v>
      </c>
      <c r="AD25" s="10" t="s">
        <v>168</v>
      </c>
      <c r="AE25" s="10" t="s">
        <v>168</v>
      </c>
      <c r="AF25" s="10" t="s">
        <v>168</v>
      </c>
      <c r="AG25" s="38">
        <f t="shared" si="1"/>
        <v>1</v>
      </c>
      <c r="AH25" s="51">
        <f t="shared" si="2"/>
        <v>23.367663</v>
      </c>
      <c r="AI25" s="64">
        <v>2</v>
      </c>
      <c r="AJ25" s="72" t="s">
        <v>288</v>
      </c>
      <c r="AK25" s="65">
        <v>0</v>
      </c>
      <c r="AL25" s="1"/>
      <c r="AM25" s="1" t="s">
        <v>232</v>
      </c>
      <c r="AN25" s="81"/>
      <c r="AO25" s="81"/>
    </row>
    <row r="26" spans="1:41" s="26" customFormat="1" ht="33.75" hidden="1" x14ac:dyDescent="0.25">
      <c r="A26" s="22" t="s">
        <v>289</v>
      </c>
      <c r="B26" s="2" t="s">
        <v>197</v>
      </c>
      <c r="C26" s="21">
        <v>1.5</v>
      </c>
      <c r="D26" s="23">
        <v>1050</v>
      </c>
      <c r="E26" s="23" t="s">
        <v>161</v>
      </c>
      <c r="F26" s="23"/>
      <c r="G26" s="3"/>
      <c r="H26" s="12" t="s">
        <v>161</v>
      </c>
      <c r="I26" s="12"/>
      <c r="J26" s="4"/>
      <c r="K26" s="5"/>
      <c r="L26" s="5" t="s">
        <v>39</v>
      </c>
      <c r="M26" s="4" t="s">
        <v>210</v>
      </c>
      <c r="N26" s="4" t="s">
        <v>290</v>
      </c>
      <c r="O26" s="12" t="s">
        <v>277</v>
      </c>
      <c r="P26" s="12" t="s">
        <v>167</v>
      </c>
      <c r="Q26" s="30" t="s">
        <v>167</v>
      </c>
      <c r="R26" s="27" t="s">
        <v>167</v>
      </c>
      <c r="S26" s="12" t="s">
        <v>177</v>
      </c>
      <c r="T26" s="13">
        <v>9.0985999999999994</v>
      </c>
      <c r="U26" s="13">
        <v>17.478720000000003</v>
      </c>
      <c r="V26" s="13">
        <v>29.567400000000003</v>
      </c>
      <c r="W26" s="13">
        <v>29.451719999999998</v>
      </c>
      <c r="X26" s="13">
        <v>29.461079999999999</v>
      </c>
      <c r="Y26" s="1">
        <f t="shared" si="0"/>
        <v>23.011503999999999</v>
      </c>
      <c r="Z26" s="10" t="s">
        <v>168</v>
      </c>
      <c r="AA26" s="10" t="s">
        <v>168</v>
      </c>
      <c r="AB26" s="10" t="s">
        <v>168</v>
      </c>
      <c r="AC26" s="10" t="s">
        <v>168</v>
      </c>
      <c r="AD26" s="10" t="s">
        <v>168</v>
      </c>
      <c r="AE26" s="10" t="s">
        <v>168</v>
      </c>
      <c r="AF26" s="10" t="s">
        <v>168</v>
      </c>
      <c r="AG26" s="38">
        <f t="shared" si="1"/>
        <v>1</v>
      </c>
      <c r="AH26" s="51">
        <f t="shared" si="2"/>
        <v>23.011503999999999</v>
      </c>
      <c r="AI26" s="64">
        <v>5</v>
      </c>
      <c r="AJ26" s="22" t="s">
        <v>291</v>
      </c>
      <c r="AK26" s="65">
        <v>0</v>
      </c>
      <c r="AL26" s="1"/>
      <c r="AM26" s="1" t="s">
        <v>292</v>
      </c>
      <c r="AN26" s="81"/>
      <c r="AO26" s="81"/>
    </row>
    <row r="27" spans="1:41" s="26" customFormat="1" hidden="1" x14ac:dyDescent="0.25">
      <c r="A27" s="22" t="s">
        <v>293</v>
      </c>
      <c r="B27" s="2" t="s">
        <v>197</v>
      </c>
      <c r="C27" s="21">
        <v>1.2</v>
      </c>
      <c r="D27" s="23">
        <v>1300</v>
      </c>
      <c r="E27" s="23" t="s">
        <v>161</v>
      </c>
      <c r="F27" s="23"/>
      <c r="G27" s="3" t="s">
        <v>294</v>
      </c>
      <c r="H27" s="10" t="s">
        <v>161</v>
      </c>
      <c r="I27" s="10"/>
      <c r="J27" s="6"/>
      <c r="K27" s="21"/>
      <c r="L27" s="21" t="s">
        <v>39</v>
      </c>
      <c r="M27" s="6" t="s">
        <v>260</v>
      </c>
      <c r="N27" s="6" t="s">
        <v>295</v>
      </c>
      <c r="O27" s="12" t="s">
        <v>277</v>
      </c>
      <c r="P27" s="10" t="s">
        <v>167</v>
      </c>
      <c r="Q27" s="29" t="s">
        <v>167</v>
      </c>
      <c r="R27" s="27" t="s">
        <v>167</v>
      </c>
      <c r="S27" s="10" t="s">
        <v>167</v>
      </c>
      <c r="T27" s="13">
        <v>15.5375</v>
      </c>
      <c r="U27" s="13">
        <v>21.131</v>
      </c>
      <c r="V27" s="13">
        <v>27.346</v>
      </c>
      <c r="W27" s="13">
        <v>24.86</v>
      </c>
      <c r="X27" s="13">
        <v>24.86</v>
      </c>
      <c r="Y27" s="1">
        <f t="shared" si="0"/>
        <v>22.7469</v>
      </c>
      <c r="Z27" s="10" t="s">
        <v>168</v>
      </c>
      <c r="AA27" s="10" t="s">
        <v>168</v>
      </c>
      <c r="AB27" s="10" t="s">
        <v>168</v>
      </c>
      <c r="AC27" s="10" t="s">
        <v>168</v>
      </c>
      <c r="AD27" s="10" t="s">
        <v>168</v>
      </c>
      <c r="AE27" s="10" t="s">
        <v>168</v>
      </c>
      <c r="AF27" s="10" t="s">
        <v>168</v>
      </c>
      <c r="AG27" s="38">
        <f t="shared" si="1"/>
        <v>1</v>
      </c>
      <c r="AH27" s="51">
        <f t="shared" si="2"/>
        <v>22.7469</v>
      </c>
      <c r="AI27" s="64">
        <v>2</v>
      </c>
      <c r="AJ27" s="72" t="s">
        <v>296</v>
      </c>
      <c r="AK27" s="65">
        <v>0</v>
      </c>
      <c r="AL27" s="1"/>
      <c r="AM27" s="1"/>
      <c r="AN27" s="81"/>
      <c r="AO27" s="81"/>
    </row>
    <row r="28" spans="1:41" s="26" customFormat="1" ht="33.75" hidden="1" x14ac:dyDescent="0.25">
      <c r="A28" s="22" t="s">
        <v>297</v>
      </c>
      <c r="B28" s="2" t="s">
        <v>172</v>
      </c>
      <c r="C28" s="21">
        <v>1</v>
      </c>
      <c r="D28" s="23">
        <v>1050</v>
      </c>
      <c r="E28" s="23">
        <v>755</v>
      </c>
      <c r="F28" s="77">
        <v>0.04</v>
      </c>
      <c r="G28" s="3" t="s">
        <v>298</v>
      </c>
      <c r="H28" s="10" t="s">
        <v>161</v>
      </c>
      <c r="I28" s="10"/>
      <c r="J28" s="6"/>
      <c r="K28" s="21"/>
      <c r="L28" s="21" t="s">
        <v>36</v>
      </c>
      <c r="M28" s="6" t="s">
        <v>239</v>
      </c>
      <c r="N28" s="6" t="s">
        <v>299</v>
      </c>
      <c r="O28" s="12" t="s">
        <v>277</v>
      </c>
      <c r="P28" s="10" t="s">
        <v>272</v>
      </c>
      <c r="Q28" s="29" t="s">
        <v>167</v>
      </c>
      <c r="R28" s="27" t="s">
        <v>167</v>
      </c>
      <c r="S28" s="10" t="s">
        <v>177</v>
      </c>
      <c r="T28" s="13">
        <v>15.561311999999999</v>
      </c>
      <c r="U28" s="13">
        <v>20.240479999999998</v>
      </c>
      <c r="V28" s="13">
        <v>30.476159999999997</v>
      </c>
      <c r="W28" s="13">
        <v>23.087999999999997</v>
      </c>
      <c r="X28" s="13">
        <v>20.894639999999999</v>
      </c>
      <c r="Y28" s="1">
        <f t="shared" si="0"/>
        <v>22.052118399999998</v>
      </c>
      <c r="Z28" s="10" t="s">
        <v>168</v>
      </c>
      <c r="AA28" s="10" t="s">
        <v>168</v>
      </c>
      <c r="AB28" s="10" t="s">
        <v>168</v>
      </c>
      <c r="AC28" s="10" t="s">
        <v>168</v>
      </c>
      <c r="AD28" s="10" t="s">
        <v>168</v>
      </c>
      <c r="AE28" s="10" t="s">
        <v>168</v>
      </c>
      <c r="AF28" s="10" t="s">
        <v>168</v>
      </c>
      <c r="AG28" s="38">
        <f t="shared" si="1"/>
        <v>1</v>
      </c>
      <c r="AH28" s="51">
        <f t="shared" si="2"/>
        <v>22.052118399999998</v>
      </c>
      <c r="AI28" s="64">
        <v>2</v>
      </c>
      <c r="AJ28" s="72" t="s">
        <v>300</v>
      </c>
      <c r="AK28" s="65">
        <v>0</v>
      </c>
      <c r="AL28" s="1"/>
      <c r="AM28" s="62" t="s">
        <v>301</v>
      </c>
      <c r="AN28" s="81"/>
      <c r="AO28" s="81"/>
    </row>
    <row r="29" spans="1:41" s="26" customFormat="1" hidden="1" x14ac:dyDescent="0.25">
      <c r="A29" s="22" t="s">
        <v>302</v>
      </c>
      <c r="B29" s="2" t="s">
        <v>189</v>
      </c>
      <c r="C29" s="21">
        <v>0.6</v>
      </c>
      <c r="D29" s="23">
        <v>455</v>
      </c>
      <c r="E29" s="23" t="s">
        <v>161</v>
      </c>
      <c r="F29" s="23"/>
      <c r="G29" s="3" t="s">
        <v>303</v>
      </c>
      <c r="H29" s="12">
        <v>34025661</v>
      </c>
      <c r="I29" s="10"/>
      <c r="J29" s="4"/>
      <c r="K29" s="5"/>
      <c r="L29" s="5" t="s">
        <v>191</v>
      </c>
      <c r="M29" s="4" t="s">
        <v>164</v>
      </c>
      <c r="N29" s="4" t="s">
        <v>304</v>
      </c>
      <c r="O29" s="12" t="s">
        <v>277</v>
      </c>
      <c r="P29" s="12" t="s">
        <v>167</v>
      </c>
      <c r="Q29" s="30" t="s">
        <v>167</v>
      </c>
      <c r="R29" s="27" t="s">
        <v>167</v>
      </c>
      <c r="S29" s="10" t="s">
        <v>167</v>
      </c>
      <c r="T29" s="13">
        <v>16.000658000000001</v>
      </c>
      <c r="U29" s="13">
        <v>18.7224</v>
      </c>
      <c r="V29" s="13">
        <v>22.596</v>
      </c>
      <c r="W29" s="13">
        <v>20.659200000000002</v>
      </c>
      <c r="X29" s="13">
        <v>22.273199999999999</v>
      </c>
      <c r="Y29" s="1">
        <f t="shared" si="0"/>
        <v>20.050291600000001</v>
      </c>
      <c r="Z29" s="10" t="s">
        <v>168</v>
      </c>
      <c r="AA29" s="10" t="s">
        <v>168</v>
      </c>
      <c r="AB29" s="10" t="s">
        <v>168</v>
      </c>
      <c r="AC29" s="10" t="s">
        <v>168</v>
      </c>
      <c r="AD29" s="10" t="s">
        <v>168</v>
      </c>
      <c r="AE29" s="10" t="s">
        <v>168</v>
      </c>
      <c r="AF29" s="10" t="s">
        <v>168</v>
      </c>
      <c r="AG29" s="38">
        <f t="shared" si="1"/>
        <v>1</v>
      </c>
      <c r="AH29" s="51">
        <f t="shared" si="2"/>
        <v>20.050291600000001</v>
      </c>
      <c r="AI29" s="64">
        <v>2</v>
      </c>
      <c r="AJ29" s="72" t="s">
        <v>305</v>
      </c>
      <c r="AK29" s="65">
        <v>0</v>
      </c>
      <c r="AL29" s="1"/>
      <c r="AM29" s="1"/>
      <c r="AN29" s="81"/>
      <c r="AO29" s="81"/>
    </row>
    <row r="30" spans="1:41" s="26" customFormat="1" ht="33.75" hidden="1" x14ac:dyDescent="0.25">
      <c r="A30" s="22" t="s">
        <v>306</v>
      </c>
      <c r="B30" s="2" t="s">
        <v>307</v>
      </c>
      <c r="C30" s="21">
        <v>3</v>
      </c>
      <c r="D30" s="23">
        <v>433</v>
      </c>
      <c r="E30" s="23" t="s">
        <v>161</v>
      </c>
      <c r="F30" s="23"/>
      <c r="G30" s="3" t="s">
        <v>308</v>
      </c>
      <c r="H30" s="10">
        <v>34025370</v>
      </c>
      <c r="I30" s="10"/>
      <c r="J30" s="6"/>
      <c r="K30" s="21"/>
      <c r="L30" s="21" t="s">
        <v>191</v>
      </c>
      <c r="M30" s="6" t="s">
        <v>309</v>
      </c>
      <c r="N30" s="35" t="s">
        <v>165</v>
      </c>
      <c r="O30" s="12" t="s">
        <v>277</v>
      </c>
      <c r="P30" s="10" t="s">
        <v>167</v>
      </c>
      <c r="Q30" s="29" t="s">
        <v>167</v>
      </c>
      <c r="R30" s="27" t="s">
        <v>167</v>
      </c>
      <c r="S30" s="10" t="s">
        <v>167</v>
      </c>
      <c r="T30" s="13">
        <v>18.74661</v>
      </c>
      <c r="U30" s="13">
        <v>22.757400000000001</v>
      </c>
      <c r="V30" s="13">
        <v>16.462799999999998</v>
      </c>
      <c r="W30" s="13">
        <v>19.367999999999999</v>
      </c>
      <c r="X30" s="13">
        <v>19.8522</v>
      </c>
      <c r="Y30" s="1">
        <f t="shared" si="0"/>
        <v>19.437401999999999</v>
      </c>
      <c r="Z30" s="10" t="s">
        <v>168</v>
      </c>
      <c r="AA30" s="10" t="s">
        <v>168</v>
      </c>
      <c r="AB30" s="10" t="s">
        <v>168</v>
      </c>
      <c r="AC30" s="10" t="s">
        <v>168</v>
      </c>
      <c r="AD30" s="10" t="s">
        <v>168</v>
      </c>
      <c r="AE30" s="10" t="s">
        <v>168</v>
      </c>
      <c r="AF30" s="10" t="s">
        <v>168</v>
      </c>
      <c r="AG30" s="38">
        <f t="shared" si="1"/>
        <v>1</v>
      </c>
      <c r="AH30" s="51">
        <f t="shared" si="2"/>
        <v>19.437401999999999</v>
      </c>
      <c r="AI30" s="64">
        <v>6</v>
      </c>
      <c r="AJ30" s="72" t="s">
        <v>310</v>
      </c>
      <c r="AK30" s="65">
        <v>0</v>
      </c>
      <c r="AL30" s="1"/>
      <c r="AM30" s="1"/>
      <c r="AN30" s="81"/>
      <c r="AO30" s="81"/>
    </row>
    <row r="31" spans="1:41" s="26" customFormat="1" hidden="1" x14ac:dyDescent="0.25">
      <c r="A31" s="22" t="s">
        <v>311</v>
      </c>
      <c r="B31" s="2" t="s">
        <v>312</v>
      </c>
      <c r="C31" s="21"/>
      <c r="D31" s="23"/>
      <c r="E31" s="23"/>
      <c r="F31" s="77"/>
      <c r="G31" s="3" t="s">
        <v>303</v>
      </c>
      <c r="H31" s="10">
        <v>34028964</v>
      </c>
      <c r="I31" s="10"/>
      <c r="J31" s="6"/>
      <c r="K31" s="21"/>
      <c r="L31" s="21" t="s">
        <v>191</v>
      </c>
      <c r="M31" s="6" t="s">
        <v>164</v>
      </c>
      <c r="N31" s="6" t="s">
        <v>304</v>
      </c>
      <c r="O31" s="12" t="s">
        <v>277</v>
      </c>
      <c r="P31" s="10" t="s">
        <v>167</v>
      </c>
      <c r="Q31" s="29" t="s">
        <v>167</v>
      </c>
      <c r="R31" s="27" t="s">
        <v>205</v>
      </c>
      <c r="S31" s="10" t="s">
        <v>167</v>
      </c>
      <c r="T31" s="13">
        <v>18.010124000000001</v>
      </c>
      <c r="U31" s="13">
        <v>16.257983999999997</v>
      </c>
      <c r="V31" s="13">
        <v>21.339775999999997</v>
      </c>
      <c r="W31" s="13">
        <v>18.56448</v>
      </c>
      <c r="X31" s="13">
        <v>19.427071999999999</v>
      </c>
      <c r="Y31" s="1">
        <f t="shared" si="0"/>
        <v>18.719887199999999</v>
      </c>
      <c r="Z31" s="10" t="s">
        <v>168</v>
      </c>
      <c r="AA31" s="10" t="s">
        <v>168</v>
      </c>
      <c r="AB31" s="10" t="s">
        <v>168</v>
      </c>
      <c r="AC31" s="10" t="s">
        <v>168</v>
      </c>
      <c r="AD31" s="10" t="s">
        <v>168</v>
      </c>
      <c r="AE31" s="10" t="s">
        <v>168</v>
      </c>
      <c r="AF31" s="10" t="s">
        <v>168</v>
      </c>
      <c r="AG31" s="38">
        <f t="shared" si="1"/>
        <v>1</v>
      </c>
      <c r="AH31" s="51">
        <f t="shared" si="2"/>
        <v>18.719887199999999</v>
      </c>
      <c r="AI31" s="64">
        <v>2</v>
      </c>
      <c r="AJ31" s="84" t="s">
        <v>313</v>
      </c>
      <c r="AK31" s="65">
        <f>69601.91/12</f>
        <v>5800.1591666666673</v>
      </c>
      <c r="AL31" s="1"/>
      <c r="AM31" s="1" t="s">
        <v>314</v>
      </c>
      <c r="AN31" s="81">
        <v>46266</v>
      </c>
      <c r="AO31" s="81"/>
    </row>
    <row r="32" spans="1:41" s="26" customFormat="1" hidden="1" x14ac:dyDescent="0.25">
      <c r="A32" s="22" t="s">
        <v>315</v>
      </c>
      <c r="B32" s="2" t="s">
        <v>160</v>
      </c>
      <c r="C32" s="21">
        <v>1.5</v>
      </c>
      <c r="D32" s="23">
        <v>1250</v>
      </c>
      <c r="E32" s="23" t="s">
        <v>161</v>
      </c>
      <c r="F32" s="23" t="s">
        <v>10</v>
      </c>
      <c r="G32" s="3" t="s">
        <v>244</v>
      </c>
      <c r="H32" s="12" t="s">
        <v>161</v>
      </c>
      <c r="I32" s="12"/>
      <c r="J32" s="4"/>
      <c r="K32" s="5"/>
      <c r="L32" s="5" t="s">
        <v>39</v>
      </c>
      <c r="M32" s="4" t="s">
        <v>217</v>
      </c>
      <c r="N32" s="4" t="s">
        <v>218</v>
      </c>
      <c r="O32" s="12" t="s">
        <v>277</v>
      </c>
      <c r="P32" s="12" t="s">
        <v>167</v>
      </c>
      <c r="Q32" s="30" t="s">
        <v>167</v>
      </c>
      <c r="R32" s="27" t="s">
        <v>167</v>
      </c>
      <c r="S32" s="12" t="s">
        <v>167</v>
      </c>
      <c r="T32" s="13">
        <v>8.1184950000000011</v>
      </c>
      <c r="U32" s="13">
        <v>17.010180000000002</v>
      </c>
      <c r="V32" s="13">
        <v>28.221435</v>
      </c>
      <c r="W32" s="13">
        <v>18.169965000000001</v>
      </c>
      <c r="X32" s="13">
        <v>20.87613</v>
      </c>
      <c r="Y32" s="1">
        <f t="shared" si="0"/>
        <v>18.479241000000002</v>
      </c>
      <c r="Z32" s="10" t="s">
        <v>168</v>
      </c>
      <c r="AA32" s="10" t="s">
        <v>168</v>
      </c>
      <c r="AB32" s="10" t="s">
        <v>168</v>
      </c>
      <c r="AC32" s="10" t="s">
        <v>168</v>
      </c>
      <c r="AD32" s="10" t="s">
        <v>168</v>
      </c>
      <c r="AE32" s="10" t="s">
        <v>168</v>
      </c>
      <c r="AF32" s="10" t="s">
        <v>168</v>
      </c>
      <c r="AG32" s="38">
        <f t="shared" si="1"/>
        <v>1</v>
      </c>
      <c r="AH32" s="51">
        <f t="shared" si="2"/>
        <v>18.479241000000002</v>
      </c>
      <c r="AI32" s="64">
        <v>2</v>
      </c>
      <c r="AJ32" s="89" t="s">
        <v>316</v>
      </c>
      <c r="AK32" s="65">
        <v>11042.36</v>
      </c>
      <c r="AL32" s="1"/>
      <c r="AM32" s="1" t="s">
        <v>317</v>
      </c>
      <c r="AN32" s="81">
        <v>46113</v>
      </c>
      <c r="AO32" s="81" t="s">
        <v>180</v>
      </c>
    </row>
    <row r="33" spans="1:41" s="26" customFormat="1" hidden="1" x14ac:dyDescent="0.25">
      <c r="A33" s="22" t="s">
        <v>318</v>
      </c>
      <c r="B33" s="2" t="s">
        <v>160</v>
      </c>
      <c r="C33" s="21">
        <v>1.4</v>
      </c>
      <c r="D33" s="23">
        <v>1100</v>
      </c>
      <c r="E33" s="23" t="s">
        <v>161</v>
      </c>
      <c r="F33" s="23"/>
      <c r="G33" s="3" t="s">
        <v>319</v>
      </c>
      <c r="H33" s="10" t="s">
        <v>161</v>
      </c>
      <c r="I33" s="10"/>
      <c r="J33" s="6"/>
      <c r="K33" s="21"/>
      <c r="L33" s="21" t="s">
        <v>39</v>
      </c>
      <c r="M33" s="4" t="s">
        <v>217</v>
      </c>
      <c r="N33" s="6" t="s">
        <v>320</v>
      </c>
      <c r="O33" s="12" t="s">
        <v>277</v>
      </c>
      <c r="P33" s="10" t="s">
        <v>205</v>
      </c>
      <c r="Q33" s="29" t="s">
        <v>205</v>
      </c>
      <c r="R33" s="27" t="s">
        <v>167</v>
      </c>
      <c r="S33" s="10" t="s">
        <v>167</v>
      </c>
      <c r="T33" s="13">
        <v>8.5608599999999999</v>
      </c>
      <c r="U33" s="13">
        <v>17.625300000000003</v>
      </c>
      <c r="V33" s="13">
        <v>27.696900000000003</v>
      </c>
      <c r="W33" s="13">
        <v>18.128880000000002</v>
      </c>
      <c r="X33" s="13">
        <v>19.136040000000001</v>
      </c>
      <c r="Y33" s="1">
        <f t="shared" si="0"/>
        <v>18.229596000000004</v>
      </c>
      <c r="Z33" s="10" t="s">
        <v>168</v>
      </c>
      <c r="AA33" s="10" t="s">
        <v>168</v>
      </c>
      <c r="AB33" s="10" t="s">
        <v>168</v>
      </c>
      <c r="AC33" s="10" t="s">
        <v>168</v>
      </c>
      <c r="AD33" s="10" t="s">
        <v>168</v>
      </c>
      <c r="AE33" s="10" t="s">
        <v>168</v>
      </c>
      <c r="AF33" s="10" t="s">
        <v>168</v>
      </c>
      <c r="AG33" s="38">
        <f t="shared" si="1"/>
        <v>1</v>
      </c>
      <c r="AH33" s="51">
        <f t="shared" si="2"/>
        <v>18.229596000000004</v>
      </c>
      <c r="AI33" s="64">
        <v>2</v>
      </c>
      <c r="AJ33" s="72" t="s">
        <v>321</v>
      </c>
      <c r="AK33" s="65">
        <v>4861.6499999999996</v>
      </c>
      <c r="AL33" s="1"/>
      <c r="AM33" s="1" t="s">
        <v>322</v>
      </c>
      <c r="AN33" s="81">
        <v>46143</v>
      </c>
      <c r="AO33" s="81" t="s">
        <v>180</v>
      </c>
    </row>
    <row r="34" spans="1:41" s="26" customFormat="1" hidden="1" x14ac:dyDescent="0.25">
      <c r="A34" s="22" t="s">
        <v>323</v>
      </c>
      <c r="B34" s="2" t="s">
        <v>172</v>
      </c>
      <c r="C34" s="21">
        <v>6</v>
      </c>
      <c r="D34" s="23">
        <v>1100</v>
      </c>
      <c r="E34" s="23" t="s">
        <v>161</v>
      </c>
      <c r="F34" s="23"/>
      <c r="G34" s="3" t="s">
        <v>324</v>
      </c>
      <c r="H34" s="12" t="s">
        <v>161</v>
      </c>
      <c r="I34" s="12"/>
      <c r="J34" s="4"/>
      <c r="K34" s="5"/>
      <c r="L34" s="5" t="s">
        <v>39</v>
      </c>
      <c r="M34" s="4" t="s">
        <v>325</v>
      </c>
      <c r="N34" s="4" t="s">
        <v>326</v>
      </c>
      <c r="O34" s="12" t="s">
        <v>277</v>
      </c>
      <c r="P34" s="12" t="s">
        <v>167</v>
      </c>
      <c r="Q34" s="30" t="s">
        <v>167</v>
      </c>
      <c r="R34" s="27" t="s">
        <v>167</v>
      </c>
      <c r="S34" s="12" t="s">
        <v>177</v>
      </c>
      <c r="T34" s="13">
        <v>15.537720000000002</v>
      </c>
      <c r="U34" s="13">
        <v>15.341040000000001</v>
      </c>
      <c r="V34" s="13">
        <v>19.471319999999999</v>
      </c>
      <c r="W34" s="13">
        <v>18.88128</v>
      </c>
      <c r="X34" s="13">
        <v>18.88128</v>
      </c>
      <c r="Y34" s="1">
        <f t="shared" si="0"/>
        <v>17.622528000000003</v>
      </c>
      <c r="Z34" s="10" t="s">
        <v>168</v>
      </c>
      <c r="AA34" s="10" t="s">
        <v>168</v>
      </c>
      <c r="AB34" s="10" t="s">
        <v>168</v>
      </c>
      <c r="AC34" s="10" t="s">
        <v>168</v>
      </c>
      <c r="AD34" s="10" t="s">
        <v>168</v>
      </c>
      <c r="AE34" s="10" t="s">
        <v>168</v>
      </c>
      <c r="AF34" s="10" t="s">
        <v>168</v>
      </c>
      <c r="AG34" s="38">
        <f t="shared" si="1"/>
        <v>1</v>
      </c>
      <c r="AH34" s="51">
        <f t="shared" si="2"/>
        <v>17.622528000000003</v>
      </c>
      <c r="AI34" s="64">
        <v>2</v>
      </c>
      <c r="AJ34" s="72" t="s">
        <v>327</v>
      </c>
      <c r="AK34" s="65">
        <v>0</v>
      </c>
      <c r="AL34" s="1"/>
      <c r="AM34" s="1"/>
      <c r="AN34" s="81"/>
      <c r="AO34" s="81"/>
    </row>
    <row r="35" spans="1:41" s="26" customFormat="1" hidden="1" x14ac:dyDescent="0.25">
      <c r="A35" s="22" t="s">
        <v>328</v>
      </c>
      <c r="B35" s="2" t="s">
        <v>329</v>
      </c>
      <c r="C35" s="21">
        <v>1.75</v>
      </c>
      <c r="D35" s="23">
        <v>300</v>
      </c>
      <c r="E35" s="23">
        <v>164</v>
      </c>
      <c r="F35" s="77">
        <v>7.4999999999999997E-2</v>
      </c>
      <c r="G35" s="3" t="s">
        <v>330</v>
      </c>
      <c r="H35" s="10">
        <v>34025662</v>
      </c>
      <c r="I35" s="10"/>
      <c r="J35" s="6"/>
      <c r="K35" s="21"/>
      <c r="L35" s="21" t="s">
        <v>191</v>
      </c>
      <c r="M35" s="6" t="s">
        <v>24</v>
      </c>
      <c r="N35" s="6" t="s">
        <v>331</v>
      </c>
      <c r="O35" s="12" t="s">
        <v>277</v>
      </c>
      <c r="P35" s="10" t="s">
        <v>167</v>
      </c>
      <c r="Q35" s="29" t="s">
        <v>167</v>
      </c>
      <c r="R35" s="27" t="s">
        <v>167</v>
      </c>
      <c r="S35" s="10" t="s">
        <v>167</v>
      </c>
      <c r="T35" s="13">
        <v>14.953199999999999</v>
      </c>
      <c r="U35" s="13">
        <v>17.591999999999999</v>
      </c>
      <c r="V35" s="13">
        <v>17.943840000000002</v>
      </c>
      <c r="W35" s="13">
        <v>17.943840000000002</v>
      </c>
      <c r="X35" s="13">
        <v>16.536480000000001</v>
      </c>
      <c r="Y35" s="1">
        <f t="shared" si="0"/>
        <v>16.993872</v>
      </c>
      <c r="Z35" s="10" t="s">
        <v>168</v>
      </c>
      <c r="AA35" s="10" t="s">
        <v>168</v>
      </c>
      <c r="AB35" s="10" t="s">
        <v>168</v>
      </c>
      <c r="AC35" s="10" t="s">
        <v>168</v>
      </c>
      <c r="AD35" s="10" t="s">
        <v>168</v>
      </c>
      <c r="AE35" s="10" t="s">
        <v>168</v>
      </c>
      <c r="AF35" s="10" t="s">
        <v>168</v>
      </c>
      <c r="AG35" s="38">
        <f t="shared" si="1"/>
        <v>1</v>
      </c>
      <c r="AH35" s="51">
        <f t="shared" si="2"/>
        <v>16.993872</v>
      </c>
      <c r="AI35" s="64">
        <v>2</v>
      </c>
      <c r="AJ35" s="72" t="s">
        <v>332</v>
      </c>
      <c r="AK35" s="65">
        <v>14192.72</v>
      </c>
      <c r="AL35" s="1"/>
      <c r="AM35" s="1" t="s">
        <v>333</v>
      </c>
      <c r="AN35" s="81">
        <v>46235</v>
      </c>
      <c r="AO35" s="81" t="s">
        <v>180</v>
      </c>
    </row>
    <row r="36" spans="1:41" s="26" customFormat="1" ht="22.5" x14ac:dyDescent="0.25">
      <c r="A36" s="22" t="s">
        <v>334</v>
      </c>
      <c r="B36" s="2" t="s">
        <v>197</v>
      </c>
      <c r="C36" s="21">
        <v>0.7</v>
      </c>
      <c r="D36" s="23">
        <v>300</v>
      </c>
      <c r="E36" s="23">
        <v>150</v>
      </c>
      <c r="F36" s="77">
        <v>4.4999999999999998E-2</v>
      </c>
      <c r="G36" s="3" t="s">
        <v>216</v>
      </c>
      <c r="H36" s="12" t="s">
        <v>161</v>
      </c>
      <c r="I36" s="10"/>
      <c r="J36" s="4"/>
      <c r="K36" s="5"/>
      <c r="L36" s="5" t="s">
        <v>39</v>
      </c>
      <c r="M36" s="4" t="s">
        <v>217</v>
      </c>
      <c r="N36" s="4" t="s">
        <v>218</v>
      </c>
      <c r="O36" s="12" t="s">
        <v>277</v>
      </c>
      <c r="P36" s="12" t="s">
        <v>167</v>
      </c>
      <c r="Q36" s="30" t="s">
        <v>167</v>
      </c>
      <c r="R36" s="27" t="s">
        <v>167</v>
      </c>
      <c r="S36" s="10" t="s">
        <v>167</v>
      </c>
      <c r="T36" s="13">
        <v>12.315858</v>
      </c>
      <c r="U36" s="13">
        <v>14.371656</v>
      </c>
      <c r="V36" s="13">
        <v>24.588808</v>
      </c>
      <c r="W36" s="13">
        <v>13.912288</v>
      </c>
      <c r="X36" s="13">
        <v>15.618512000000001</v>
      </c>
      <c r="Y36" s="1">
        <f t="shared" si="0"/>
        <v>16.161424399999998</v>
      </c>
      <c r="Z36" s="10"/>
      <c r="AA36" s="10"/>
      <c r="AB36" s="10"/>
      <c r="AC36" s="10"/>
      <c r="AD36" s="10"/>
      <c r="AE36" s="10"/>
      <c r="AF36" s="10"/>
      <c r="AG36" s="38">
        <f t="shared" si="1"/>
        <v>0</v>
      </c>
      <c r="AH36" s="51" t="str">
        <f t="shared" si="2"/>
        <v xml:space="preserve"> </v>
      </c>
      <c r="AI36" s="64">
        <v>3</v>
      </c>
      <c r="AJ36" s="72" t="s">
        <v>335</v>
      </c>
      <c r="AK36" s="65">
        <v>0</v>
      </c>
      <c r="AL36" s="1"/>
      <c r="AM36" s="1"/>
      <c r="AN36" s="81"/>
      <c r="AO36" s="81"/>
    </row>
    <row r="37" spans="1:41" s="26" customFormat="1" ht="22.5" x14ac:dyDescent="0.25">
      <c r="A37" s="22" t="s">
        <v>336</v>
      </c>
      <c r="B37" s="2" t="s">
        <v>197</v>
      </c>
      <c r="C37" s="21"/>
      <c r="D37" s="23"/>
      <c r="E37" s="23"/>
      <c r="F37" s="77"/>
      <c r="G37" s="3" t="s">
        <v>337</v>
      </c>
      <c r="H37" s="12" t="s">
        <v>161</v>
      </c>
      <c r="I37" s="10"/>
      <c r="J37" s="4"/>
      <c r="K37" s="5"/>
      <c r="L37" s="5" t="s">
        <v>39</v>
      </c>
      <c r="M37" s="4" t="s">
        <v>338</v>
      </c>
      <c r="N37" s="4" t="s">
        <v>218</v>
      </c>
      <c r="O37" s="12" t="s">
        <v>277</v>
      </c>
      <c r="P37" s="12" t="s">
        <v>167</v>
      </c>
      <c r="Q37" s="30" t="s">
        <v>167</v>
      </c>
      <c r="R37" s="27" t="s">
        <v>167</v>
      </c>
      <c r="S37" s="10" t="s">
        <v>167</v>
      </c>
      <c r="T37" s="13">
        <v>12.456800000000001</v>
      </c>
      <c r="U37" s="13">
        <v>15.706400000000002</v>
      </c>
      <c r="V37" s="13">
        <v>18.414400000000001</v>
      </c>
      <c r="W37" s="13">
        <v>15.164800000000001</v>
      </c>
      <c r="X37" s="13">
        <v>15.706400000000002</v>
      </c>
      <c r="Y37" s="1">
        <f t="shared" si="0"/>
        <v>15.48976</v>
      </c>
      <c r="Z37" s="10"/>
      <c r="AA37" s="10"/>
      <c r="AB37" s="10"/>
      <c r="AC37" s="10"/>
      <c r="AD37" s="10"/>
      <c r="AE37" s="10"/>
      <c r="AF37" s="10"/>
      <c r="AG37" s="38">
        <f t="shared" si="1"/>
        <v>0</v>
      </c>
      <c r="AH37" s="51" t="str">
        <f t="shared" si="2"/>
        <v xml:space="preserve"> </v>
      </c>
      <c r="AI37" s="64">
        <v>4</v>
      </c>
      <c r="AJ37" s="72" t="s">
        <v>339</v>
      </c>
      <c r="AK37" s="65">
        <v>0</v>
      </c>
      <c r="AL37" s="1"/>
      <c r="AM37" s="1"/>
      <c r="AN37" s="81"/>
      <c r="AO37" s="81"/>
    </row>
    <row r="38" spans="1:41" s="26" customFormat="1" ht="22.5" hidden="1" x14ac:dyDescent="0.25">
      <c r="A38" s="22" t="s">
        <v>340</v>
      </c>
      <c r="B38" s="2" t="s">
        <v>172</v>
      </c>
      <c r="C38" s="21"/>
      <c r="D38" s="23"/>
      <c r="E38" s="23"/>
      <c r="F38" s="77"/>
      <c r="G38" s="3" t="s">
        <v>341</v>
      </c>
      <c r="H38" s="12" t="s">
        <v>161</v>
      </c>
      <c r="I38" s="10"/>
      <c r="J38" s="4"/>
      <c r="K38" s="5"/>
      <c r="L38" s="5" t="s">
        <v>39</v>
      </c>
      <c r="M38" s="4" t="s">
        <v>260</v>
      </c>
      <c r="N38" s="4" t="s">
        <v>342</v>
      </c>
      <c r="O38" s="12" t="s">
        <v>277</v>
      </c>
      <c r="P38" s="12" t="s">
        <v>167</v>
      </c>
      <c r="Q38" s="30" t="s">
        <v>167</v>
      </c>
      <c r="R38" s="27" t="s">
        <v>167</v>
      </c>
      <c r="S38" s="10" t="s">
        <v>177</v>
      </c>
      <c r="T38" s="13">
        <v>11.44408</v>
      </c>
      <c r="U38" s="13">
        <v>12.0464</v>
      </c>
      <c r="V38" s="13">
        <v>14.68155</v>
      </c>
      <c r="W38" s="13">
        <v>14.68155</v>
      </c>
      <c r="X38" s="13">
        <v>18.604158999999999</v>
      </c>
      <c r="Y38" s="1">
        <f t="shared" si="0"/>
        <v>14.2915478</v>
      </c>
      <c r="Z38" s="10" t="s">
        <v>168</v>
      </c>
      <c r="AA38" s="10" t="s">
        <v>168</v>
      </c>
      <c r="AB38" s="10" t="s">
        <v>168</v>
      </c>
      <c r="AC38" s="10" t="s">
        <v>168</v>
      </c>
      <c r="AD38" s="10" t="s">
        <v>168</v>
      </c>
      <c r="AE38" s="10" t="s">
        <v>168</v>
      </c>
      <c r="AF38" s="10" t="s">
        <v>168</v>
      </c>
      <c r="AG38" s="38">
        <f t="shared" si="1"/>
        <v>1</v>
      </c>
      <c r="AH38" s="51">
        <f t="shared" si="2"/>
        <v>14.2915478</v>
      </c>
      <c r="AI38" s="64">
        <v>4</v>
      </c>
      <c r="AJ38" s="72" t="s">
        <v>343</v>
      </c>
      <c r="AK38" s="65">
        <v>0</v>
      </c>
      <c r="AL38" s="1"/>
      <c r="AM38" s="1"/>
      <c r="AN38" s="81"/>
      <c r="AO38" s="81"/>
    </row>
    <row r="39" spans="1:41" s="26" customFormat="1" ht="78.75" hidden="1" x14ac:dyDescent="0.25">
      <c r="A39" s="22" t="s">
        <v>344</v>
      </c>
      <c r="B39" s="2" t="s">
        <v>172</v>
      </c>
      <c r="C39" s="21">
        <v>4.75</v>
      </c>
      <c r="D39" s="23">
        <v>1230</v>
      </c>
      <c r="E39" s="23" t="s">
        <v>161</v>
      </c>
      <c r="F39" s="23"/>
      <c r="G39" s="3" t="s">
        <v>345</v>
      </c>
      <c r="H39" s="12" t="s">
        <v>161</v>
      </c>
      <c r="I39" s="12"/>
      <c r="J39" s="4">
        <v>69</v>
      </c>
      <c r="K39" s="5">
        <v>23</v>
      </c>
      <c r="L39" s="5" t="s">
        <v>36</v>
      </c>
      <c r="M39" s="4" t="s">
        <v>239</v>
      </c>
      <c r="N39" s="4" t="s">
        <v>240</v>
      </c>
      <c r="O39" s="12" t="s">
        <v>277</v>
      </c>
      <c r="P39" s="12" t="s">
        <v>167</v>
      </c>
      <c r="Q39" s="30" t="s">
        <v>167</v>
      </c>
      <c r="R39" s="27" t="s">
        <v>167</v>
      </c>
      <c r="S39" s="10" t="s">
        <v>177</v>
      </c>
      <c r="T39" s="13">
        <v>12.8765</v>
      </c>
      <c r="U39" s="13">
        <v>12.38236</v>
      </c>
      <c r="V39" s="13">
        <v>16.106900000000003</v>
      </c>
      <c r="W39" s="13">
        <v>13.187200000000001</v>
      </c>
      <c r="X39" s="13">
        <v>15.988899999999999</v>
      </c>
      <c r="Y39" s="1">
        <f t="shared" si="0"/>
        <v>14.108371999999999</v>
      </c>
      <c r="Z39" s="10" t="s">
        <v>168</v>
      </c>
      <c r="AA39" s="10" t="s">
        <v>168</v>
      </c>
      <c r="AB39" s="10" t="s">
        <v>168</v>
      </c>
      <c r="AC39" s="10" t="s">
        <v>168</v>
      </c>
      <c r="AD39" s="10" t="s">
        <v>168</v>
      </c>
      <c r="AE39" s="10" t="s">
        <v>168</v>
      </c>
      <c r="AF39" s="10" t="s">
        <v>168</v>
      </c>
      <c r="AG39" s="38">
        <f t="shared" si="1"/>
        <v>1</v>
      </c>
      <c r="AH39" s="51">
        <f t="shared" si="2"/>
        <v>14.108371999999999</v>
      </c>
      <c r="AI39" s="64">
        <v>13</v>
      </c>
      <c r="AJ39" s="90" t="s">
        <v>346</v>
      </c>
      <c r="AK39" s="65">
        <v>2486.5</v>
      </c>
      <c r="AL39" s="1"/>
      <c r="AM39" s="1" t="s">
        <v>347</v>
      </c>
      <c r="AN39" s="81">
        <v>46113</v>
      </c>
      <c r="AO39" s="81" t="s">
        <v>180</v>
      </c>
    </row>
    <row r="40" spans="1:41" s="26" customFormat="1" ht="22.5" x14ac:dyDescent="0.25">
      <c r="A40" s="22" t="s">
        <v>348</v>
      </c>
      <c r="B40" s="2" t="s">
        <v>172</v>
      </c>
      <c r="C40" s="21">
        <v>3</v>
      </c>
      <c r="D40" s="23">
        <v>1450</v>
      </c>
      <c r="E40" s="23" t="s">
        <v>161</v>
      </c>
      <c r="F40" s="23"/>
      <c r="G40" s="3" t="s">
        <v>349</v>
      </c>
      <c r="H40" s="10" t="s">
        <v>161</v>
      </c>
      <c r="I40" s="10"/>
      <c r="J40" s="6"/>
      <c r="K40" s="21"/>
      <c r="L40" s="21" t="s">
        <v>39</v>
      </c>
      <c r="M40" s="6" t="s">
        <v>210</v>
      </c>
      <c r="N40" s="6" t="s">
        <v>350</v>
      </c>
      <c r="O40" s="12" t="s">
        <v>277</v>
      </c>
      <c r="P40" s="10" t="s">
        <v>167</v>
      </c>
      <c r="Q40" s="29" t="s">
        <v>167</v>
      </c>
      <c r="R40" s="27" t="s">
        <v>167</v>
      </c>
      <c r="S40" s="10" t="s">
        <v>177</v>
      </c>
      <c r="T40" s="13">
        <v>5.5061499999999999</v>
      </c>
      <c r="U40" s="13">
        <v>14.867387999999998</v>
      </c>
      <c r="V40" s="13">
        <v>18.702372</v>
      </c>
      <c r="W40" s="13">
        <v>14.355245999999999</v>
      </c>
      <c r="X40" s="13">
        <v>16.549896</v>
      </c>
      <c r="Y40" s="1">
        <f t="shared" si="0"/>
        <v>13.996210399999999</v>
      </c>
      <c r="Z40" s="10"/>
      <c r="AA40" s="10"/>
      <c r="AB40" s="10"/>
      <c r="AC40" s="10"/>
      <c r="AD40" s="10"/>
      <c r="AE40" s="10"/>
      <c r="AF40" s="10"/>
      <c r="AG40" s="38">
        <f t="shared" si="1"/>
        <v>0</v>
      </c>
      <c r="AH40" s="51" t="str">
        <f t="shared" si="2"/>
        <v xml:space="preserve"> </v>
      </c>
      <c r="AI40" s="64">
        <v>5</v>
      </c>
      <c r="AJ40" s="72" t="s">
        <v>351</v>
      </c>
      <c r="AK40" s="65">
        <v>0</v>
      </c>
      <c r="AL40" s="1"/>
      <c r="AM40" s="1"/>
      <c r="AN40" s="81"/>
      <c r="AO40" s="81"/>
    </row>
    <row r="41" spans="1:41" s="26" customFormat="1" ht="45" x14ac:dyDescent="0.25">
      <c r="A41" s="22" t="s">
        <v>352</v>
      </c>
      <c r="B41" s="2" t="s">
        <v>160</v>
      </c>
      <c r="C41" s="21">
        <v>1.2</v>
      </c>
      <c r="D41" s="23">
        <v>1100</v>
      </c>
      <c r="E41" s="23" t="s">
        <v>161</v>
      </c>
      <c r="F41" s="23"/>
      <c r="G41" s="3" t="s">
        <v>353</v>
      </c>
      <c r="H41" s="10" t="s">
        <v>161</v>
      </c>
      <c r="I41" s="10"/>
      <c r="J41" s="6"/>
      <c r="K41" s="21"/>
      <c r="L41" s="21" t="s">
        <v>39</v>
      </c>
      <c r="M41" s="6" t="s">
        <v>338</v>
      </c>
      <c r="N41" s="6" t="s">
        <v>354</v>
      </c>
      <c r="O41" s="12" t="s">
        <v>277</v>
      </c>
      <c r="P41" s="10" t="s">
        <v>167</v>
      </c>
      <c r="Q41" s="29" t="s">
        <v>167</v>
      </c>
      <c r="R41" s="27" t="s">
        <v>167</v>
      </c>
      <c r="S41" s="10" t="s">
        <v>167</v>
      </c>
      <c r="T41" s="13">
        <v>10.476078000000001</v>
      </c>
      <c r="U41" s="13">
        <v>11.337382000000002</v>
      </c>
      <c r="V41" s="13">
        <v>17.497578000000001</v>
      </c>
      <c r="W41" s="13">
        <v>14.417479999999999</v>
      </c>
      <c r="X41" s="13">
        <v>15.363042000000002</v>
      </c>
      <c r="Y41" s="1">
        <f t="shared" si="0"/>
        <v>13.818312000000001</v>
      </c>
      <c r="Z41" s="10"/>
      <c r="AA41" s="10"/>
      <c r="AB41" s="10"/>
      <c r="AC41" s="10"/>
      <c r="AD41" s="10"/>
      <c r="AE41" s="10"/>
      <c r="AF41" s="10"/>
      <c r="AG41" s="38">
        <f t="shared" si="1"/>
        <v>0</v>
      </c>
      <c r="AH41" s="51" t="str">
        <f t="shared" si="2"/>
        <v xml:space="preserve"> </v>
      </c>
      <c r="AI41" s="64">
        <v>8</v>
      </c>
      <c r="AJ41" s="72" t="s">
        <v>355</v>
      </c>
      <c r="AK41" s="65">
        <v>0</v>
      </c>
      <c r="AL41" s="1"/>
      <c r="AM41" s="1"/>
      <c r="AN41" s="81"/>
      <c r="AO41" s="81"/>
    </row>
    <row r="42" spans="1:41" s="26" customFormat="1" x14ac:dyDescent="0.25">
      <c r="A42" s="22" t="s">
        <v>356</v>
      </c>
      <c r="B42" s="2" t="s">
        <v>197</v>
      </c>
      <c r="C42" s="21">
        <v>2</v>
      </c>
      <c r="D42" s="23">
        <v>900</v>
      </c>
      <c r="E42" s="23" t="s">
        <v>161</v>
      </c>
      <c r="F42" s="23"/>
      <c r="G42" s="3" t="s">
        <v>357</v>
      </c>
      <c r="H42" s="12" t="s">
        <v>358</v>
      </c>
      <c r="I42" s="10"/>
      <c r="J42" s="4"/>
      <c r="K42" s="5"/>
      <c r="L42" s="5" t="s">
        <v>359</v>
      </c>
      <c r="M42" s="4" t="s">
        <v>164</v>
      </c>
      <c r="N42" s="36" t="s">
        <v>165</v>
      </c>
      <c r="O42" s="12" t="s">
        <v>277</v>
      </c>
      <c r="P42" s="12" t="s">
        <v>167</v>
      </c>
      <c r="Q42" s="30" t="s">
        <v>167</v>
      </c>
      <c r="R42" s="27" t="s">
        <v>167</v>
      </c>
      <c r="S42" s="10" t="s">
        <v>167</v>
      </c>
      <c r="T42" s="13">
        <v>12.032906000000002</v>
      </c>
      <c r="U42" s="13">
        <v>15.097200000000001</v>
      </c>
      <c r="V42" s="13">
        <v>16.41</v>
      </c>
      <c r="W42" s="13">
        <v>5.2512000000000008</v>
      </c>
      <c r="X42" s="13">
        <v>17.066400000000002</v>
      </c>
      <c r="Y42" s="1">
        <f t="shared" si="0"/>
        <v>13.171541200000002</v>
      </c>
      <c r="Z42" s="10"/>
      <c r="AA42" s="10"/>
      <c r="AB42" s="10"/>
      <c r="AC42" s="10"/>
      <c r="AD42" s="10"/>
      <c r="AE42" s="10"/>
      <c r="AF42" s="10"/>
      <c r="AG42" s="38">
        <f t="shared" si="1"/>
        <v>0</v>
      </c>
      <c r="AH42" s="51" t="str">
        <f t="shared" si="2"/>
        <v xml:space="preserve"> </v>
      </c>
      <c r="AI42" s="64">
        <v>2</v>
      </c>
      <c r="AJ42" s="72" t="s">
        <v>360</v>
      </c>
      <c r="AK42" s="65">
        <v>0</v>
      </c>
      <c r="AL42" s="1"/>
      <c r="AM42" s="1"/>
      <c r="AN42" s="81"/>
      <c r="AO42" s="81"/>
    </row>
    <row r="43" spans="1:41" s="26" customFormat="1" x14ac:dyDescent="0.25">
      <c r="A43" s="22" t="s">
        <v>361</v>
      </c>
      <c r="B43" s="2" t="s">
        <v>197</v>
      </c>
      <c r="C43" s="21">
        <v>1</v>
      </c>
      <c r="D43" s="23">
        <v>1100</v>
      </c>
      <c r="E43" s="23" t="s">
        <v>161</v>
      </c>
      <c r="F43" s="23"/>
      <c r="G43" s="3" t="s">
        <v>362</v>
      </c>
      <c r="H43" s="10" t="s">
        <v>161</v>
      </c>
      <c r="I43" s="10"/>
      <c r="J43" s="6"/>
      <c r="K43" s="21"/>
      <c r="L43" s="21" t="s">
        <v>363</v>
      </c>
      <c r="M43" s="4" t="s">
        <v>260</v>
      </c>
      <c r="N43" s="6" t="s">
        <v>364</v>
      </c>
      <c r="O43" s="12" t="s">
        <v>277</v>
      </c>
      <c r="P43" s="10" t="s">
        <v>167</v>
      </c>
      <c r="Q43" s="29" t="s">
        <v>167</v>
      </c>
      <c r="R43" s="27" t="s">
        <v>167</v>
      </c>
      <c r="S43" s="10" t="s">
        <v>167</v>
      </c>
      <c r="T43" s="13">
        <v>11.262899999999998</v>
      </c>
      <c r="U43" s="13">
        <v>11.945499999999999</v>
      </c>
      <c r="V43" s="13">
        <v>14.50525</v>
      </c>
      <c r="W43" s="13">
        <v>13.651999999999999</v>
      </c>
      <c r="X43" s="13">
        <v>13.651999999999999</v>
      </c>
      <c r="Y43" s="1">
        <f t="shared" si="0"/>
        <v>13.003530000000001</v>
      </c>
      <c r="Z43" s="10"/>
      <c r="AA43" s="10"/>
      <c r="AB43" s="10"/>
      <c r="AC43" s="10"/>
      <c r="AD43" s="10"/>
      <c r="AE43" s="10"/>
      <c r="AF43" s="10"/>
      <c r="AG43" s="38">
        <f t="shared" si="1"/>
        <v>0</v>
      </c>
      <c r="AH43" s="51" t="str">
        <f t="shared" si="2"/>
        <v xml:space="preserve"> </v>
      </c>
      <c r="AI43" s="64">
        <v>2</v>
      </c>
      <c r="AJ43" s="72" t="s">
        <v>365</v>
      </c>
      <c r="AK43" s="65">
        <v>0</v>
      </c>
      <c r="AL43" s="1"/>
      <c r="AM43" s="1"/>
      <c r="AN43" s="81"/>
      <c r="AO43" s="81"/>
    </row>
    <row r="44" spans="1:41" s="26" customFormat="1" hidden="1" x14ac:dyDescent="0.25">
      <c r="A44" s="22" t="s">
        <v>366</v>
      </c>
      <c r="B44" s="2" t="s">
        <v>172</v>
      </c>
      <c r="C44" s="21">
        <v>3.75</v>
      </c>
      <c r="D44" s="23">
        <v>880</v>
      </c>
      <c r="E44" s="23" t="s">
        <v>161</v>
      </c>
      <c r="F44" s="23" t="s">
        <v>367</v>
      </c>
      <c r="G44" s="3" t="s">
        <v>368</v>
      </c>
      <c r="H44" s="12" t="s">
        <v>161</v>
      </c>
      <c r="I44" s="12"/>
      <c r="J44" s="4"/>
      <c r="K44" s="5"/>
      <c r="L44" s="5" t="s">
        <v>39</v>
      </c>
      <c r="M44" s="4" t="s">
        <v>27</v>
      </c>
      <c r="N44" s="4" t="s">
        <v>271</v>
      </c>
      <c r="O44" s="12" t="s">
        <v>277</v>
      </c>
      <c r="P44" s="12" t="s">
        <v>272</v>
      </c>
      <c r="Q44" s="30" t="s">
        <v>167</v>
      </c>
      <c r="R44" s="27" t="s">
        <v>167</v>
      </c>
      <c r="S44" s="12" t="s">
        <v>167</v>
      </c>
      <c r="T44" s="13">
        <v>7.2131000000000007</v>
      </c>
      <c r="U44" s="13">
        <v>11.0318</v>
      </c>
      <c r="V44" s="13">
        <v>15.444520000000001</v>
      </c>
      <c r="W44" s="13">
        <v>13.74732</v>
      </c>
      <c r="X44" s="13">
        <v>16.462840000000003</v>
      </c>
      <c r="Y44" s="1">
        <f t="shared" si="0"/>
        <v>12.779916</v>
      </c>
      <c r="Z44" s="10" t="s">
        <v>168</v>
      </c>
      <c r="AA44" s="10" t="s">
        <v>168</v>
      </c>
      <c r="AB44" s="10" t="s">
        <v>168</v>
      </c>
      <c r="AC44" s="10" t="s">
        <v>168</v>
      </c>
      <c r="AD44" s="10" t="s">
        <v>168</v>
      </c>
      <c r="AE44" s="10" t="s">
        <v>168</v>
      </c>
      <c r="AF44" s="10" t="s">
        <v>168</v>
      </c>
      <c r="AG44" s="38">
        <f t="shared" si="1"/>
        <v>1</v>
      </c>
      <c r="AH44" s="51">
        <f t="shared" si="2"/>
        <v>12.779916</v>
      </c>
      <c r="AI44" s="64">
        <v>2</v>
      </c>
      <c r="AJ44" s="89" t="s">
        <v>369</v>
      </c>
      <c r="AK44" s="65">
        <v>4345.75</v>
      </c>
      <c r="AL44" s="1"/>
      <c r="AM44" s="1" t="s">
        <v>370</v>
      </c>
      <c r="AN44" s="81">
        <v>46143</v>
      </c>
      <c r="AO44" s="81" t="s">
        <v>180</v>
      </c>
    </row>
    <row r="45" spans="1:41" s="26" customFormat="1" hidden="1" x14ac:dyDescent="0.25">
      <c r="A45" s="22" t="s">
        <v>371</v>
      </c>
      <c r="B45" s="2" t="s">
        <v>160</v>
      </c>
      <c r="C45" s="21">
        <v>0.65</v>
      </c>
      <c r="D45" s="23">
        <v>1050</v>
      </c>
      <c r="E45" s="23" t="s">
        <v>161</v>
      </c>
      <c r="F45" s="23"/>
      <c r="G45" s="3" t="s">
        <v>372</v>
      </c>
      <c r="H45" s="10" t="s">
        <v>161</v>
      </c>
      <c r="I45" s="10"/>
      <c r="J45" s="6"/>
      <c r="K45" s="21"/>
      <c r="L45" s="21" t="s">
        <v>39</v>
      </c>
      <c r="M45" s="4" t="s">
        <v>217</v>
      </c>
      <c r="N45" s="6"/>
      <c r="O45" s="12" t="s">
        <v>277</v>
      </c>
      <c r="P45" s="10" t="s">
        <v>205</v>
      </c>
      <c r="Q45" s="29" t="s">
        <v>205</v>
      </c>
      <c r="R45" s="27" t="s">
        <v>167</v>
      </c>
      <c r="S45" s="10" t="s">
        <v>167</v>
      </c>
      <c r="T45" s="13">
        <v>6.9278000000000004</v>
      </c>
      <c r="U45" s="13">
        <v>12.470040000000001</v>
      </c>
      <c r="V45" s="13">
        <v>19.397839999999999</v>
      </c>
      <c r="W45" s="13">
        <v>11.084479999999999</v>
      </c>
      <c r="X45" s="13">
        <v>13.855600000000001</v>
      </c>
      <c r="Y45" s="1">
        <f t="shared" si="0"/>
        <v>12.747152000000002</v>
      </c>
      <c r="Z45" s="10" t="s">
        <v>168</v>
      </c>
      <c r="AA45" s="10" t="s">
        <v>168</v>
      </c>
      <c r="AB45" s="10" t="s">
        <v>168</v>
      </c>
      <c r="AC45" s="10" t="s">
        <v>168</v>
      </c>
      <c r="AD45" s="10" t="s">
        <v>168</v>
      </c>
      <c r="AE45" s="10" t="s">
        <v>168</v>
      </c>
      <c r="AF45" s="10" t="s">
        <v>168</v>
      </c>
      <c r="AG45" s="38">
        <f t="shared" si="1"/>
        <v>1</v>
      </c>
      <c r="AH45" s="51">
        <f t="shared" si="2"/>
        <v>12.747152000000002</v>
      </c>
      <c r="AI45" s="64">
        <v>2</v>
      </c>
      <c r="AJ45" s="72" t="s">
        <v>373</v>
      </c>
      <c r="AK45" s="65">
        <v>17261.61</v>
      </c>
      <c r="AL45" s="1"/>
      <c r="AM45" s="1" t="s">
        <v>374</v>
      </c>
      <c r="AN45" s="81">
        <v>46143</v>
      </c>
      <c r="AO45" s="81" t="s">
        <v>180</v>
      </c>
    </row>
    <row r="46" spans="1:41" s="26" customFormat="1" ht="22.5" x14ac:dyDescent="0.25">
      <c r="A46" s="22" t="s">
        <v>375</v>
      </c>
      <c r="B46" s="2" t="s">
        <v>376</v>
      </c>
      <c r="C46" s="21">
        <v>1.4</v>
      </c>
      <c r="D46" s="23">
        <v>287</v>
      </c>
      <c r="E46" s="23">
        <v>460</v>
      </c>
      <c r="F46" s="23"/>
      <c r="G46" s="3" t="s">
        <v>377</v>
      </c>
      <c r="H46" s="10" t="s">
        <v>161</v>
      </c>
      <c r="I46" s="10"/>
      <c r="J46" s="6"/>
      <c r="K46" s="21"/>
      <c r="L46" s="21" t="s">
        <v>45</v>
      </c>
      <c r="M46" s="6" t="s">
        <v>378</v>
      </c>
      <c r="N46" s="6" t="s">
        <v>379</v>
      </c>
      <c r="O46" s="12" t="s">
        <v>380</v>
      </c>
      <c r="P46" s="10" t="s">
        <v>167</v>
      </c>
      <c r="Q46" s="29" t="s">
        <v>167</v>
      </c>
      <c r="R46" s="27" t="s">
        <v>167</v>
      </c>
      <c r="S46" s="10" t="s">
        <v>167</v>
      </c>
      <c r="T46" s="13">
        <v>13.246799999999999</v>
      </c>
      <c r="U46" s="13">
        <v>10.458</v>
      </c>
      <c r="V46" s="13">
        <v>14.292599999999998</v>
      </c>
      <c r="W46" s="13">
        <v>10.806599999999998</v>
      </c>
      <c r="X46" s="13">
        <v>10.806599999999998</v>
      </c>
      <c r="Y46" s="1">
        <f t="shared" si="0"/>
        <v>11.922119999999998</v>
      </c>
      <c r="Z46" s="10"/>
      <c r="AA46" s="10"/>
      <c r="AB46" s="10"/>
      <c r="AC46" s="10"/>
      <c r="AD46" s="10"/>
      <c r="AE46" s="10"/>
      <c r="AF46" s="10"/>
      <c r="AG46" s="38">
        <f t="shared" si="1"/>
        <v>0</v>
      </c>
      <c r="AH46" s="51" t="str">
        <f t="shared" si="2"/>
        <v xml:space="preserve"> </v>
      </c>
      <c r="AI46" s="64">
        <v>4</v>
      </c>
      <c r="AJ46" s="72" t="s">
        <v>381</v>
      </c>
      <c r="AK46" s="65">
        <v>0</v>
      </c>
      <c r="AL46" s="1"/>
      <c r="AM46" s="1"/>
      <c r="AN46" s="81"/>
      <c r="AO46" s="81"/>
    </row>
    <row r="47" spans="1:41" s="26" customFormat="1" ht="33.75" x14ac:dyDescent="0.25">
      <c r="A47" s="22" t="s">
        <v>382</v>
      </c>
      <c r="B47" s="2" t="s">
        <v>172</v>
      </c>
      <c r="C47" s="21">
        <v>3</v>
      </c>
      <c r="D47" s="23">
        <v>1100</v>
      </c>
      <c r="E47" s="23" t="s">
        <v>161</v>
      </c>
      <c r="F47" s="23"/>
      <c r="G47" s="3" t="s">
        <v>383</v>
      </c>
      <c r="H47" s="10" t="s">
        <v>161</v>
      </c>
      <c r="I47" s="10"/>
      <c r="J47" s="6"/>
      <c r="K47" s="21"/>
      <c r="L47" s="21" t="s">
        <v>39</v>
      </c>
      <c r="M47" s="6" t="s">
        <v>210</v>
      </c>
      <c r="N47" s="6" t="s">
        <v>384</v>
      </c>
      <c r="O47" s="12" t="s">
        <v>277</v>
      </c>
      <c r="P47" s="10" t="s">
        <v>167</v>
      </c>
      <c r="Q47" s="29" t="s">
        <v>167</v>
      </c>
      <c r="R47" s="27" t="s">
        <v>167</v>
      </c>
      <c r="S47" s="10" t="s">
        <v>177</v>
      </c>
      <c r="T47" s="13">
        <v>7.3853</v>
      </c>
      <c r="U47" s="13">
        <v>11.971935000000002</v>
      </c>
      <c r="V47" s="13">
        <v>15.045050999999999</v>
      </c>
      <c r="W47" s="13">
        <v>11.743664000000001</v>
      </c>
      <c r="X47" s="13">
        <v>13.136912000000001</v>
      </c>
      <c r="Y47" s="1">
        <f t="shared" si="0"/>
        <v>11.856572400000001</v>
      </c>
      <c r="Z47" s="10"/>
      <c r="AA47" s="10"/>
      <c r="AB47" s="10"/>
      <c r="AC47" s="10"/>
      <c r="AD47" s="10"/>
      <c r="AE47" s="10"/>
      <c r="AF47" s="10"/>
      <c r="AG47" s="38">
        <f t="shared" si="1"/>
        <v>0</v>
      </c>
      <c r="AH47" s="51" t="str">
        <f t="shared" si="2"/>
        <v xml:space="preserve"> </v>
      </c>
      <c r="AI47" s="64">
        <v>6</v>
      </c>
      <c r="AJ47" s="72" t="s">
        <v>385</v>
      </c>
      <c r="AK47" s="65">
        <v>0</v>
      </c>
      <c r="AL47" s="1"/>
      <c r="AM47" s="1"/>
      <c r="AN47" s="81"/>
      <c r="AO47" s="81"/>
    </row>
    <row r="48" spans="1:41" s="26" customFormat="1" hidden="1" x14ac:dyDescent="0.25">
      <c r="A48" s="22" t="s">
        <v>386</v>
      </c>
      <c r="B48" s="2" t="s">
        <v>203</v>
      </c>
      <c r="C48" s="21">
        <v>1</v>
      </c>
      <c r="D48" s="23">
        <v>325</v>
      </c>
      <c r="E48" s="23">
        <v>720</v>
      </c>
      <c r="F48" s="23"/>
      <c r="G48" s="3" t="s">
        <v>387</v>
      </c>
      <c r="H48" s="12">
        <v>34025699</v>
      </c>
      <c r="I48" s="12"/>
      <c r="J48" s="4"/>
      <c r="K48" s="5"/>
      <c r="L48" s="5" t="s">
        <v>191</v>
      </c>
      <c r="M48" s="4" t="s">
        <v>378</v>
      </c>
      <c r="N48" s="4" t="s">
        <v>331</v>
      </c>
      <c r="O48" s="12" t="s">
        <v>380</v>
      </c>
      <c r="P48" s="12" t="s">
        <v>167</v>
      </c>
      <c r="Q48" s="30" t="s">
        <v>167</v>
      </c>
      <c r="R48" s="27" t="s">
        <v>205</v>
      </c>
      <c r="S48" s="12" t="s">
        <v>167</v>
      </c>
      <c r="T48" s="13">
        <v>10.255728</v>
      </c>
      <c r="U48" s="13">
        <v>11.456144</v>
      </c>
      <c r="V48" s="13">
        <v>12.239024000000001</v>
      </c>
      <c r="W48" s="13">
        <v>10.542784000000001</v>
      </c>
      <c r="X48" s="13">
        <v>10.490592000000001</v>
      </c>
      <c r="Y48" s="1">
        <f t="shared" si="0"/>
        <v>10.9968544</v>
      </c>
      <c r="Z48" s="10" t="s">
        <v>168</v>
      </c>
      <c r="AA48" s="10" t="s">
        <v>168</v>
      </c>
      <c r="AB48" s="10" t="s">
        <v>168</v>
      </c>
      <c r="AC48" s="10" t="s">
        <v>168</v>
      </c>
      <c r="AD48" s="10" t="s">
        <v>168</v>
      </c>
      <c r="AE48" s="10" t="s">
        <v>168</v>
      </c>
      <c r="AF48" s="10" t="s">
        <v>168</v>
      </c>
      <c r="AG48" s="38">
        <f t="shared" si="1"/>
        <v>1</v>
      </c>
      <c r="AH48" s="51">
        <f t="shared" si="2"/>
        <v>10.9968544</v>
      </c>
      <c r="AI48" s="64">
        <v>1</v>
      </c>
      <c r="AJ48" s="84" t="s">
        <v>388</v>
      </c>
      <c r="AK48" s="65">
        <f>36547.64/12</f>
        <v>3045.6366666666668</v>
      </c>
      <c r="AL48" s="1"/>
      <c r="AM48" s="1" t="s">
        <v>314</v>
      </c>
      <c r="AN48" s="81">
        <v>46266</v>
      </c>
      <c r="AO48" s="81"/>
    </row>
    <row r="49" spans="1:41" s="26" customFormat="1" x14ac:dyDescent="0.25">
      <c r="A49" s="22" t="s">
        <v>389</v>
      </c>
      <c r="B49" s="2" t="s">
        <v>189</v>
      </c>
      <c r="C49" s="21">
        <v>2.5</v>
      </c>
      <c r="D49" s="23">
        <v>200</v>
      </c>
      <c r="E49" s="23" t="s">
        <v>161</v>
      </c>
      <c r="F49" s="23"/>
      <c r="G49" s="3" t="s">
        <v>390</v>
      </c>
      <c r="H49" s="12">
        <v>34025652</v>
      </c>
      <c r="I49" s="10"/>
      <c r="J49" s="4"/>
      <c r="K49" s="5"/>
      <c r="L49" s="5" t="s">
        <v>191</v>
      </c>
      <c r="M49" s="4" t="s">
        <v>164</v>
      </c>
      <c r="N49" s="36" t="s">
        <v>165</v>
      </c>
      <c r="O49" s="12" t="s">
        <v>380</v>
      </c>
      <c r="P49" s="12" t="s">
        <v>167</v>
      </c>
      <c r="Q49" s="30" t="s">
        <v>167</v>
      </c>
      <c r="R49" s="27" t="s">
        <v>167</v>
      </c>
      <c r="S49" s="10" t="s">
        <v>167</v>
      </c>
      <c r="T49" s="13">
        <v>9.5039999999999996</v>
      </c>
      <c r="U49" s="13">
        <v>11.087999999999999</v>
      </c>
      <c r="V49" s="13">
        <v>11.087999999999999</v>
      </c>
      <c r="W49" s="13">
        <v>6.3360000000000003</v>
      </c>
      <c r="X49" s="13">
        <v>10.295999999999999</v>
      </c>
      <c r="Y49" s="1">
        <f t="shared" si="0"/>
        <v>9.6623999999999999</v>
      </c>
      <c r="Z49" s="10"/>
      <c r="AA49" s="10"/>
      <c r="AB49" s="10"/>
      <c r="AC49" s="10"/>
      <c r="AD49" s="10"/>
      <c r="AE49" s="10"/>
      <c r="AF49" s="10"/>
      <c r="AG49" s="38">
        <f t="shared" si="1"/>
        <v>0</v>
      </c>
      <c r="AH49" s="51" t="str">
        <f t="shared" si="2"/>
        <v xml:space="preserve"> </v>
      </c>
      <c r="AI49" s="64">
        <v>1</v>
      </c>
      <c r="AJ49" s="72" t="s">
        <v>391</v>
      </c>
      <c r="AK49" s="65">
        <v>0</v>
      </c>
      <c r="AL49" s="1"/>
      <c r="AM49" s="1"/>
      <c r="AN49" s="81"/>
      <c r="AO49" s="81"/>
    </row>
    <row r="50" spans="1:41" s="26" customFormat="1" x14ac:dyDescent="0.25">
      <c r="A50" s="22" t="s">
        <v>392</v>
      </c>
      <c r="B50" s="2" t="s">
        <v>197</v>
      </c>
      <c r="C50" s="21">
        <v>1.2</v>
      </c>
      <c r="D50" s="23">
        <v>1100</v>
      </c>
      <c r="E50" s="23" t="s">
        <v>161</v>
      </c>
      <c r="F50" s="23"/>
      <c r="G50" s="3" t="s">
        <v>393</v>
      </c>
      <c r="H50" s="10" t="s">
        <v>161</v>
      </c>
      <c r="I50" s="10"/>
      <c r="J50" s="6"/>
      <c r="K50" s="21"/>
      <c r="L50" s="21" t="s">
        <v>45</v>
      </c>
      <c r="M50" s="6" t="s">
        <v>260</v>
      </c>
      <c r="N50" s="6" t="s">
        <v>394</v>
      </c>
      <c r="O50" s="12" t="s">
        <v>380</v>
      </c>
      <c r="P50" s="10" t="s">
        <v>167</v>
      </c>
      <c r="Q50" s="29" t="s">
        <v>167</v>
      </c>
      <c r="R50" s="27" t="s">
        <v>167</v>
      </c>
      <c r="S50" s="10" t="s">
        <v>167</v>
      </c>
      <c r="T50" s="13">
        <v>7.1572839999999998</v>
      </c>
      <c r="U50" s="13">
        <v>7.5461</v>
      </c>
      <c r="V50" s="13">
        <v>10.104100000000001</v>
      </c>
      <c r="W50" s="13">
        <v>8.8250999999999991</v>
      </c>
      <c r="X50" s="13">
        <v>8.9529999999999994</v>
      </c>
      <c r="Y50" s="1">
        <f t="shared" si="0"/>
        <v>8.5171168000000002</v>
      </c>
      <c r="Z50" s="10"/>
      <c r="AA50" s="10"/>
      <c r="AB50" s="10"/>
      <c r="AC50" s="10"/>
      <c r="AD50" s="10"/>
      <c r="AE50" s="10"/>
      <c r="AF50" s="10"/>
      <c r="AG50" s="38">
        <f t="shared" si="1"/>
        <v>0</v>
      </c>
      <c r="AH50" s="51" t="str">
        <f t="shared" si="2"/>
        <v xml:space="preserve"> </v>
      </c>
      <c r="AI50" s="64">
        <v>2</v>
      </c>
      <c r="AJ50" s="72" t="s">
        <v>395</v>
      </c>
      <c r="AK50" s="65">
        <v>0</v>
      </c>
      <c r="AL50" s="1"/>
      <c r="AM50" s="1"/>
      <c r="AN50" s="81"/>
      <c r="AO50" s="81"/>
    </row>
    <row r="51" spans="1:41" s="26" customFormat="1" x14ac:dyDescent="0.25">
      <c r="A51" s="22" t="s">
        <v>396</v>
      </c>
      <c r="B51" s="2" t="s">
        <v>189</v>
      </c>
      <c r="C51" s="21">
        <v>1</v>
      </c>
      <c r="D51" s="23">
        <v>550</v>
      </c>
      <c r="E51" s="23" t="s">
        <v>161</v>
      </c>
      <c r="F51" s="23"/>
      <c r="G51" s="3" t="s">
        <v>397</v>
      </c>
      <c r="H51" s="12" t="s">
        <v>161</v>
      </c>
      <c r="I51" s="12"/>
      <c r="J51" s="4"/>
      <c r="K51" s="5"/>
      <c r="L51" s="5" t="s">
        <v>398</v>
      </c>
      <c r="M51" s="4" t="s">
        <v>24</v>
      </c>
      <c r="N51" s="4" t="s">
        <v>379</v>
      </c>
      <c r="O51" s="12" t="s">
        <v>380</v>
      </c>
      <c r="P51" s="12" t="s">
        <v>167</v>
      </c>
      <c r="Q51" s="30" t="s">
        <v>167</v>
      </c>
      <c r="R51" s="27" t="s">
        <v>167</v>
      </c>
      <c r="S51" s="10" t="s">
        <v>167</v>
      </c>
      <c r="T51" s="13">
        <v>7.8285</v>
      </c>
      <c r="U51" s="13">
        <v>7.14</v>
      </c>
      <c r="V51" s="13">
        <v>8.0342000000000002</v>
      </c>
      <c r="W51" s="13">
        <v>10.264599999999998</v>
      </c>
      <c r="X51" s="13">
        <v>8.0342000000000002</v>
      </c>
      <c r="Y51" s="1">
        <f t="shared" si="0"/>
        <v>8.2602999999999973</v>
      </c>
      <c r="Z51" s="10"/>
      <c r="AA51" s="10"/>
      <c r="AB51" s="10"/>
      <c r="AC51" s="10"/>
      <c r="AD51" s="10"/>
      <c r="AE51" s="10"/>
      <c r="AF51" s="10"/>
      <c r="AG51" s="38">
        <f t="shared" si="1"/>
        <v>0</v>
      </c>
      <c r="AH51" s="51" t="str">
        <f t="shared" si="2"/>
        <v xml:space="preserve"> </v>
      </c>
      <c r="AI51" s="64">
        <v>2</v>
      </c>
      <c r="AJ51" s="72" t="s">
        <v>399</v>
      </c>
      <c r="AK51" s="65">
        <v>0</v>
      </c>
      <c r="AL51" s="1"/>
      <c r="AM51" s="1"/>
      <c r="AN51" s="81"/>
      <c r="AO51" s="81"/>
    </row>
    <row r="52" spans="1:41" s="26" customFormat="1" x14ac:dyDescent="0.25">
      <c r="A52" s="22" t="s">
        <v>400</v>
      </c>
      <c r="B52" s="2" t="s">
        <v>160</v>
      </c>
      <c r="C52" s="21">
        <v>1.2</v>
      </c>
      <c r="D52" s="23">
        <v>1100</v>
      </c>
      <c r="E52" s="23" t="s">
        <v>161</v>
      </c>
      <c r="F52" s="23"/>
      <c r="G52" s="3" t="s">
        <v>401</v>
      </c>
      <c r="H52" s="12" t="s">
        <v>161</v>
      </c>
      <c r="I52" s="10"/>
      <c r="J52" s="4"/>
      <c r="K52" s="5"/>
      <c r="L52" s="5" t="s">
        <v>39</v>
      </c>
      <c r="M52" s="4" t="s">
        <v>338</v>
      </c>
      <c r="N52" s="4" t="s">
        <v>402</v>
      </c>
      <c r="O52" s="12" t="s">
        <v>380</v>
      </c>
      <c r="P52" s="12" t="s">
        <v>167</v>
      </c>
      <c r="Q52" s="30" t="s">
        <v>167</v>
      </c>
      <c r="R52" s="27" t="s">
        <v>167</v>
      </c>
      <c r="S52" s="10" t="s">
        <v>177</v>
      </c>
      <c r="T52" s="13">
        <v>3.8148</v>
      </c>
      <c r="U52" s="13">
        <v>7.6295999999999999</v>
      </c>
      <c r="V52" s="13">
        <v>12.117599999999999</v>
      </c>
      <c r="W52" s="13">
        <v>8.0784000000000002</v>
      </c>
      <c r="X52" s="13">
        <v>8.9760000000000009</v>
      </c>
      <c r="Y52" s="1">
        <f t="shared" si="0"/>
        <v>8.1232799999999994</v>
      </c>
      <c r="Z52" s="10"/>
      <c r="AA52" s="10"/>
      <c r="AB52" s="10"/>
      <c r="AC52" s="10"/>
      <c r="AD52" s="10"/>
      <c r="AE52" s="10"/>
      <c r="AF52" s="10"/>
      <c r="AG52" s="38">
        <f t="shared" si="1"/>
        <v>0</v>
      </c>
      <c r="AH52" s="51" t="str">
        <f t="shared" si="2"/>
        <v xml:space="preserve"> </v>
      </c>
      <c r="AI52" s="64">
        <v>2</v>
      </c>
      <c r="AJ52" s="72" t="s">
        <v>403</v>
      </c>
      <c r="AK52" s="65">
        <v>0</v>
      </c>
      <c r="AL52" s="1"/>
      <c r="AM52" s="1"/>
      <c r="AN52" s="81"/>
      <c r="AO52" s="81"/>
    </row>
    <row r="53" spans="1:41" s="26" customFormat="1" hidden="1" x14ac:dyDescent="0.25">
      <c r="A53" s="22" t="s">
        <v>404</v>
      </c>
      <c r="B53" s="2" t="s">
        <v>312</v>
      </c>
      <c r="C53" s="21">
        <v>1.2</v>
      </c>
      <c r="D53" s="23">
        <v>300</v>
      </c>
      <c r="E53" s="23">
        <v>470</v>
      </c>
      <c r="F53" s="23"/>
      <c r="G53" s="3" t="s">
        <v>405</v>
      </c>
      <c r="H53" s="10">
        <v>34025697</v>
      </c>
      <c r="I53" s="10"/>
      <c r="J53" s="6"/>
      <c r="K53" s="21"/>
      <c r="L53" s="21" t="s">
        <v>191</v>
      </c>
      <c r="M53" s="6" t="s">
        <v>164</v>
      </c>
      <c r="N53" s="6" t="s">
        <v>331</v>
      </c>
      <c r="O53" s="12" t="s">
        <v>380</v>
      </c>
      <c r="P53" s="10" t="s">
        <v>167</v>
      </c>
      <c r="Q53" s="29" t="s">
        <v>167</v>
      </c>
      <c r="R53" s="27" t="s">
        <v>205</v>
      </c>
      <c r="S53" s="10" t="s">
        <v>167</v>
      </c>
      <c r="T53" s="13">
        <v>6.37174</v>
      </c>
      <c r="U53" s="13">
        <v>8.2006160000000001</v>
      </c>
      <c r="V53" s="13">
        <v>8.7631420000000002</v>
      </c>
      <c r="W53" s="13">
        <v>7.5381149999999995</v>
      </c>
      <c r="X53" s="13">
        <v>7.4981249999999999</v>
      </c>
      <c r="Y53" s="1">
        <f t="shared" si="0"/>
        <v>7.6743475999999999</v>
      </c>
      <c r="Z53" s="10" t="s">
        <v>168</v>
      </c>
      <c r="AA53" s="10" t="s">
        <v>168</v>
      </c>
      <c r="AB53" s="10" t="s">
        <v>168</v>
      </c>
      <c r="AC53" s="10" t="s">
        <v>168</v>
      </c>
      <c r="AD53" s="10" t="s">
        <v>168</v>
      </c>
      <c r="AE53" s="10" t="s">
        <v>168</v>
      </c>
      <c r="AF53" s="10" t="s">
        <v>168</v>
      </c>
      <c r="AG53" s="38">
        <f t="shared" si="1"/>
        <v>1</v>
      </c>
      <c r="AH53" s="51">
        <f t="shared" si="2"/>
        <v>7.6743475999999999</v>
      </c>
      <c r="AI53" s="64">
        <v>1</v>
      </c>
      <c r="AJ53" s="84" t="s">
        <v>406</v>
      </c>
      <c r="AK53" s="65">
        <f>28059.44/12</f>
        <v>2338.2866666666664</v>
      </c>
      <c r="AL53" s="1"/>
      <c r="AM53" s="1" t="s">
        <v>314</v>
      </c>
      <c r="AN53" s="81">
        <v>46266</v>
      </c>
      <c r="AO53" s="81"/>
    </row>
    <row r="54" spans="1:41" s="26" customFormat="1" x14ac:dyDescent="0.25">
      <c r="A54" s="22" t="s">
        <v>407</v>
      </c>
      <c r="B54" s="2" t="s">
        <v>172</v>
      </c>
      <c r="C54" s="21">
        <v>4</v>
      </c>
      <c r="D54" s="23">
        <v>1250</v>
      </c>
      <c r="E54" s="23" t="s">
        <v>161</v>
      </c>
      <c r="F54" s="23"/>
      <c r="G54" s="3" t="s">
        <v>408</v>
      </c>
      <c r="H54" s="10" t="s">
        <v>161</v>
      </c>
      <c r="I54" s="10"/>
      <c r="J54" s="6"/>
      <c r="K54" s="21"/>
      <c r="L54" s="21" t="s">
        <v>39</v>
      </c>
      <c r="M54" s="6" t="s">
        <v>409</v>
      </c>
      <c r="N54" s="6" t="s">
        <v>410</v>
      </c>
      <c r="O54" s="12" t="s">
        <v>380</v>
      </c>
      <c r="P54" s="10" t="s">
        <v>272</v>
      </c>
      <c r="Q54" s="29" t="s">
        <v>167</v>
      </c>
      <c r="R54" s="27" t="s">
        <v>167</v>
      </c>
      <c r="S54" s="10" t="s">
        <v>177</v>
      </c>
      <c r="T54" s="13">
        <v>5.3885119999999995</v>
      </c>
      <c r="U54" s="13">
        <v>6.6923999999999992</v>
      </c>
      <c r="V54" s="13">
        <v>7.8078000000000003</v>
      </c>
      <c r="W54" s="13">
        <v>7.8078000000000003</v>
      </c>
      <c r="X54" s="13">
        <v>7.8078000000000003</v>
      </c>
      <c r="Y54" s="1">
        <f t="shared" si="0"/>
        <v>7.1008623999999996</v>
      </c>
      <c r="Z54" s="10"/>
      <c r="AA54" s="10"/>
      <c r="AB54" s="10"/>
      <c r="AC54" s="10"/>
      <c r="AD54" s="10"/>
      <c r="AE54" s="10"/>
      <c r="AF54" s="10"/>
      <c r="AG54" s="38">
        <f t="shared" si="1"/>
        <v>0</v>
      </c>
      <c r="AH54" s="51" t="str">
        <f t="shared" si="2"/>
        <v xml:space="preserve"> </v>
      </c>
      <c r="AI54" s="64">
        <v>2</v>
      </c>
      <c r="AJ54" s="72" t="s">
        <v>411</v>
      </c>
      <c r="AK54" s="65">
        <v>0</v>
      </c>
      <c r="AL54" s="1"/>
      <c r="AM54" s="1"/>
      <c r="AN54" s="81"/>
      <c r="AO54" s="81"/>
    </row>
    <row r="55" spans="1:41" s="26" customFormat="1" ht="22.5" x14ac:dyDescent="0.25">
      <c r="A55" s="22" t="s">
        <v>412</v>
      </c>
      <c r="B55" s="2" t="s">
        <v>172</v>
      </c>
      <c r="C55" s="21">
        <v>1.5</v>
      </c>
      <c r="D55" s="23">
        <v>1000</v>
      </c>
      <c r="E55" s="23" t="s">
        <v>161</v>
      </c>
      <c r="F55" s="23"/>
      <c r="G55" s="3" t="s">
        <v>413</v>
      </c>
      <c r="H55" s="10" t="s">
        <v>161</v>
      </c>
      <c r="I55" s="10"/>
      <c r="J55" s="6"/>
      <c r="K55" s="21"/>
      <c r="L55" s="21" t="s">
        <v>39</v>
      </c>
      <c r="M55" s="6" t="s">
        <v>325</v>
      </c>
      <c r="N55" s="6" t="s">
        <v>414</v>
      </c>
      <c r="O55" s="12" t="s">
        <v>380</v>
      </c>
      <c r="P55" s="10" t="s">
        <v>167</v>
      </c>
      <c r="Q55" s="29" t="s">
        <v>167</v>
      </c>
      <c r="R55" s="27" t="s">
        <v>167</v>
      </c>
      <c r="S55" s="10" t="s">
        <v>167</v>
      </c>
      <c r="T55" s="13">
        <v>5.7919680000000007</v>
      </c>
      <c r="U55" s="13">
        <v>6.4355200000000004</v>
      </c>
      <c r="V55" s="13">
        <v>8.0443999999999996</v>
      </c>
      <c r="W55" s="13">
        <v>7.38192</v>
      </c>
      <c r="X55" s="13">
        <v>7.571200000000001</v>
      </c>
      <c r="Y55" s="1">
        <f t="shared" si="0"/>
        <v>7.0450016000000009</v>
      </c>
      <c r="Z55" s="10"/>
      <c r="AA55" s="10"/>
      <c r="AB55" s="10"/>
      <c r="AC55" s="10"/>
      <c r="AD55" s="10"/>
      <c r="AE55" s="10"/>
      <c r="AF55" s="10"/>
      <c r="AG55" s="38">
        <f t="shared" si="1"/>
        <v>0</v>
      </c>
      <c r="AH55" s="51" t="str">
        <f t="shared" si="2"/>
        <v xml:space="preserve"> </v>
      </c>
      <c r="AI55" s="64">
        <v>3</v>
      </c>
      <c r="AJ55" s="72" t="s">
        <v>415</v>
      </c>
      <c r="AK55" s="65">
        <v>0</v>
      </c>
      <c r="AL55" s="1"/>
      <c r="AM55" s="1"/>
      <c r="AN55" s="81"/>
      <c r="AO55" s="81"/>
    </row>
    <row r="56" spans="1:41" s="26" customFormat="1" hidden="1" x14ac:dyDescent="0.25">
      <c r="A56" s="22" t="s">
        <v>416</v>
      </c>
      <c r="B56" s="2" t="s">
        <v>172</v>
      </c>
      <c r="C56" s="21">
        <v>1.8</v>
      </c>
      <c r="D56" s="23">
        <v>466</v>
      </c>
      <c r="E56" s="23">
        <v>185</v>
      </c>
      <c r="F56" s="77">
        <v>8.5000000000000006E-2</v>
      </c>
      <c r="G56" s="3" t="s">
        <v>417</v>
      </c>
      <c r="H56" s="10" t="s">
        <v>161</v>
      </c>
      <c r="I56" s="10"/>
      <c r="J56" s="6"/>
      <c r="K56" s="21"/>
      <c r="L56" s="21" t="s">
        <v>36</v>
      </c>
      <c r="M56" s="6" t="s">
        <v>239</v>
      </c>
      <c r="N56" s="6" t="s">
        <v>240</v>
      </c>
      <c r="O56" s="12" t="s">
        <v>380</v>
      </c>
      <c r="P56" s="10" t="s">
        <v>167</v>
      </c>
      <c r="Q56" s="29" t="s">
        <v>167</v>
      </c>
      <c r="R56" s="27" t="s">
        <v>167</v>
      </c>
      <c r="S56" s="10" t="s">
        <v>177</v>
      </c>
      <c r="T56" s="13">
        <v>5.9327399999999999</v>
      </c>
      <c r="U56" s="13">
        <v>6.2134400000000003</v>
      </c>
      <c r="V56" s="13">
        <v>7.53972</v>
      </c>
      <c r="W56" s="13">
        <v>7.2028800000000004</v>
      </c>
      <c r="X56" s="13">
        <v>6.5663199999999993</v>
      </c>
      <c r="Y56" s="1">
        <f t="shared" si="0"/>
        <v>6.69102</v>
      </c>
      <c r="Z56" s="10" t="s">
        <v>168</v>
      </c>
      <c r="AA56" s="10" t="s">
        <v>168</v>
      </c>
      <c r="AB56" s="10" t="s">
        <v>168</v>
      </c>
      <c r="AC56" s="10" t="s">
        <v>168</v>
      </c>
      <c r="AD56" s="10" t="s">
        <v>168</v>
      </c>
      <c r="AE56" s="10" t="s">
        <v>168</v>
      </c>
      <c r="AF56" s="10" t="s">
        <v>168</v>
      </c>
      <c r="AG56" s="38">
        <f t="shared" si="1"/>
        <v>1</v>
      </c>
      <c r="AH56" s="51">
        <f t="shared" si="2"/>
        <v>6.69102</v>
      </c>
      <c r="AI56" s="64">
        <v>2</v>
      </c>
      <c r="AJ56" s="88" t="s">
        <v>418</v>
      </c>
      <c r="AK56" s="65">
        <v>4425.2</v>
      </c>
      <c r="AL56" s="1"/>
      <c r="AM56" s="1" t="s">
        <v>419</v>
      </c>
      <c r="AN56" s="81">
        <v>46143</v>
      </c>
      <c r="AO56" s="81" t="s">
        <v>180</v>
      </c>
    </row>
    <row r="57" spans="1:41" s="26" customFormat="1" hidden="1" x14ac:dyDescent="0.25">
      <c r="A57" s="22" t="s">
        <v>420</v>
      </c>
      <c r="B57" s="2" t="s">
        <v>312</v>
      </c>
      <c r="C57" s="21">
        <v>1.2</v>
      </c>
      <c r="D57" s="23">
        <v>325</v>
      </c>
      <c r="E57" s="23">
        <v>315</v>
      </c>
      <c r="F57" s="23"/>
      <c r="G57" s="3" t="s">
        <v>405</v>
      </c>
      <c r="H57" s="12">
        <v>34025698</v>
      </c>
      <c r="I57" s="12"/>
      <c r="J57" s="4"/>
      <c r="K57" s="5"/>
      <c r="L57" s="5" t="s">
        <v>191</v>
      </c>
      <c r="M57" s="4" t="s">
        <v>164</v>
      </c>
      <c r="N57" s="4" t="s">
        <v>331</v>
      </c>
      <c r="O57" s="12" t="s">
        <v>380</v>
      </c>
      <c r="P57" s="12" t="s">
        <v>167</v>
      </c>
      <c r="Q57" s="30" t="s">
        <v>167</v>
      </c>
      <c r="R57" s="27" t="s">
        <v>167</v>
      </c>
      <c r="S57" s="12" t="s">
        <v>421</v>
      </c>
      <c r="T57" s="13">
        <v>5.3682420000000004</v>
      </c>
      <c r="U57" s="13">
        <v>6.0166560000000002</v>
      </c>
      <c r="V57" s="13">
        <v>6.4293719999999999</v>
      </c>
      <c r="W57" s="13">
        <v>5.5305900000000001</v>
      </c>
      <c r="X57" s="13">
        <v>5.5012499999999998</v>
      </c>
      <c r="Y57" s="1">
        <f t="shared" si="0"/>
        <v>5.7692220000000001</v>
      </c>
      <c r="Z57" s="10" t="s">
        <v>168</v>
      </c>
      <c r="AA57" s="10" t="s">
        <v>168</v>
      </c>
      <c r="AB57" s="10" t="s">
        <v>168</v>
      </c>
      <c r="AC57" s="10" t="s">
        <v>168</v>
      </c>
      <c r="AD57" s="10" t="s">
        <v>168</v>
      </c>
      <c r="AE57" s="10" t="s">
        <v>168</v>
      </c>
      <c r="AF57" s="10" t="s">
        <v>168</v>
      </c>
      <c r="AG57" s="38">
        <f t="shared" si="1"/>
        <v>1</v>
      </c>
      <c r="AH57" s="51">
        <f t="shared" si="2"/>
        <v>5.7692220000000001</v>
      </c>
      <c r="AI57" s="64">
        <v>1</v>
      </c>
      <c r="AJ57" s="72" t="s">
        <v>422</v>
      </c>
      <c r="AK57" s="65">
        <f>23141.16/12</f>
        <v>1928.43</v>
      </c>
      <c r="AL57" s="1"/>
      <c r="AM57" s="1" t="s">
        <v>423</v>
      </c>
      <c r="AN57" s="81">
        <v>46266</v>
      </c>
      <c r="AO57" s="81"/>
    </row>
    <row r="58" spans="1:41" s="26" customFormat="1" x14ac:dyDescent="0.25">
      <c r="A58" s="22" t="s">
        <v>424</v>
      </c>
      <c r="B58" s="2" t="s">
        <v>197</v>
      </c>
      <c r="C58" s="21">
        <v>1.2</v>
      </c>
      <c r="D58" s="23">
        <v>1100</v>
      </c>
      <c r="E58" s="23" t="s">
        <v>161</v>
      </c>
      <c r="F58" s="23"/>
      <c r="G58" s="3" t="s">
        <v>425</v>
      </c>
      <c r="H58" s="12" t="s">
        <v>161</v>
      </c>
      <c r="I58" s="10"/>
      <c r="J58" s="4"/>
      <c r="K58" s="5"/>
      <c r="L58" s="5" t="s">
        <v>39</v>
      </c>
      <c r="M58" s="4" t="s">
        <v>217</v>
      </c>
      <c r="N58" s="4" t="s">
        <v>218</v>
      </c>
      <c r="O58" s="12" t="s">
        <v>380</v>
      </c>
      <c r="P58" s="12" t="s">
        <v>167</v>
      </c>
      <c r="Q58" s="30" t="s">
        <v>167</v>
      </c>
      <c r="R58" s="27" t="s">
        <v>167</v>
      </c>
      <c r="S58" s="10" t="s">
        <v>177</v>
      </c>
      <c r="T58" s="13">
        <v>2.1155999999999997</v>
      </c>
      <c r="U58" s="13">
        <v>5.6028959999999994</v>
      </c>
      <c r="V58" s="13">
        <v>9.5861280000000004</v>
      </c>
      <c r="W58" s="13">
        <v>5.4238080000000002</v>
      </c>
      <c r="X58" s="13">
        <v>6.0889920000000002</v>
      </c>
      <c r="Y58" s="1">
        <f t="shared" si="0"/>
        <v>5.7634848000000005</v>
      </c>
      <c r="Z58" s="10"/>
      <c r="AA58" s="10"/>
      <c r="AB58" s="10"/>
      <c r="AC58" s="10"/>
      <c r="AD58" s="10"/>
      <c r="AE58" s="10"/>
      <c r="AF58" s="10"/>
      <c r="AG58" s="38">
        <f t="shared" si="1"/>
        <v>0</v>
      </c>
      <c r="AH58" s="51" t="str">
        <f t="shared" si="2"/>
        <v xml:space="preserve"> </v>
      </c>
      <c r="AI58" s="64">
        <v>2</v>
      </c>
      <c r="AJ58" s="72" t="s">
        <v>426</v>
      </c>
      <c r="AK58" s="65">
        <v>0</v>
      </c>
      <c r="AL58" s="1"/>
      <c r="AM58" s="1"/>
      <c r="AN58" s="81"/>
      <c r="AO58" s="81"/>
    </row>
    <row r="59" spans="1:41" s="26" customFormat="1" x14ac:dyDescent="0.25">
      <c r="A59" s="22" t="s">
        <v>427</v>
      </c>
      <c r="B59" s="2" t="s">
        <v>189</v>
      </c>
      <c r="C59" s="21">
        <v>0.7</v>
      </c>
      <c r="D59" s="23">
        <v>800</v>
      </c>
      <c r="E59" s="23" t="s">
        <v>161</v>
      </c>
      <c r="F59" s="23"/>
      <c r="G59" s="3" t="s">
        <v>428</v>
      </c>
      <c r="H59" s="12">
        <v>34025669</v>
      </c>
      <c r="I59" s="10"/>
      <c r="J59" s="4"/>
      <c r="K59" s="5"/>
      <c r="L59" s="5" t="s">
        <v>191</v>
      </c>
      <c r="M59" s="4" t="s">
        <v>24</v>
      </c>
      <c r="N59" s="4" t="s">
        <v>331</v>
      </c>
      <c r="O59" s="12" t="s">
        <v>380</v>
      </c>
      <c r="P59" s="12" t="s">
        <v>167</v>
      </c>
      <c r="Q59" s="30" t="s">
        <v>167</v>
      </c>
      <c r="R59" s="27" t="s">
        <v>167</v>
      </c>
      <c r="S59" s="10" t="s">
        <v>167</v>
      </c>
      <c r="T59" s="13">
        <v>3.7521999999999998</v>
      </c>
      <c r="U59" s="13">
        <v>6.2502399999999998</v>
      </c>
      <c r="V59" s="13">
        <v>6.2666880000000003</v>
      </c>
      <c r="W59" s="13">
        <v>6.2666880000000003</v>
      </c>
      <c r="X59" s="13">
        <v>5.7732479999999997</v>
      </c>
      <c r="Y59" s="1">
        <f t="shared" si="0"/>
        <v>5.6618128000000008</v>
      </c>
      <c r="Z59" s="10"/>
      <c r="AA59" s="10"/>
      <c r="AB59" s="10"/>
      <c r="AC59" s="10"/>
      <c r="AD59" s="10"/>
      <c r="AE59" s="10"/>
      <c r="AF59" s="10"/>
      <c r="AG59" s="38">
        <f t="shared" si="1"/>
        <v>0</v>
      </c>
      <c r="AH59" s="51" t="str">
        <f t="shared" si="2"/>
        <v xml:space="preserve"> </v>
      </c>
      <c r="AI59" s="64">
        <v>2</v>
      </c>
      <c r="AJ59" s="72" t="s">
        <v>429</v>
      </c>
      <c r="AK59" s="65">
        <v>0</v>
      </c>
      <c r="AL59" s="1"/>
      <c r="AM59" s="1"/>
      <c r="AN59" s="81"/>
      <c r="AO59" s="81"/>
    </row>
    <row r="60" spans="1:41" s="26" customFormat="1" ht="56.25" hidden="1" x14ac:dyDescent="0.25">
      <c r="A60" s="22" t="s">
        <v>430</v>
      </c>
      <c r="B60" s="2" t="s">
        <v>431</v>
      </c>
      <c r="C60" s="21">
        <v>3</v>
      </c>
      <c r="D60" s="23">
        <v>1150</v>
      </c>
      <c r="E60" s="23">
        <v>1520</v>
      </c>
      <c r="F60" s="23" t="s">
        <v>432</v>
      </c>
      <c r="G60" s="3" t="s">
        <v>433</v>
      </c>
      <c r="H60" s="12" t="s">
        <v>161</v>
      </c>
      <c r="I60" s="12"/>
      <c r="J60" s="4"/>
      <c r="K60" s="5"/>
      <c r="L60" s="5" t="s">
        <v>45</v>
      </c>
      <c r="M60" s="4" t="s">
        <v>239</v>
      </c>
      <c r="N60" s="4"/>
      <c r="O60" s="12" t="s">
        <v>380</v>
      </c>
      <c r="P60" s="12" t="s">
        <v>167</v>
      </c>
      <c r="Q60" s="30" t="s">
        <v>167</v>
      </c>
      <c r="R60" s="27" t="s">
        <v>167</v>
      </c>
      <c r="S60" s="10" t="s">
        <v>167</v>
      </c>
      <c r="T60" s="13">
        <v>4.653492</v>
      </c>
      <c r="U60" s="13">
        <v>4.8366499999999997</v>
      </c>
      <c r="V60" s="13">
        <v>6.0875300000000001</v>
      </c>
      <c r="W60" s="13">
        <v>5.7834200000000004</v>
      </c>
      <c r="X60" s="13">
        <v>5.6846499999999995</v>
      </c>
      <c r="Y60" s="1">
        <f t="shared" si="0"/>
        <v>5.4091483999999994</v>
      </c>
      <c r="Z60" s="10" t="s">
        <v>168</v>
      </c>
      <c r="AA60" s="10" t="s">
        <v>168</v>
      </c>
      <c r="AB60" s="10" t="s">
        <v>168</v>
      </c>
      <c r="AC60" s="10" t="s">
        <v>168</v>
      </c>
      <c r="AD60" s="10" t="s">
        <v>168</v>
      </c>
      <c r="AE60" s="10" t="s">
        <v>168</v>
      </c>
      <c r="AF60" s="10" t="s">
        <v>168</v>
      </c>
      <c r="AG60" s="38">
        <f t="shared" si="1"/>
        <v>1</v>
      </c>
      <c r="AH60" s="51">
        <f t="shared" si="2"/>
        <v>5.4091483999999994</v>
      </c>
      <c r="AI60" s="64">
        <v>3</v>
      </c>
      <c r="AJ60" s="89" t="s">
        <v>434</v>
      </c>
      <c r="AK60" s="65">
        <v>11009.71</v>
      </c>
      <c r="AL60" s="1"/>
      <c r="AM60" s="62" t="s">
        <v>435</v>
      </c>
      <c r="AN60" s="81"/>
      <c r="AO60" s="81"/>
    </row>
    <row r="61" spans="1:41" s="26" customFormat="1" hidden="1" x14ac:dyDescent="0.25">
      <c r="A61" s="22" t="s">
        <v>436</v>
      </c>
      <c r="B61" s="2" t="s">
        <v>172</v>
      </c>
      <c r="C61" s="21">
        <v>2</v>
      </c>
      <c r="D61" s="23">
        <v>1250</v>
      </c>
      <c r="E61" s="23" t="s">
        <v>161</v>
      </c>
      <c r="F61" s="23"/>
      <c r="G61" s="3" t="s">
        <v>437</v>
      </c>
      <c r="H61" s="10" t="s">
        <v>161</v>
      </c>
      <c r="I61" s="10"/>
      <c r="J61" s="6"/>
      <c r="K61" s="21"/>
      <c r="L61" s="21" t="s">
        <v>363</v>
      </c>
      <c r="M61" s="4" t="s">
        <v>438</v>
      </c>
      <c r="N61" s="6" t="s">
        <v>439</v>
      </c>
      <c r="O61" s="12" t="s">
        <v>380</v>
      </c>
      <c r="P61" s="10" t="s">
        <v>167</v>
      </c>
      <c r="Q61" s="29" t="s">
        <v>167</v>
      </c>
      <c r="R61" s="27" t="s">
        <v>167</v>
      </c>
      <c r="S61" s="30" t="s">
        <v>177</v>
      </c>
      <c r="T61" s="13">
        <v>6.2279780000000011</v>
      </c>
      <c r="U61" s="13">
        <v>4.8074100000000008</v>
      </c>
      <c r="V61" s="13">
        <v>5.0672700000000006</v>
      </c>
      <c r="W61" s="13">
        <v>5.3271300000000004</v>
      </c>
      <c r="X61" s="13">
        <v>5.586990000000001</v>
      </c>
      <c r="Y61" s="1">
        <f t="shared" si="0"/>
        <v>5.4033556000000003</v>
      </c>
      <c r="Z61" s="10" t="s">
        <v>168</v>
      </c>
      <c r="AA61" s="10" t="s">
        <v>168</v>
      </c>
      <c r="AB61" s="10" t="s">
        <v>168</v>
      </c>
      <c r="AC61" s="10" t="s">
        <v>168</v>
      </c>
      <c r="AD61" s="10" t="s">
        <v>168</v>
      </c>
      <c r="AE61" s="10" t="s">
        <v>168</v>
      </c>
      <c r="AF61" s="10" t="s">
        <v>168</v>
      </c>
      <c r="AG61" s="38">
        <f t="shared" si="1"/>
        <v>1</v>
      </c>
      <c r="AH61" s="51">
        <f t="shared" si="2"/>
        <v>5.4033556000000003</v>
      </c>
      <c r="AI61" s="64">
        <v>1</v>
      </c>
      <c r="AJ61" s="88" t="s">
        <v>440</v>
      </c>
      <c r="AK61" s="65">
        <v>4586.75</v>
      </c>
      <c r="AL61" s="1"/>
      <c r="AM61" s="1" t="s">
        <v>441</v>
      </c>
      <c r="AN61" s="81">
        <v>46054</v>
      </c>
      <c r="AO61" s="81" t="s">
        <v>180</v>
      </c>
    </row>
    <row r="62" spans="1:41" s="26" customFormat="1" x14ac:dyDescent="0.25">
      <c r="A62" s="22" t="s">
        <v>442</v>
      </c>
      <c r="B62" s="2" t="s">
        <v>197</v>
      </c>
      <c r="C62" s="21">
        <v>1.2</v>
      </c>
      <c r="D62" s="23">
        <v>1300</v>
      </c>
      <c r="E62" s="23" t="s">
        <v>161</v>
      </c>
      <c r="F62" s="23"/>
      <c r="G62" s="3" t="s">
        <v>443</v>
      </c>
      <c r="H62" s="10" t="s">
        <v>161</v>
      </c>
      <c r="I62" s="10"/>
      <c r="J62" s="6"/>
      <c r="K62" s="21"/>
      <c r="L62" s="21" t="s">
        <v>39</v>
      </c>
      <c r="M62" s="4" t="s">
        <v>217</v>
      </c>
      <c r="N62" s="6" t="s">
        <v>218</v>
      </c>
      <c r="O62" s="12" t="s">
        <v>380</v>
      </c>
      <c r="P62" s="10" t="s">
        <v>167</v>
      </c>
      <c r="Q62" s="29" t="s">
        <v>167</v>
      </c>
      <c r="R62" s="27" t="s">
        <v>167</v>
      </c>
      <c r="S62" s="10" t="s">
        <v>177</v>
      </c>
      <c r="T62" s="13">
        <v>1.9080280000000003</v>
      </c>
      <c r="U62" s="13">
        <v>5.2212000000000005</v>
      </c>
      <c r="V62" s="13">
        <v>8.9877919999999989</v>
      </c>
      <c r="W62" s="13">
        <v>5.0380000000000003</v>
      </c>
      <c r="X62" s="13">
        <v>5.6425600000000005</v>
      </c>
      <c r="Y62" s="1">
        <f t="shared" si="0"/>
        <v>5.3595160000000002</v>
      </c>
      <c r="Z62" s="10"/>
      <c r="AA62" s="10"/>
      <c r="AB62" s="10"/>
      <c r="AC62" s="10"/>
      <c r="AD62" s="10"/>
      <c r="AE62" s="10"/>
      <c r="AF62" s="10"/>
      <c r="AG62" s="38">
        <f t="shared" si="1"/>
        <v>0</v>
      </c>
      <c r="AH62" s="51" t="str">
        <f t="shared" si="2"/>
        <v xml:space="preserve"> </v>
      </c>
      <c r="AI62" s="64">
        <v>2</v>
      </c>
      <c r="AJ62" s="72" t="s">
        <v>444</v>
      </c>
      <c r="AK62" s="65">
        <v>0</v>
      </c>
      <c r="AL62" s="1"/>
      <c r="AM62" s="1"/>
      <c r="AN62" s="81"/>
      <c r="AO62" s="81"/>
    </row>
    <row r="63" spans="1:41" s="26" customFormat="1" x14ac:dyDescent="0.25">
      <c r="A63" s="22" t="s">
        <v>445</v>
      </c>
      <c r="B63" s="2" t="s">
        <v>189</v>
      </c>
      <c r="C63" s="21">
        <v>1.2</v>
      </c>
      <c r="D63" s="23">
        <v>525</v>
      </c>
      <c r="E63" s="23" t="s">
        <v>161</v>
      </c>
      <c r="F63" s="23"/>
      <c r="G63" s="3" t="s">
        <v>446</v>
      </c>
      <c r="H63" s="10">
        <v>34025388</v>
      </c>
      <c r="I63" s="10"/>
      <c r="J63" s="6"/>
      <c r="K63" s="21"/>
      <c r="L63" s="21" t="s">
        <v>191</v>
      </c>
      <c r="M63" s="6" t="s">
        <v>24</v>
      </c>
      <c r="N63" s="6" t="s">
        <v>447</v>
      </c>
      <c r="O63" s="12" t="s">
        <v>380</v>
      </c>
      <c r="P63" s="10" t="s">
        <v>167</v>
      </c>
      <c r="Q63" s="29" t="s">
        <v>167</v>
      </c>
      <c r="R63" s="27" t="s">
        <v>167</v>
      </c>
      <c r="S63" s="10" t="s">
        <v>167</v>
      </c>
      <c r="T63" s="13">
        <v>4.3429950000000002</v>
      </c>
      <c r="U63" s="13">
        <v>5.5620000000000003</v>
      </c>
      <c r="V63" s="13">
        <v>5.5820850000000002</v>
      </c>
      <c r="W63" s="13">
        <v>3.1100850000000002</v>
      </c>
      <c r="X63" s="13">
        <v>5.5820850000000002</v>
      </c>
      <c r="Y63" s="1">
        <f t="shared" si="0"/>
        <v>4.8358499999999998</v>
      </c>
      <c r="Z63" s="10"/>
      <c r="AA63" s="10"/>
      <c r="AB63" s="10"/>
      <c r="AC63" s="10"/>
      <c r="AD63" s="10"/>
      <c r="AE63" s="10"/>
      <c r="AF63" s="10"/>
      <c r="AG63" s="38">
        <f t="shared" si="1"/>
        <v>0</v>
      </c>
      <c r="AH63" s="51" t="str">
        <f t="shared" si="2"/>
        <v xml:space="preserve"> </v>
      </c>
      <c r="AI63" s="64">
        <v>1</v>
      </c>
      <c r="AJ63" s="72" t="s">
        <v>448</v>
      </c>
      <c r="AK63" s="65">
        <v>0</v>
      </c>
      <c r="AL63" s="1"/>
      <c r="AM63" s="1"/>
      <c r="AN63" s="81"/>
      <c r="AO63" s="81"/>
    </row>
    <row r="64" spans="1:41" s="26" customFormat="1" x14ac:dyDescent="0.25">
      <c r="A64" s="22" t="s">
        <v>449</v>
      </c>
      <c r="B64" s="2" t="s">
        <v>160</v>
      </c>
      <c r="C64" s="21">
        <v>1.2</v>
      </c>
      <c r="D64" s="23">
        <v>1200</v>
      </c>
      <c r="E64" s="23" t="s">
        <v>161</v>
      </c>
      <c r="F64" s="23"/>
      <c r="G64" s="3" t="s">
        <v>450</v>
      </c>
      <c r="H64" s="12" t="s">
        <v>161</v>
      </c>
      <c r="I64" s="10"/>
      <c r="J64" s="4"/>
      <c r="K64" s="5"/>
      <c r="L64" s="5" t="s">
        <v>39</v>
      </c>
      <c r="M64" s="4" t="s">
        <v>217</v>
      </c>
      <c r="N64" s="4" t="s">
        <v>402</v>
      </c>
      <c r="O64" s="12" t="s">
        <v>380</v>
      </c>
      <c r="P64" s="12" t="s">
        <v>167</v>
      </c>
      <c r="Q64" s="30" t="s">
        <v>167</v>
      </c>
      <c r="R64" s="27" t="s">
        <v>167</v>
      </c>
      <c r="S64" s="10" t="s">
        <v>177</v>
      </c>
      <c r="T64" s="13">
        <v>4.1972800000000001</v>
      </c>
      <c r="U64" s="13">
        <v>4.0838399999999995</v>
      </c>
      <c r="V64" s="13">
        <v>6.9198399999999989</v>
      </c>
      <c r="W64" s="13">
        <v>3.9136799999999998</v>
      </c>
      <c r="X64" s="13">
        <v>4.4241599999999996</v>
      </c>
      <c r="Y64" s="1">
        <f t="shared" si="0"/>
        <v>4.7077599999999995</v>
      </c>
      <c r="Z64" s="10"/>
      <c r="AA64" s="10"/>
      <c r="AB64" s="10"/>
      <c r="AC64" s="10"/>
      <c r="AD64" s="10"/>
      <c r="AE64" s="10"/>
      <c r="AF64" s="10"/>
      <c r="AG64" s="38">
        <f t="shared" si="1"/>
        <v>0</v>
      </c>
      <c r="AH64" s="51" t="str">
        <f t="shared" si="2"/>
        <v xml:space="preserve"> </v>
      </c>
      <c r="AI64" s="64">
        <v>1</v>
      </c>
      <c r="AJ64" s="72" t="s">
        <v>451</v>
      </c>
      <c r="AK64" s="65">
        <v>0</v>
      </c>
      <c r="AL64" s="1"/>
      <c r="AM64" s="1"/>
      <c r="AN64" s="81"/>
      <c r="AO64" s="81"/>
    </row>
    <row r="65" spans="1:41" s="26" customFormat="1" x14ac:dyDescent="0.25">
      <c r="A65" s="22" t="s">
        <v>452</v>
      </c>
      <c r="B65" s="2" t="s">
        <v>453</v>
      </c>
      <c r="C65" s="21">
        <v>1.2</v>
      </c>
      <c r="D65" s="23">
        <v>316</v>
      </c>
      <c r="E65" s="23">
        <v>145</v>
      </c>
      <c r="F65" s="77">
        <v>4.4999999999999998E-2</v>
      </c>
      <c r="G65" s="3" t="s">
        <v>229</v>
      </c>
      <c r="H65" s="10">
        <v>34029202</v>
      </c>
      <c r="I65" s="10"/>
      <c r="J65" s="6"/>
      <c r="K65" s="21"/>
      <c r="L65" s="21" t="s">
        <v>54</v>
      </c>
      <c r="M65" s="6" t="s">
        <v>164</v>
      </c>
      <c r="N65" s="35" t="s">
        <v>165</v>
      </c>
      <c r="O65" s="12" t="s">
        <v>380</v>
      </c>
      <c r="P65" s="10" t="s">
        <v>167</v>
      </c>
      <c r="Q65" s="29" t="s">
        <v>167</v>
      </c>
      <c r="R65" s="27" t="s">
        <v>167</v>
      </c>
      <c r="S65" s="10" t="s">
        <v>167</v>
      </c>
      <c r="T65" s="13">
        <v>4.82484</v>
      </c>
      <c r="U65" s="13">
        <v>5.3567999999999998</v>
      </c>
      <c r="V65" s="13">
        <v>5.3567999999999998</v>
      </c>
      <c r="W65" s="13">
        <v>2.976</v>
      </c>
      <c r="X65" s="13">
        <v>4.7616000000000005</v>
      </c>
      <c r="Y65" s="1">
        <f t="shared" si="0"/>
        <v>4.655208</v>
      </c>
      <c r="Z65" s="10"/>
      <c r="AA65" s="10"/>
      <c r="AB65" s="10"/>
      <c r="AC65" s="10"/>
      <c r="AD65" s="10"/>
      <c r="AE65" s="10"/>
      <c r="AF65" s="10"/>
      <c r="AG65" s="38">
        <f t="shared" si="1"/>
        <v>0</v>
      </c>
      <c r="AH65" s="51" t="str">
        <f t="shared" si="2"/>
        <v xml:space="preserve"> </v>
      </c>
      <c r="AI65" s="64">
        <v>1</v>
      </c>
      <c r="AJ65" s="72" t="s">
        <v>454</v>
      </c>
      <c r="AK65" s="65">
        <v>0</v>
      </c>
      <c r="AL65" s="1"/>
      <c r="AM65" s="1"/>
      <c r="AN65" s="81"/>
      <c r="AO65" s="81"/>
    </row>
    <row r="66" spans="1:41" s="26" customFormat="1" ht="22.5" x14ac:dyDescent="0.25">
      <c r="A66" s="22" t="s">
        <v>455</v>
      </c>
      <c r="B66" s="2" t="s">
        <v>160</v>
      </c>
      <c r="C66" s="21">
        <v>0.7</v>
      </c>
      <c r="D66" s="23">
        <v>275</v>
      </c>
      <c r="E66" s="23">
        <v>164.5</v>
      </c>
      <c r="F66" s="77">
        <v>0.04</v>
      </c>
      <c r="G66" s="3" t="s">
        <v>450</v>
      </c>
      <c r="H66" s="12" t="s">
        <v>161</v>
      </c>
      <c r="I66" s="10"/>
      <c r="J66" s="4"/>
      <c r="K66" s="5"/>
      <c r="L66" s="5" t="s">
        <v>39</v>
      </c>
      <c r="M66" s="4" t="s">
        <v>338</v>
      </c>
      <c r="N66" s="4" t="s">
        <v>402</v>
      </c>
      <c r="O66" s="12" t="s">
        <v>380</v>
      </c>
      <c r="P66" s="12" t="s">
        <v>167</v>
      </c>
      <c r="Q66" s="30" t="s">
        <v>167</v>
      </c>
      <c r="R66" s="27" t="s">
        <v>167</v>
      </c>
      <c r="S66" s="10" t="s">
        <v>177</v>
      </c>
      <c r="T66" s="13">
        <v>1.7595999999999998</v>
      </c>
      <c r="U66" s="13">
        <v>5.0880000000000001</v>
      </c>
      <c r="V66" s="13">
        <v>7.7591999999999999</v>
      </c>
      <c r="W66" s="13">
        <v>4.3460000000000001</v>
      </c>
      <c r="X66" s="13">
        <v>3.9855999999999998</v>
      </c>
      <c r="Y66" s="1">
        <f t="shared" si="0"/>
        <v>4.5876800000000006</v>
      </c>
      <c r="Z66" s="10"/>
      <c r="AA66" s="10"/>
      <c r="AB66" s="10"/>
      <c r="AC66" s="10"/>
      <c r="AD66" s="10"/>
      <c r="AE66" s="10"/>
      <c r="AF66" s="10"/>
      <c r="AG66" s="38">
        <f t="shared" si="1"/>
        <v>0</v>
      </c>
      <c r="AH66" s="51" t="str">
        <f t="shared" si="2"/>
        <v xml:space="preserve"> </v>
      </c>
      <c r="AI66" s="64">
        <v>3</v>
      </c>
      <c r="AJ66" s="91" t="s">
        <v>456</v>
      </c>
      <c r="AK66" s="65">
        <v>0</v>
      </c>
      <c r="AL66" s="1"/>
      <c r="AM66" s="1"/>
      <c r="AN66" s="81"/>
      <c r="AO66" s="81"/>
    </row>
    <row r="67" spans="1:41" s="26" customFormat="1" x14ac:dyDescent="0.25">
      <c r="A67" s="22" t="s">
        <v>457</v>
      </c>
      <c r="B67" s="2" t="s">
        <v>312</v>
      </c>
      <c r="C67" s="21">
        <v>0.7</v>
      </c>
      <c r="D67" s="23"/>
      <c r="E67" s="23"/>
      <c r="F67" s="77"/>
      <c r="G67" s="3" t="s">
        <v>390</v>
      </c>
      <c r="H67" s="12">
        <v>34025708</v>
      </c>
      <c r="I67" s="12"/>
      <c r="J67" s="4"/>
      <c r="K67" s="5"/>
      <c r="L67" s="5" t="s">
        <v>191</v>
      </c>
      <c r="M67" s="4" t="s">
        <v>164</v>
      </c>
      <c r="N67" s="36" t="s">
        <v>165</v>
      </c>
      <c r="O67" s="12" t="s">
        <v>380</v>
      </c>
      <c r="P67" s="12" t="s">
        <v>167</v>
      </c>
      <c r="Q67" s="30" t="s">
        <v>167</v>
      </c>
      <c r="R67" s="27" t="s">
        <v>167</v>
      </c>
      <c r="S67" s="12" t="s">
        <v>167</v>
      </c>
      <c r="T67" s="13">
        <v>3.5663519999999997</v>
      </c>
      <c r="U67" s="13">
        <v>5.835</v>
      </c>
      <c r="V67" s="13">
        <v>5.2515000000000001</v>
      </c>
      <c r="W67" s="13">
        <v>2.3340000000000001</v>
      </c>
      <c r="X67" s="13">
        <v>5.835</v>
      </c>
      <c r="Y67" s="1">
        <f t="shared" ref="Y67:Y130" si="3">AVERAGE(T67:X67)</f>
        <v>4.5643703999999996</v>
      </c>
      <c r="Z67" s="10"/>
      <c r="AA67" s="10"/>
      <c r="AB67" s="10"/>
      <c r="AC67" s="10"/>
      <c r="AD67" s="10"/>
      <c r="AE67" s="10"/>
      <c r="AF67" s="10"/>
      <c r="AG67" s="38">
        <f t="shared" ref="AG67:AG130" si="4">COUNTIF(Z67:AF67,"X")/7</f>
        <v>0</v>
      </c>
      <c r="AH67" s="51" t="str">
        <f t="shared" ref="AH67:AH130" si="5">IF(AG67=100%,Y67," ")</f>
        <v xml:space="preserve"> </v>
      </c>
      <c r="AI67" s="64">
        <v>2</v>
      </c>
      <c r="AJ67" s="72" t="s">
        <v>458</v>
      </c>
      <c r="AK67" s="65">
        <v>0</v>
      </c>
      <c r="AL67" s="1"/>
      <c r="AM67" s="1"/>
      <c r="AN67" s="81"/>
      <c r="AO67" s="81"/>
    </row>
    <row r="68" spans="1:41" s="26" customFormat="1" x14ac:dyDescent="0.25">
      <c r="A68" s="22" t="s">
        <v>459</v>
      </c>
      <c r="B68" s="2" t="s">
        <v>197</v>
      </c>
      <c r="C68" s="21">
        <v>1</v>
      </c>
      <c r="D68" s="23">
        <v>1200</v>
      </c>
      <c r="E68" s="23" t="s">
        <v>161</v>
      </c>
      <c r="F68" s="23"/>
      <c r="G68" s="3" t="s">
        <v>460</v>
      </c>
      <c r="H68" s="12" t="s">
        <v>161</v>
      </c>
      <c r="I68" s="10"/>
      <c r="J68" s="4"/>
      <c r="K68" s="5"/>
      <c r="L68" s="5" t="s">
        <v>39</v>
      </c>
      <c r="M68" s="6" t="s">
        <v>338</v>
      </c>
      <c r="N68" s="4" t="s">
        <v>402</v>
      </c>
      <c r="O68" s="12" t="s">
        <v>380</v>
      </c>
      <c r="P68" s="12" t="s">
        <v>167</v>
      </c>
      <c r="Q68" s="30" t="s">
        <v>205</v>
      </c>
      <c r="R68" s="27" t="s">
        <v>167</v>
      </c>
      <c r="S68" s="10" t="s">
        <v>177</v>
      </c>
      <c r="T68" s="13">
        <v>1.1439999999999999</v>
      </c>
      <c r="U68" s="13">
        <v>4.5759999999999996</v>
      </c>
      <c r="V68" s="13">
        <v>7.3216000000000001</v>
      </c>
      <c r="W68" s="13">
        <v>4.1184000000000003</v>
      </c>
      <c r="X68" s="13">
        <v>5.0336000000000007</v>
      </c>
      <c r="Y68" s="1">
        <f t="shared" si="3"/>
        <v>4.43872</v>
      </c>
      <c r="Z68" s="10"/>
      <c r="AA68" s="10"/>
      <c r="AB68" s="10"/>
      <c r="AC68" s="10"/>
      <c r="AD68" s="10"/>
      <c r="AE68" s="10"/>
      <c r="AF68" s="10"/>
      <c r="AG68" s="38">
        <f t="shared" si="4"/>
        <v>0</v>
      </c>
      <c r="AH68" s="51" t="str">
        <f t="shared" si="5"/>
        <v xml:space="preserve"> </v>
      </c>
      <c r="AI68" s="64">
        <v>2</v>
      </c>
      <c r="AJ68" s="72" t="s">
        <v>461</v>
      </c>
      <c r="AK68" s="65">
        <v>0</v>
      </c>
      <c r="AL68" s="1"/>
      <c r="AM68" s="1"/>
      <c r="AN68" s="81"/>
      <c r="AO68" s="81"/>
    </row>
    <row r="69" spans="1:41" s="26" customFormat="1" x14ac:dyDescent="0.25">
      <c r="A69" s="22" t="s">
        <v>462</v>
      </c>
      <c r="B69" s="2" t="s">
        <v>197</v>
      </c>
      <c r="C69" s="21">
        <v>1.2</v>
      </c>
      <c r="D69" s="23">
        <v>900</v>
      </c>
      <c r="E69" s="23">
        <v>400</v>
      </c>
      <c r="F69" s="77">
        <v>4.4999999999999998E-2</v>
      </c>
      <c r="G69" s="3" t="s">
        <v>463</v>
      </c>
      <c r="H69" s="12" t="s">
        <v>161</v>
      </c>
      <c r="I69" s="10"/>
      <c r="J69" s="4"/>
      <c r="K69" s="5"/>
      <c r="L69" s="5" t="s">
        <v>464</v>
      </c>
      <c r="M69" s="4" t="s">
        <v>338</v>
      </c>
      <c r="N69" s="4" t="s">
        <v>354</v>
      </c>
      <c r="O69" s="12" t="s">
        <v>380</v>
      </c>
      <c r="P69" s="12" t="s">
        <v>167</v>
      </c>
      <c r="Q69" s="30" t="s">
        <v>167</v>
      </c>
      <c r="R69" s="27" t="s">
        <v>167</v>
      </c>
      <c r="S69" s="10" t="s">
        <v>167</v>
      </c>
      <c r="T69" s="13">
        <v>2.63</v>
      </c>
      <c r="U69" s="13">
        <v>4.2080000000000002</v>
      </c>
      <c r="V69" s="13">
        <v>5.7859999999999996</v>
      </c>
      <c r="W69" s="13">
        <v>4.2080000000000002</v>
      </c>
      <c r="X69" s="13">
        <v>4.734</v>
      </c>
      <c r="Y69" s="1">
        <f t="shared" si="3"/>
        <v>4.3132000000000001</v>
      </c>
      <c r="Z69" s="10"/>
      <c r="AA69" s="10"/>
      <c r="AB69" s="10"/>
      <c r="AC69" s="10"/>
      <c r="AD69" s="10"/>
      <c r="AE69" s="10"/>
      <c r="AF69" s="10"/>
      <c r="AG69" s="38">
        <f t="shared" si="4"/>
        <v>0</v>
      </c>
      <c r="AH69" s="51" t="str">
        <f t="shared" si="5"/>
        <v xml:space="preserve"> </v>
      </c>
      <c r="AI69" s="64">
        <v>1</v>
      </c>
      <c r="AJ69" s="72" t="s">
        <v>465</v>
      </c>
      <c r="AK69" s="65">
        <v>0</v>
      </c>
      <c r="AL69" s="1"/>
      <c r="AM69" s="1"/>
      <c r="AN69" s="81"/>
      <c r="AO69" s="81"/>
    </row>
    <row r="70" spans="1:41" s="26" customFormat="1" x14ac:dyDescent="0.25">
      <c r="A70" s="22" t="s">
        <v>466</v>
      </c>
      <c r="B70" s="2" t="s">
        <v>189</v>
      </c>
      <c r="C70" s="21">
        <v>1.2</v>
      </c>
      <c r="D70" s="23">
        <v>450</v>
      </c>
      <c r="E70" s="23" t="s">
        <v>161</v>
      </c>
      <c r="F70" s="23"/>
      <c r="G70" s="3" t="s">
        <v>467</v>
      </c>
      <c r="H70" s="10">
        <v>34025385</v>
      </c>
      <c r="I70" s="10"/>
      <c r="J70" s="6"/>
      <c r="K70" s="21"/>
      <c r="L70" s="21" t="s">
        <v>191</v>
      </c>
      <c r="M70" s="6" t="s">
        <v>24</v>
      </c>
      <c r="N70" s="6" t="s">
        <v>331</v>
      </c>
      <c r="O70" s="12" t="s">
        <v>380</v>
      </c>
      <c r="P70" s="10" t="s">
        <v>167</v>
      </c>
      <c r="Q70" s="29" t="s">
        <v>167</v>
      </c>
      <c r="R70" s="27" t="s">
        <v>167</v>
      </c>
      <c r="S70" s="10" t="s">
        <v>167</v>
      </c>
      <c r="T70" s="13">
        <v>4.1118000000000006</v>
      </c>
      <c r="U70" s="13">
        <v>4.1580000000000004</v>
      </c>
      <c r="V70" s="13">
        <v>4.1580000000000004</v>
      </c>
      <c r="W70" s="13">
        <v>3.5640000000000001</v>
      </c>
      <c r="X70" s="13">
        <v>4.1580000000000004</v>
      </c>
      <c r="Y70" s="1">
        <f t="shared" si="3"/>
        <v>4.0299600000000009</v>
      </c>
      <c r="Z70" s="10"/>
      <c r="AA70" s="10"/>
      <c r="AB70" s="10"/>
      <c r="AC70" s="10"/>
      <c r="AD70" s="10"/>
      <c r="AE70" s="10"/>
      <c r="AF70" s="10"/>
      <c r="AG70" s="38">
        <f t="shared" si="4"/>
        <v>0</v>
      </c>
      <c r="AH70" s="51" t="str">
        <f t="shared" si="5"/>
        <v xml:space="preserve"> </v>
      </c>
      <c r="AI70" s="64">
        <v>2</v>
      </c>
      <c r="AJ70" s="72" t="s">
        <v>468</v>
      </c>
      <c r="AK70" s="65">
        <v>0</v>
      </c>
      <c r="AL70" s="1"/>
      <c r="AM70" s="1"/>
      <c r="AN70" s="81"/>
      <c r="AO70" s="81"/>
    </row>
    <row r="71" spans="1:41" s="26" customFormat="1" ht="22.5" x14ac:dyDescent="0.25">
      <c r="A71" s="22" t="s">
        <v>469</v>
      </c>
      <c r="B71" s="2" t="s">
        <v>172</v>
      </c>
      <c r="C71" s="21">
        <v>4</v>
      </c>
      <c r="D71" s="23">
        <v>1100</v>
      </c>
      <c r="E71" s="23" t="s">
        <v>161</v>
      </c>
      <c r="F71" s="23"/>
      <c r="G71" s="3" t="s">
        <v>470</v>
      </c>
      <c r="H71" s="12" t="s">
        <v>161</v>
      </c>
      <c r="I71" s="12"/>
      <c r="J71" s="4"/>
      <c r="K71" s="5"/>
      <c r="L71" s="5" t="s">
        <v>39</v>
      </c>
      <c r="M71" s="4" t="s">
        <v>239</v>
      </c>
      <c r="N71" s="4" t="s">
        <v>471</v>
      </c>
      <c r="O71" s="12" t="s">
        <v>380</v>
      </c>
      <c r="P71" s="12" t="s">
        <v>272</v>
      </c>
      <c r="Q71" s="30" t="s">
        <v>167</v>
      </c>
      <c r="R71" s="27" t="s">
        <v>167</v>
      </c>
      <c r="S71" s="12" t="s">
        <v>177</v>
      </c>
      <c r="T71" s="13">
        <v>1.4885999999999999</v>
      </c>
      <c r="U71" s="13">
        <v>4.0489920000000001</v>
      </c>
      <c r="V71" s="13">
        <v>5.0612399999999997</v>
      </c>
      <c r="W71" s="13">
        <v>3.8703599999999998</v>
      </c>
      <c r="X71" s="13">
        <v>4.4657999999999989</v>
      </c>
      <c r="Y71" s="1">
        <f t="shared" si="3"/>
        <v>3.7869983999999994</v>
      </c>
      <c r="Z71" s="10"/>
      <c r="AA71" s="10"/>
      <c r="AB71" s="10"/>
      <c r="AC71" s="10"/>
      <c r="AD71" s="10"/>
      <c r="AE71" s="10"/>
      <c r="AF71" s="10"/>
      <c r="AG71" s="38">
        <f t="shared" si="4"/>
        <v>0</v>
      </c>
      <c r="AH71" s="51" t="str">
        <f t="shared" si="5"/>
        <v xml:space="preserve"> </v>
      </c>
      <c r="AI71" s="64">
        <v>4</v>
      </c>
      <c r="AJ71" s="72" t="s">
        <v>472</v>
      </c>
      <c r="AK71" s="65">
        <v>0</v>
      </c>
      <c r="AL71" s="1"/>
      <c r="AM71" s="1"/>
      <c r="AN71" s="81"/>
      <c r="AO71" s="81"/>
    </row>
    <row r="72" spans="1:41" s="26" customFormat="1" x14ac:dyDescent="0.25">
      <c r="A72" s="22" t="s">
        <v>473</v>
      </c>
      <c r="B72" s="2" t="s">
        <v>431</v>
      </c>
      <c r="C72" s="21">
        <v>0.7</v>
      </c>
      <c r="D72" s="23">
        <v>650</v>
      </c>
      <c r="E72" s="23">
        <v>847</v>
      </c>
      <c r="F72" s="77">
        <v>0.04</v>
      </c>
      <c r="G72" s="3" t="s">
        <v>474</v>
      </c>
      <c r="H72" s="10">
        <v>34025695</v>
      </c>
      <c r="I72" s="10"/>
      <c r="J72" s="6"/>
      <c r="K72" s="21"/>
      <c r="L72" s="21" t="s">
        <v>191</v>
      </c>
      <c r="M72" s="6" t="s">
        <v>164</v>
      </c>
      <c r="N72" s="35" t="s">
        <v>165</v>
      </c>
      <c r="O72" s="12" t="s">
        <v>380</v>
      </c>
      <c r="P72" s="10" t="s">
        <v>167</v>
      </c>
      <c r="Q72" s="29" t="s">
        <v>167</v>
      </c>
      <c r="R72" s="27" t="s">
        <v>167</v>
      </c>
      <c r="S72" s="10" t="s">
        <v>167</v>
      </c>
      <c r="T72" s="13">
        <v>3.8655999999999997</v>
      </c>
      <c r="U72" s="13">
        <v>4.1071999999999997</v>
      </c>
      <c r="V72" s="13">
        <v>4.5903999999999998</v>
      </c>
      <c r="W72" s="13">
        <v>1.5703999999999998</v>
      </c>
      <c r="X72" s="13">
        <v>4.7111999999999998</v>
      </c>
      <c r="Y72" s="1">
        <f t="shared" si="3"/>
        <v>3.7689599999999999</v>
      </c>
      <c r="Z72" s="10"/>
      <c r="AA72" s="10"/>
      <c r="AB72" s="10"/>
      <c r="AC72" s="10"/>
      <c r="AD72" s="10"/>
      <c r="AE72" s="10"/>
      <c r="AF72" s="10"/>
      <c r="AG72" s="38">
        <f t="shared" si="4"/>
        <v>0</v>
      </c>
      <c r="AH72" s="51" t="str">
        <f t="shared" si="5"/>
        <v xml:space="preserve"> </v>
      </c>
      <c r="AI72" s="64">
        <v>1</v>
      </c>
      <c r="AJ72" s="72" t="s">
        <v>475</v>
      </c>
      <c r="AK72" s="65">
        <v>0</v>
      </c>
      <c r="AL72" s="1"/>
      <c r="AM72" s="1"/>
      <c r="AN72" s="81"/>
      <c r="AO72" s="81"/>
    </row>
    <row r="73" spans="1:41" s="26" customFormat="1" x14ac:dyDescent="0.25">
      <c r="A73" s="22" t="s">
        <v>476</v>
      </c>
      <c r="B73" s="2" t="s">
        <v>189</v>
      </c>
      <c r="C73" s="21">
        <v>1.2</v>
      </c>
      <c r="D73" s="23">
        <v>575</v>
      </c>
      <c r="E73" s="23" t="s">
        <v>161</v>
      </c>
      <c r="F73" s="23"/>
      <c r="G73" s="3" t="s">
        <v>477</v>
      </c>
      <c r="H73" s="10">
        <v>34025389</v>
      </c>
      <c r="I73" s="10"/>
      <c r="J73" s="4"/>
      <c r="K73" s="5"/>
      <c r="L73" s="5" t="s">
        <v>191</v>
      </c>
      <c r="M73" s="1" t="s">
        <v>24</v>
      </c>
      <c r="N73" s="4" t="s">
        <v>447</v>
      </c>
      <c r="O73" s="12" t="s">
        <v>380</v>
      </c>
      <c r="P73" s="13" t="s">
        <v>167</v>
      </c>
      <c r="Q73" s="13" t="s">
        <v>167</v>
      </c>
      <c r="R73" s="27" t="s">
        <v>167</v>
      </c>
      <c r="S73" s="17" t="s">
        <v>167</v>
      </c>
      <c r="T73" s="13">
        <v>0.31372000000000005</v>
      </c>
      <c r="U73" s="13">
        <v>3.9283200000000003</v>
      </c>
      <c r="V73" s="13">
        <v>3.9283200000000003</v>
      </c>
      <c r="W73" s="13">
        <v>4.5830399999999996</v>
      </c>
      <c r="X73" s="13">
        <v>5.8924800000000008</v>
      </c>
      <c r="Y73" s="1">
        <f t="shared" si="3"/>
        <v>3.7291759999999998</v>
      </c>
      <c r="Z73" s="10"/>
      <c r="AA73" s="10"/>
      <c r="AB73" s="10"/>
      <c r="AC73" s="10"/>
      <c r="AD73" s="10"/>
      <c r="AE73" s="10"/>
      <c r="AF73" s="10"/>
      <c r="AG73" s="38">
        <f t="shared" si="4"/>
        <v>0</v>
      </c>
      <c r="AH73" s="51" t="str">
        <f t="shared" si="5"/>
        <v xml:space="preserve"> </v>
      </c>
      <c r="AI73" s="64">
        <v>2</v>
      </c>
      <c r="AJ73" s="72" t="s">
        <v>478</v>
      </c>
      <c r="AK73" s="65">
        <v>0</v>
      </c>
      <c r="AL73" s="1"/>
      <c r="AM73" s="1"/>
      <c r="AN73" s="81"/>
      <c r="AO73" s="81"/>
    </row>
    <row r="74" spans="1:41" s="26" customFormat="1" hidden="1" x14ac:dyDescent="0.25">
      <c r="A74" s="22" t="s">
        <v>479</v>
      </c>
      <c r="B74" s="2" t="s">
        <v>203</v>
      </c>
      <c r="C74" s="21">
        <v>1.5</v>
      </c>
      <c r="D74" s="23">
        <v>220</v>
      </c>
      <c r="E74" s="23">
        <v>230</v>
      </c>
      <c r="F74" s="23"/>
      <c r="G74" s="3" t="s">
        <v>480</v>
      </c>
      <c r="H74" s="10">
        <v>34028132</v>
      </c>
      <c r="I74" s="10"/>
      <c r="J74" s="6"/>
      <c r="K74" s="21"/>
      <c r="L74" s="21" t="s">
        <v>191</v>
      </c>
      <c r="M74" s="6" t="s">
        <v>164</v>
      </c>
      <c r="N74" s="35" t="s">
        <v>165</v>
      </c>
      <c r="O74" s="12" t="s">
        <v>380</v>
      </c>
      <c r="P74" s="10" t="s">
        <v>167</v>
      </c>
      <c r="Q74" s="29" t="s">
        <v>167</v>
      </c>
      <c r="R74" s="27" t="s">
        <v>167</v>
      </c>
      <c r="S74" s="10" t="s">
        <v>167</v>
      </c>
      <c r="T74" s="13">
        <v>3.7339279999999997</v>
      </c>
      <c r="U74" s="13">
        <v>4.2255839999999996</v>
      </c>
      <c r="V74" s="13">
        <v>4.2521599999999999</v>
      </c>
      <c r="W74" s="13">
        <v>2.5380079999999996</v>
      </c>
      <c r="X74" s="13">
        <v>3.7804359999999999</v>
      </c>
      <c r="Y74" s="1">
        <f t="shared" si="3"/>
        <v>3.7060231999999997</v>
      </c>
      <c r="Z74" s="10" t="s">
        <v>168</v>
      </c>
      <c r="AA74" s="10" t="s">
        <v>168</v>
      </c>
      <c r="AB74" s="10" t="s">
        <v>168</v>
      </c>
      <c r="AC74" s="10" t="s">
        <v>168</v>
      </c>
      <c r="AD74" s="10" t="s">
        <v>168</v>
      </c>
      <c r="AE74" s="10" t="s">
        <v>168</v>
      </c>
      <c r="AF74" s="10" t="s">
        <v>168</v>
      </c>
      <c r="AG74" s="38">
        <f t="shared" si="4"/>
        <v>1</v>
      </c>
      <c r="AH74" s="51">
        <f t="shared" si="5"/>
        <v>3.7060231999999997</v>
      </c>
      <c r="AI74" s="64">
        <v>2</v>
      </c>
      <c r="AJ74" s="72" t="s">
        <v>481</v>
      </c>
      <c r="AK74" s="65">
        <v>0</v>
      </c>
      <c r="AL74" s="1"/>
      <c r="AM74" s="1"/>
      <c r="AN74" s="81"/>
      <c r="AO74" s="81"/>
    </row>
    <row r="75" spans="1:41" s="26" customFormat="1" x14ac:dyDescent="0.25">
      <c r="A75" s="22" t="s">
        <v>482</v>
      </c>
      <c r="B75" s="2" t="s">
        <v>431</v>
      </c>
      <c r="C75" s="21">
        <v>2.65</v>
      </c>
      <c r="D75" s="23">
        <v>1200</v>
      </c>
      <c r="E75" s="23">
        <v>2000</v>
      </c>
      <c r="F75" s="23"/>
      <c r="G75" s="3" t="s">
        <v>483</v>
      </c>
      <c r="H75" s="12" t="s">
        <v>161</v>
      </c>
      <c r="I75" s="12"/>
      <c r="J75" s="4"/>
      <c r="K75" s="5"/>
      <c r="L75" s="5" t="s">
        <v>484</v>
      </c>
      <c r="M75" s="4" t="s">
        <v>239</v>
      </c>
      <c r="N75" s="4"/>
      <c r="O75" s="12" t="s">
        <v>380</v>
      </c>
      <c r="P75" s="12" t="s">
        <v>167</v>
      </c>
      <c r="Q75" s="30" t="s">
        <v>167</v>
      </c>
      <c r="R75" s="27" t="s">
        <v>167</v>
      </c>
      <c r="S75" s="12" t="s">
        <v>167</v>
      </c>
      <c r="T75" s="13">
        <v>2.483892</v>
      </c>
      <c r="U75" s="13">
        <v>3.2915999999999999</v>
      </c>
      <c r="V75" s="13">
        <v>4.9373999999999993</v>
      </c>
      <c r="W75" s="13">
        <v>3.7220399999999998</v>
      </c>
      <c r="X75" s="13">
        <v>3.3802200000000004</v>
      </c>
      <c r="Y75" s="1">
        <f t="shared" si="3"/>
        <v>3.5630304000000002</v>
      </c>
      <c r="Z75" s="10"/>
      <c r="AA75" s="10"/>
      <c r="AB75" s="10"/>
      <c r="AC75" s="10"/>
      <c r="AD75" s="10"/>
      <c r="AE75" s="10"/>
      <c r="AF75" s="10"/>
      <c r="AG75" s="38">
        <f t="shared" si="4"/>
        <v>0</v>
      </c>
      <c r="AH75" s="51" t="str">
        <f t="shared" si="5"/>
        <v xml:space="preserve"> </v>
      </c>
      <c r="AI75" s="64">
        <v>1</v>
      </c>
      <c r="AJ75" s="72" t="s">
        <v>485</v>
      </c>
      <c r="AK75" s="65">
        <v>0</v>
      </c>
      <c r="AL75" s="1"/>
      <c r="AM75" s="1"/>
      <c r="AN75" s="81"/>
      <c r="AO75" s="81"/>
    </row>
    <row r="76" spans="1:41" s="26" customFormat="1" hidden="1" x14ac:dyDescent="0.25">
      <c r="A76" s="22" t="s">
        <v>486</v>
      </c>
      <c r="B76" s="2" t="s">
        <v>453</v>
      </c>
      <c r="C76" s="21">
        <v>1</v>
      </c>
      <c r="D76" s="23">
        <v>1300</v>
      </c>
      <c r="E76" s="23" t="s">
        <v>161</v>
      </c>
      <c r="F76" s="23"/>
      <c r="G76" s="3" t="s">
        <v>487</v>
      </c>
      <c r="H76" s="10" t="s">
        <v>161</v>
      </c>
      <c r="I76" s="10"/>
      <c r="J76" s="6"/>
      <c r="K76" s="21"/>
      <c r="L76" s="21" t="s">
        <v>39</v>
      </c>
      <c r="M76" s="6" t="s">
        <v>488</v>
      </c>
      <c r="N76" s="6" t="s">
        <v>489</v>
      </c>
      <c r="O76" s="12" t="s">
        <v>380</v>
      </c>
      <c r="P76" s="10" t="s">
        <v>167</v>
      </c>
      <c r="Q76" s="29" t="s">
        <v>167</v>
      </c>
      <c r="R76" s="27" t="s">
        <v>167</v>
      </c>
      <c r="S76" s="10" t="s">
        <v>167</v>
      </c>
      <c r="T76" s="13">
        <v>2.5577999999999999</v>
      </c>
      <c r="U76" s="13">
        <v>2.1923999999999997</v>
      </c>
      <c r="V76" s="13">
        <v>4.5674999999999999</v>
      </c>
      <c r="W76" s="13">
        <v>4.2020999999999997</v>
      </c>
      <c r="X76" s="13">
        <v>4.2020999999999997</v>
      </c>
      <c r="Y76" s="1">
        <f t="shared" si="3"/>
        <v>3.5443799999999994</v>
      </c>
      <c r="Z76" s="10" t="s">
        <v>168</v>
      </c>
      <c r="AA76" s="10" t="s">
        <v>168</v>
      </c>
      <c r="AB76" s="10" t="s">
        <v>168</v>
      </c>
      <c r="AC76" s="10" t="s">
        <v>168</v>
      </c>
      <c r="AD76" s="10" t="s">
        <v>168</v>
      </c>
      <c r="AE76" s="10" t="s">
        <v>168</v>
      </c>
      <c r="AF76" s="10" t="s">
        <v>168</v>
      </c>
      <c r="AG76" s="38">
        <f t="shared" si="4"/>
        <v>1</v>
      </c>
      <c r="AH76" s="51">
        <f t="shared" si="5"/>
        <v>3.5443799999999994</v>
      </c>
      <c r="AI76" s="64">
        <v>1</v>
      </c>
      <c r="AJ76" s="72" t="s">
        <v>490</v>
      </c>
      <c r="AK76" s="65">
        <v>0</v>
      </c>
      <c r="AL76" s="1"/>
      <c r="AM76" s="1"/>
      <c r="AN76" s="81"/>
      <c r="AO76" s="81"/>
    </row>
    <row r="77" spans="1:41" s="26" customFormat="1" x14ac:dyDescent="0.25">
      <c r="A77" s="22" t="s">
        <v>491</v>
      </c>
      <c r="B77" s="2" t="s">
        <v>431</v>
      </c>
      <c r="C77" s="21">
        <v>2.65</v>
      </c>
      <c r="D77" s="23">
        <v>1200</v>
      </c>
      <c r="E77" s="23">
        <v>2000</v>
      </c>
      <c r="F77" s="23"/>
      <c r="G77" s="3" t="s">
        <v>492</v>
      </c>
      <c r="H77" s="12" t="s">
        <v>161</v>
      </c>
      <c r="I77" s="12"/>
      <c r="J77" s="4"/>
      <c r="K77" s="5"/>
      <c r="L77" s="5" t="s">
        <v>484</v>
      </c>
      <c r="M77" s="4" t="s">
        <v>239</v>
      </c>
      <c r="N77" s="4"/>
      <c r="O77" s="12" t="s">
        <v>380</v>
      </c>
      <c r="P77" s="12" t="s">
        <v>167</v>
      </c>
      <c r="Q77" s="30" t="s">
        <v>167</v>
      </c>
      <c r="R77" s="27" t="s">
        <v>167</v>
      </c>
      <c r="S77" s="12" t="s">
        <v>167</v>
      </c>
      <c r="T77" s="13">
        <v>2.4385320000000004</v>
      </c>
      <c r="U77" s="13">
        <v>3.1717799999999996</v>
      </c>
      <c r="V77" s="13">
        <v>4.7757599999999991</v>
      </c>
      <c r="W77" s="13">
        <v>3.6179999999999999</v>
      </c>
      <c r="X77" s="13">
        <v>3.2742900000000001</v>
      </c>
      <c r="Y77" s="1">
        <f t="shared" si="3"/>
        <v>3.4556723999999996</v>
      </c>
      <c r="Z77" s="10"/>
      <c r="AA77" s="10"/>
      <c r="AB77" s="10"/>
      <c r="AC77" s="10"/>
      <c r="AD77" s="10"/>
      <c r="AE77" s="10"/>
      <c r="AF77" s="10"/>
      <c r="AG77" s="38">
        <f t="shared" si="4"/>
        <v>0</v>
      </c>
      <c r="AH77" s="51" t="str">
        <f t="shared" si="5"/>
        <v xml:space="preserve"> </v>
      </c>
      <c r="AI77" s="64">
        <v>2</v>
      </c>
      <c r="AJ77" s="72" t="s">
        <v>493</v>
      </c>
      <c r="AK77" s="65">
        <v>0</v>
      </c>
      <c r="AL77" s="1"/>
      <c r="AM77" s="1"/>
      <c r="AN77" s="81"/>
      <c r="AO77" s="81"/>
    </row>
    <row r="78" spans="1:41" s="26" customFormat="1" hidden="1" x14ac:dyDescent="0.25">
      <c r="A78" s="22" t="s">
        <v>494</v>
      </c>
      <c r="B78" s="2" t="s">
        <v>431</v>
      </c>
      <c r="C78" s="21">
        <v>3</v>
      </c>
      <c r="D78" s="23">
        <v>1220</v>
      </c>
      <c r="E78" s="23">
        <v>1750</v>
      </c>
      <c r="F78" s="23"/>
      <c r="G78" s="3" t="s">
        <v>495</v>
      </c>
      <c r="H78" s="12" t="s">
        <v>161</v>
      </c>
      <c r="I78" s="12"/>
      <c r="J78" s="4"/>
      <c r="K78" s="5"/>
      <c r="L78" s="21" t="s">
        <v>39</v>
      </c>
      <c r="M78" s="4" t="s">
        <v>496</v>
      </c>
      <c r="N78" s="6" t="s">
        <v>439</v>
      </c>
      <c r="O78" s="12" t="s">
        <v>380</v>
      </c>
      <c r="P78" s="12" t="s">
        <v>167</v>
      </c>
      <c r="Q78" s="30" t="s">
        <v>167</v>
      </c>
      <c r="R78" s="27" t="s">
        <v>167</v>
      </c>
      <c r="S78" s="12" t="s">
        <v>177</v>
      </c>
      <c r="T78" s="13">
        <v>2.9018120000000005</v>
      </c>
      <c r="U78" s="13">
        <v>2.8667900000000004</v>
      </c>
      <c r="V78" s="13">
        <v>3.72512</v>
      </c>
      <c r="W78" s="13">
        <v>3.4172899999999999</v>
      </c>
      <c r="X78" s="13">
        <v>3.3347900000000004</v>
      </c>
      <c r="Y78" s="1">
        <f t="shared" si="3"/>
        <v>3.2491604000000001</v>
      </c>
      <c r="Z78" s="10" t="s">
        <v>168</v>
      </c>
      <c r="AA78" s="10" t="s">
        <v>168</v>
      </c>
      <c r="AB78" s="10" t="s">
        <v>168</v>
      </c>
      <c r="AC78" s="10" t="s">
        <v>168</v>
      </c>
      <c r="AD78" s="10" t="s">
        <v>168</v>
      </c>
      <c r="AE78" s="10" t="s">
        <v>168</v>
      </c>
      <c r="AF78" s="10" t="s">
        <v>168</v>
      </c>
      <c r="AG78" s="38">
        <f t="shared" si="4"/>
        <v>1</v>
      </c>
      <c r="AH78" s="51">
        <f t="shared" si="5"/>
        <v>3.2491604000000001</v>
      </c>
      <c r="AI78" s="64"/>
      <c r="AJ78" s="22" t="s">
        <v>497</v>
      </c>
      <c r="AK78" s="65">
        <v>388.86</v>
      </c>
      <c r="AL78" s="1"/>
      <c r="AM78" s="1" t="s">
        <v>347</v>
      </c>
      <c r="AN78" s="81">
        <v>46113</v>
      </c>
      <c r="AO78" s="81" t="s">
        <v>180</v>
      </c>
    </row>
    <row r="79" spans="1:41" s="26" customFormat="1" x14ac:dyDescent="0.25">
      <c r="A79" s="22" t="s">
        <v>498</v>
      </c>
      <c r="B79" s="2" t="s">
        <v>172</v>
      </c>
      <c r="C79" s="21">
        <v>1.9</v>
      </c>
      <c r="D79" s="23">
        <v>1000</v>
      </c>
      <c r="E79" s="23" t="s">
        <v>161</v>
      </c>
      <c r="F79" s="23"/>
      <c r="G79" s="3" t="s">
        <v>499</v>
      </c>
      <c r="H79" s="12" t="s">
        <v>161</v>
      </c>
      <c r="I79" s="12"/>
      <c r="J79" s="4"/>
      <c r="K79" s="5"/>
      <c r="L79" s="5" t="s">
        <v>464</v>
      </c>
      <c r="M79" s="4" t="s">
        <v>239</v>
      </c>
      <c r="N79" s="4" t="s">
        <v>500</v>
      </c>
      <c r="O79" s="12" t="s">
        <v>380</v>
      </c>
      <c r="P79" s="12" t="s">
        <v>167</v>
      </c>
      <c r="Q79" s="30" t="s">
        <v>167</v>
      </c>
      <c r="R79" s="27" t="s">
        <v>167</v>
      </c>
      <c r="S79" s="12" t="s">
        <v>167</v>
      </c>
      <c r="T79" s="13">
        <v>3.5920000000000001</v>
      </c>
      <c r="U79" s="13">
        <v>2.1552000000000002</v>
      </c>
      <c r="V79" s="13">
        <v>3.2328000000000001</v>
      </c>
      <c r="W79" s="13">
        <v>3.2328000000000001</v>
      </c>
      <c r="X79" s="13">
        <v>3.2328000000000001</v>
      </c>
      <c r="Y79" s="1">
        <f t="shared" si="3"/>
        <v>3.0891200000000003</v>
      </c>
      <c r="Z79" s="10"/>
      <c r="AA79" s="10"/>
      <c r="AB79" s="10"/>
      <c r="AC79" s="10"/>
      <c r="AD79" s="10"/>
      <c r="AE79" s="10"/>
      <c r="AF79" s="10"/>
      <c r="AG79" s="38">
        <f t="shared" si="4"/>
        <v>0</v>
      </c>
      <c r="AH79" s="51" t="str">
        <f t="shared" si="5"/>
        <v xml:space="preserve"> </v>
      </c>
      <c r="AI79" s="64">
        <v>1</v>
      </c>
      <c r="AJ79" s="72" t="s">
        <v>501</v>
      </c>
      <c r="AK79" s="65">
        <v>0</v>
      </c>
      <c r="AL79" s="1"/>
      <c r="AM79" s="1"/>
      <c r="AN79" s="81"/>
      <c r="AO79" s="81"/>
    </row>
    <row r="80" spans="1:41" s="26" customFormat="1" hidden="1" x14ac:dyDescent="0.25">
      <c r="A80" s="22" t="s">
        <v>502</v>
      </c>
      <c r="B80" s="2" t="s">
        <v>431</v>
      </c>
      <c r="C80" s="21">
        <v>4</v>
      </c>
      <c r="D80" s="23">
        <v>1350</v>
      </c>
      <c r="E80" s="23">
        <v>1850</v>
      </c>
      <c r="F80" s="23"/>
      <c r="G80" s="3" t="s">
        <v>503</v>
      </c>
      <c r="H80" s="10" t="s">
        <v>161</v>
      </c>
      <c r="I80" s="10"/>
      <c r="J80" s="6"/>
      <c r="K80" s="21"/>
      <c r="L80" s="21" t="s">
        <v>39</v>
      </c>
      <c r="M80" s="6" t="s">
        <v>504</v>
      </c>
      <c r="N80" s="6" t="s">
        <v>439</v>
      </c>
      <c r="O80" s="12" t="s">
        <v>380</v>
      </c>
      <c r="P80" s="12" t="s">
        <v>167</v>
      </c>
      <c r="Q80" s="12" t="s">
        <v>167</v>
      </c>
      <c r="R80" s="27" t="s">
        <v>167</v>
      </c>
      <c r="S80" s="10" t="s">
        <v>177</v>
      </c>
      <c r="T80" s="13">
        <v>1.9592639999999999</v>
      </c>
      <c r="U80" s="13">
        <v>2.6234999999999995</v>
      </c>
      <c r="V80" s="13">
        <v>3.1852900000000006</v>
      </c>
      <c r="W80" s="13">
        <v>2.9009399999999994</v>
      </c>
      <c r="X80" s="13">
        <v>3.6629499999999999</v>
      </c>
      <c r="Y80" s="1">
        <f t="shared" si="3"/>
        <v>2.8663887999999997</v>
      </c>
      <c r="Z80" s="10" t="s">
        <v>168</v>
      </c>
      <c r="AA80" s="10" t="s">
        <v>168</v>
      </c>
      <c r="AB80" s="10" t="s">
        <v>168</v>
      </c>
      <c r="AC80" s="10" t="s">
        <v>168</v>
      </c>
      <c r="AD80" s="10" t="s">
        <v>168</v>
      </c>
      <c r="AE80" s="10" t="s">
        <v>168</v>
      </c>
      <c r="AF80" s="10" t="s">
        <v>168</v>
      </c>
      <c r="AG80" s="38">
        <f t="shared" si="4"/>
        <v>1</v>
      </c>
      <c r="AH80" s="51">
        <f t="shared" si="5"/>
        <v>2.8663887999999997</v>
      </c>
      <c r="AI80" s="64"/>
      <c r="AJ80" s="22" t="s">
        <v>505</v>
      </c>
      <c r="AK80" s="65">
        <v>208.2</v>
      </c>
      <c r="AL80" s="1"/>
      <c r="AM80" s="1" t="s">
        <v>347</v>
      </c>
      <c r="AN80" s="81">
        <v>46113</v>
      </c>
      <c r="AO80" s="81" t="s">
        <v>180</v>
      </c>
    </row>
    <row r="81" spans="1:41" s="26" customFormat="1" x14ac:dyDescent="0.25">
      <c r="A81" s="22" t="s">
        <v>506</v>
      </c>
      <c r="B81" s="2" t="s">
        <v>189</v>
      </c>
      <c r="C81" s="21">
        <v>0.8</v>
      </c>
      <c r="D81" s="23">
        <v>625</v>
      </c>
      <c r="E81" s="23">
        <v>451</v>
      </c>
      <c r="F81" s="77">
        <v>0.04</v>
      </c>
      <c r="G81" s="3" t="s">
        <v>507</v>
      </c>
      <c r="H81" s="12">
        <v>34025398</v>
      </c>
      <c r="I81" s="12"/>
      <c r="J81" s="4"/>
      <c r="K81" s="5"/>
      <c r="L81" s="5" t="s">
        <v>191</v>
      </c>
      <c r="M81" s="4" t="s">
        <v>164</v>
      </c>
      <c r="N81" s="4" t="s">
        <v>447</v>
      </c>
      <c r="O81" s="12" t="s">
        <v>380</v>
      </c>
      <c r="P81" s="12" t="s">
        <v>167</v>
      </c>
      <c r="Q81" s="30" t="s">
        <v>167</v>
      </c>
      <c r="R81" s="27" t="s">
        <v>167</v>
      </c>
      <c r="S81" s="12" t="s">
        <v>167</v>
      </c>
      <c r="T81" s="13">
        <v>2.7190799999999999</v>
      </c>
      <c r="U81" s="13">
        <v>2.3007599999999999</v>
      </c>
      <c r="V81" s="13">
        <v>2.47506</v>
      </c>
      <c r="W81" s="13">
        <v>2.5099200000000002</v>
      </c>
      <c r="X81" s="13">
        <v>3.69516</v>
      </c>
      <c r="Y81" s="1">
        <f t="shared" si="3"/>
        <v>2.7399960000000001</v>
      </c>
      <c r="Z81" s="10"/>
      <c r="AA81" s="10"/>
      <c r="AB81" s="10"/>
      <c r="AC81" s="10"/>
      <c r="AD81" s="10"/>
      <c r="AE81" s="10"/>
      <c r="AF81" s="10"/>
      <c r="AG81" s="38">
        <f t="shared" si="4"/>
        <v>0</v>
      </c>
      <c r="AH81" s="51" t="str">
        <f t="shared" si="5"/>
        <v xml:space="preserve"> </v>
      </c>
      <c r="AI81" s="64">
        <v>1</v>
      </c>
      <c r="AJ81" s="72" t="s">
        <v>508</v>
      </c>
      <c r="AK81" s="65">
        <v>0</v>
      </c>
      <c r="AL81" s="1"/>
      <c r="AM81" s="1"/>
      <c r="AN81" s="81"/>
      <c r="AO81" s="81"/>
    </row>
    <row r="82" spans="1:41" s="26" customFormat="1" x14ac:dyDescent="0.25">
      <c r="A82" s="22" t="s">
        <v>509</v>
      </c>
      <c r="B82" s="2" t="s">
        <v>189</v>
      </c>
      <c r="C82" s="21">
        <v>1.2</v>
      </c>
      <c r="D82" s="23">
        <v>466</v>
      </c>
      <c r="E82" s="23" t="s">
        <v>161</v>
      </c>
      <c r="F82" s="23"/>
      <c r="G82" s="3" t="s">
        <v>510</v>
      </c>
      <c r="H82" s="12">
        <v>34025390</v>
      </c>
      <c r="I82" s="10"/>
      <c r="J82" s="4"/>
      <c r="K82" s="5"/>
      <c r="L82" s="5" t="s">
        <v>191</v>
      </c>
      <c r="M82" s="4" t="s">
        <v>164</v>
      </c>
      <c r="N82" s="4" t="s">
        <v>447</v>
      </c>
      <c r="O82" s="12" t="s">
        <v>380</v>
      </c>
      <c r="P82" s="12" t="s">
        <v>167</v>
      </c>
      <c r="Q82" s="30" t="s">
        <v>167</v>
      </c>
      <c r="R82" s="27" t="s">
        <v>167</v>
      </c>
      <c r="S82" s="10" t="s">
        <v>167</v>
      </c>
      <c r="T82" s="13">
        <v>2.8175089999999998</v>
      </c>
      <c r="U82" s="13">
        <v>2.5011000000000005</v>
      </c>
      <c r="V82" s="13">
        <v>2.1438000000000001</v>
      </c>
      <c r="W82" s="13">
        <v>2.5011000000000005</v>
      </c>
      <c r="X82" s="13">
        <v>3.573</v>
      </c>
      <c r="Y82" s="1">
        <f t="shared" si="3"/>
        <v>2.7073018000000006</v>
      </c>
      <c r="Z82" s="10"/>
      <c r="AA82" s="10"/>
      <c r="AB82" s="10"/>
      <c r="AC82" s="10"/>
      <c r="AD82" s="10"/>
      <c r="AE82" s="10"/>
      <c r="AF82" s="10"/>
      <c r="AG82" s="38">
        <f t="shared" si="4"/>
        <v>0</v>
      </c>
      <c r="AH82" s="51" t="str">
        <f t="shared" si="5"/>
        <v xml:space="preserve"> </v>
      </c>
      <c r="AI82" s="64">
        <v>2</v>
      </c>
      <c r="AJ82" s="72" t="s">
        <v>511</v>
      </c>
      <c r="AK82" s="65">
        <v>0</v>
      </c>
      <c r="AL82" s="1"/>
      <c r="AM82" s="1"/>
      <c r="AN82" s="81"/>
      <c r="AO82" s="81"/>
    </row>
    <row r="83" spans="1:41" s="26" customFormat="1" x14ac:dyDescent="0.25">
      <c r="A83" s="22" t="s">
        <v>512</v>
      </c>
      <c r="B83" s="2" t="s">
        <v>189</v>
      </c>
      <c r="C83" s="21">
        <v>0.7</v>
      </c>
      <c r="D83" s="23">
        <v>416.7</v>
      </c>
      <c r="E83" s="23" t="s">
        <v>161</v>
      </c>
      <c r="F83" s="23"/>
      <c r="G83" s="3" t="s">
        <v>513</v>
      </c>
      <c r="H83" s="12">
        <v>34025693</v>
      </c>
      <c r="I83" s="10"/>
      <c r="J83" s="4"/>
      <c r="K83" s="5"/>
      <c r="L83" s="5" t="s">
        <v>191</v>
      </c>
      <c r="M83" s="4" t="s">
        <v>164</v>
      </c>
      <c r="N83" s="4" t="s">
        <v>331</v>
      </c>
      <c r="O83" s="12" t="s">
        <v>380</v>
      </c>
      <c r="P83" s="12" t="s">
        <v>167</v>
      </c>
      <c r="Q83" s="30" t="s">
        <v>167</v>
      </c>
      <c r="R83" s="27" t="s">
        <v>167</v>
      </c>
      <c r="S83" s="10" t="s">
        <v>167</v>
      </c>
      <c r="T83" s="13">
        <v>1.8615100000000002</v>
      </c>
      <c r="U83" s="13">
        <v>2.4969000000000006</v>
      </c>
      <c r="V83" s="13">
        <v>2.6674199999999999</v>
      </c>
      <c r="W83" s="13">
        <v>2.2898400000000003</v>
      </c>
      <c r="X83" s="13">
        <v>2.2898400000000003</v>
      </c>
      <c r="Y83" s="1">
        <f t="shared" si="3"/>
        <v>2.3211020000000002</v>
      </c>
      <c r="Z83" s="10"/>
      <c r="AA83" s="10"/>
      <c r="AB83" s="10"/>
      <c r="AC83" s="10"/>
      <c r="AD83" s="10"/>
      <c r="AE83" s="10"/>
      <c r="AF83" s="10"/>
      <c r="AG83" s="38">
        <f t="shared" si="4"/>
        <v>0</v>
      </c>
      <c r="AH83" s="51" t="str">
        <f t="shared" si="5"/>
        <v xml:space="preserve"> </v>
      </c>
      <c r="AI83" s="64">
        <v>2</v>
      </c>
      <c r="AJ83" s="72" t="s">
        <v>514</v>
      </c>
      <c r="AK83" s="65">
        <v>0</v>
      </c>
      <c r="AL83" s="1"/>
      <c r="AM83" s="1"/>
      <c r="AN83" s="81"/>
      <c r="AO83" s="81"/>
    </row>
    <row r="84" spans="1:41" s="26" customFormat="1" x14ac:dyDescent="0.25">
      <c r="A84" s="22" t="s">
        <v>515</v>
      </c>
      <c r="B84" s="2" t="s">
        <v>431</v>
      </c>
      <c r="C84" s="21">
        <v>0.65</v>
      </c>
      <c r="D84" s="23">
        <v>750</v>
      </c>
      <c r="E84" s="23">
        <v>670</v>
      </c>
      <c r="F84" s="77">
        <v>4.4999999999999998E-2</v>
      </c>
      <c r="G84" s="3" t="s">
        <v>516</v>
      </c>
      <c r="H84" s="10" t="s">
        <v>161</v>
      </c>
      <c r="I84" s="10"/>
      <c r="J84" s="6"/>
      <c r="K84" s="21"/>
      <c r="L84" s="21" t="s">
        <v>484</v>
      </c>
      <c r="M84" s="6" t="s">
        <v>239</v>
      </c>
      <c r="N84" s="6" t="s">
        <v>517</v>
      </c>
      <c r="O84" s="12" t="s">
        <v>380</v>
      </c>
      <c r="P84" s="10" t="s">
        <v>167</v>
      </c>
      <c r="Q84" s="29" t="s">
        <v>167</v>
      </c>
      <c r="R84" s="27" t="s">
        <v>167</v>
      </c>
      <c r="S84" s="10" t="s">
        <v>167</v>
      </c>
      <c r="T84" s="13">
        <v>1.8629599999999999</v>
      </c>
      <c r="U84" s="13">
        <v>2.044</v>
      </c>
      <c r="V84" s="13">
        <v>2.6280000000000001</v>
      </c>
      <c r="W84" s="13">
        <v>2.044</v>
      </c>
      <c r="X84" s="13">
        <v>2.3359999999999999</v>
      </c>
      <c r="Y84" s="1">
        <f t="shared" si="3"/>
        <v>2.182992</v>
      </c>
      <c r="Z84" s="10"/>
      <c r="AA84" s="10"/>
      <c r="AB84" s="10"/>
      <c r="AC84" s="10"/>
      <c r="AD84" s="10"/>
      <c r="AE84" s="10"/>
      <c r="AF84" s="10"/>
      <c r="AG84" s="38">
        <f t="shared" si="4"/>
        <v>0</v>
      </c>
      <c r="AH84" s="51" t="str">
        <f t="shared" si="5"/>
        <v xml:space="preserve"> </v>
      </c>
      <c r="AI84" s="64">
        <v>2</v>
      </c>
      <c r="AJ84" s="72" t="s">
        <v>518</v>
      </c>
      <c r="AK84" s="65">
        <v>0</v>
      </c>
      <c r="AL84" s="1"/>
      <c r="AM84" s="1"/>
      <c r="AN84" s="81"/>
      <c r="AO84" s="81"/>
    </row>
    <row r="85" spans="1:41" s="26" customFormat="1" x14ac:dyDescent="0.25">
      <c r="A85" s="22" t="s">
        <v>519</v>
      </c>
      <c r="B85" s="2" t="s">
        <v>189</v>
      </c>
      <c r="C85" s="21">
        <v>0.7</v>
      </c>
      <c r="D85" s="23">
        <v>191</v>
      </c>
      <c r="E85" s="23" t="s">
        <v>161</v>
      </c>
      <c r="F85" s="23"/>
      <c r="G85" s="3" t="s">
        <v>520</v>
      </c>
      <c r="H85" s="10">
        <v>34025692</v>
      </c>
      <c r="I85" s="10"/>
      <c r="J85" s="6"/>
      <c r="K85" s="21"/>
      <c r="L85" s="21" t="s">
        <v>191</v>
      </c>
      <c r="M85" s="6" t="s">
        <v>24</v>
      </c>
      <c r="N85" s="6" t="s">
        <v>331</v>
      </c>
      <c r="O85" s="12" t="s">
        <v>380</v>
      </c>
      <c r="P85" s="10" t="s">
        <v>167</v>
      </c>
      <c r="Q85" s="29" t="s">
        <v>167</v>
      </c>
      <c r="R85" s="27" t="s">
        <v>167</v>
      </c>
      <c r="S85" s="10" t="s">
        <v>167</v>
      </c>
      <c r="T85" s="13">
        <v>1.232</v>
      </c>
      <c r="U85" s="13">
        <v>2.4319999999999999</v>
      </c>
      <c r="V85" s="13">
        <v>2.4384000000000001</v>
      </c>
      <c r="W85" s="13">
        <v>2.4384000000000001</v>
      </c>
      <c r="X85" s="13">
        <v>2.2464</v>
      </c>
      <c r="Y85" s="1">
        <f t="shared" si="3"/>
        <v>2.1574399999999998</v>
      </c>
      <c r="Z85" s="10"/>
      <c r="AA85" s="10"/>
      <c r="AB85" s="10"/>
      <c r="AC85" s="10"/>
      <c r="AD85" s="10"/>
      <c r="AE85" s="10"/>
      <c r="AF85" s="10"/>
      <c r="AG85" s="38">
        <f t="shared" si="4"/>
        <v>0</v>
      </c>
      <c r="AH85" s="51" t="str">
        <f t="shared" si="5"/>
        <v xml:space="preserve"> </v>
      </c>
      <c r="AI85" s="64">
        <v>2</v>
      </c>
      <c r="AJ85" s="72" t="s">
        <v>521</v>
      </c>
      <c r="AK85" s="65">
        <v>0</v>
      </c>
      <c r="AL85" s="1"/>
      <c r="AM85" s="1"/>
      <c r="AN85" s="81"/>
      <c r="AO85" s="81"/>
    </row>
    <row r="86" spans="1:41" s="26" customFormat="1" x14ac:dyDescent="0.25">
      <c r="A86" s="22" t="s">
        <v>522</v>
      </c>
      <c r="B86" s="2" t="s">
        <v>160</v>
      </c>
      <c r="C86" s="21">
        <v>1</v>
      </c>
      <c r="D86" s="23">
        <v>1450</v>
      </c>
      <c r="E86" s="23" t="s">
        <v>161</v>
      </c>
      <c r="F86" s="23"/>
      <c r="G86" s="3" t="s">
        <v>523</v>
      </c>
      <c r="H86" s="10" t="s">
        <v>161</v>
      </c>
      <c r="I86" s="10"/>
      <c r="J86" s="6"/>
      <c r="K86" s="21"/>
      <c r="L86" s="21" t="s">
        <v>524</v>
      </c>
      <c r="M86" s="6" t="s">
        <v>525</v>
      </c>
      <c r="N86" s="35" t="s">
        <v>526</v>
      </c>
      <c r="O86" s="12" t="s">
        <v>380</v>
      </c>
      <c r="P86" s="10"/>
      <c r="Q86" s="29"/>
      <c r="R86" s="27" t="s">
        <v>167</v>
      </c>
      <c r="S86" s="10" t="s">
        <v>167</v>
      </c>
      <c r="T86" s="13">
        <v>3.5387999999999997</v>
      </c>
      <c r="U86" s="13">
        <v>0</v>
      </c>
      <c r="V86" s="13">
        <v>0</v>
      </c>
      <c r="W86" s="13">
        <v>7.0775999999999994</v>
      </c>
      <c r="X86" s="13">
        <v>0</v>
      </c>
      <c r="Y86" s="1">
        <f t="shared" si="3"/>
        <v>2.1232799999999998</v>
      </c>
      <c r="Z86" s="10"/>
      <c r="AA86" s="10"/>
      <c r="AB86" s="10"/>
      <c r="AC86" s="10"/>
      <c r="AD86" s="10"/>
      <c r="AE86" s="10"/>
      <c r="AF86" s="10"/>
      <c r="AG86" s="38">
        <f t="shared" si="4"/>
        <v>0</v>
      </c>
      <c r="AH86" s="51" t="str">
        <f t="shared" si="5"/>
        <v xml:space="preserve"> </v>
      </c>
      <c r="AI86" s="64">
        <v>1</v>
      </c>
      <c r="AJ86" s="72" t="s">
        <v>527</v>
      </c>
      <c r="AK86" s="65">
        <v>0</v>
      </c>
      <c r="AL86" s="1"/>
      <c r="AM86" s="1"/>
      <c r="AN86" s="81"/>
      <c r="AO86" s="81"/>
    </row>
    <row r="87" spans="1:41" s="26" customFormat="1" x14ac:dyDescent="0.25">
      <c r="A87" s="22" t="s">
        <v>528</v>
      </c>
      <c r="B87" s="2" t="s">
        <v>189</v>
      </c>
      <c r="C87" s="21">
        <v>0.7</v>
      </c>
      <c r="D87" s="23">
        <v>333</v>
      </c>
      <c r="E87" s="23" t="s">
        <v>161</v>
      </c>
      <c r="F87" s="23"/>
      <c r="G87" s="3" t="s">
        <v>529</v>
      </c>
      <c r="H87" s="12">
        <v>34025648</v>
      </c>
      <c r="I87" s="10"/>
      <c r="J87" s="4"/>
      <c r="K87" s="5"/>
      <c r="L87" s="5" t="s">
        <v>191</v>
      </c>
      <c r="M87" s="4" t="s">
        <v>164</v>
      </c>
      <c r="N87" s="36" t="s">
        <v>165</v>
      </c>
      <c r="O87" s="12" t="s">
        <v>380</v>
      </c>
      <c r="P87" s="12" t="s">
        <v>167</v>
      </c>
      <c r="Q87" s="30" t="s">
        <v>167</v>
      </c>
      <c r="R87" s="27" t="s">
        <v>167</v>
      </c>
      <c r="S87" s="10" t="s">
        <v>167</v>
      </c>
      <c r="T87" s="13">
        <v>1.96682</v>
      </c>
      <c r="U87" s="13">
        <v>2.58</v>
      </c>
      <c r="V87" s="13">
        <v>2.0640000000000001</v>
      </c>
      <c r="W87" s="13">
        <v>1.5479999999999998</v>
      </c>
      <c r="X87" s="13">
        <v>2.0640000000000001</v>
      </c>
      <c r="Y87" s="1">
        <f t="shared" si="3"/>
        <v>2.0445640000000003</v>
      </c>
      <c r="Z87" s="10"/>
      <c r="AA87" s="10"/>
      <c r="AB87" s="10"/>
      <c r="AC87" s="10"/>
      <c r="AD87" s="10"/>
      <c r="AE87" s="10"/>
      <c r="AF87" s="10"/>
      <c r="AG87" s="38">
        <f t="shared" si="4"/>
        <v>0</v>
      </c>
      <c r="AH87" s="51" t="str">
        <f t="shared" si="5"/>
        <v xml:space="preserve"> </v>
      </c>
      <c r="AI87" s="64">
        <v>2</v>
      </c>
      <c r="AJ87" s="72" t="s">
        <v>530</v>
      </c>
      <c r="AK87" s="65">
        <v>0</v>
      </c>
      <c r="AL87" s="1"/>
      <c r="AM87" s="1"/>
      <c r="AN87" s="81"/>
      <c r="AO87" s="81"/>
    </row>
    <row r="88" spans="1:41" s="26" customFormat="1" x14ac:dyDescent="0.25">
      <c r="A88" s="22" t="s">
        <v>531</v>
      </c>
      <c r="B88" s="2" t="s">
        <v>160</v>
      </c>
      <c r="C88" s="21">
        <v>1.5</v>
      </c>
      <c r="D88" s="23">
        <v>1100</v>
      </c>
      <c r="E88" s="23">
        <v>191</v>
      </c>
      <c r="F88" s="77">
        <v>0.04</v>
      </c>
      <c r="G88" s="3" t="s">
        <v>532</v>
      </c>
      <c r="H88" s="10" t="s">
        <v>161</v>
      </c>
      <c r="I88" s="10"/>
      <c r="J88" s="6"/>
      <c r="K88" s="21"/>
      <c r="L88" s="21" t="s">
        <v>533</v>
      </c>
      <c r="M88" s="6" t="s">
        <v>534</v>
      </c>
      <c r="N88" s="6" t="s">
        <v>535</v>
      </c>
      <c r="O88" s="12" t="s">
        <v>380</v>
      </c>
      <c r="P88" s="10" t="s">
        <v>167</v>
      </c>
      <c r="Q88" s="29" t="s">
        <v>167</v>
      </c>
      <c r="R88" s="27" t="s">
        <v>167</v>
      </c>
      <c r="S88" s="10" t="s">
        <v>167</v>
      </c>
      <c r="T88" s="13">
        <v>1.5443120000000001</v>
      </c>
      <c r="U88" s="13">
        <v>1.3702320000000001</v>
      </c>
      <c r="V88" s="13">
        <v>2.4267760000000003</v>
      </c>
      <c r="W88" s="13">
        <v>2.2061600000000001</v>
      </c>
      <c r="X88" s="13">
        <v>2.2061600000000001</v>
      </c>
      <c r="Y88" s="1">
        <f t="shared" si="3"/>
        <v>1.9507280000000002</v>
      </c>
      <c r="Z88" s="10"/>
      <c r="AA88" s="10"/>
      <c r="AB88" s="10"/>
      <c r="AC88" s="10"/>
      <c r="AD88" s="10"/>
      <c r="AE88" s="10"/>
      <c r="AF88" s="10"/>
      <c r="AG88" s="38">
        <f t="shared" si="4"/>
        <v>0</v>
      </c>
      <c r="AH88" s="51" t="str">
        <f t="shared" si="5"/>
        <v xml:space="preserve"> </v>
      </c>
      <c r="AI88" s="64">
        <v>2</v>
      </c>
      <c r="AJ88" s="72" t="s">
        <v>536</v>
      </c>
      <c r="AK88" s="65">
        <v>0</v>
      </c>
      <c r="AL88" s="1"/>
      <c r="AM88" s="1"/>
      <c r="AN88" s="81"/>
      <c r="AO88" s="81"/>
    </row>
    <row r="89" spans="1:41" s="26" customFormat="1" x14ac:dyDescent="0.25">
      <c r="A89" s="22" t="s">
        <v>537</v>
      </c>
      <c r="B89" s="2" t="s">
        <v>307</v>
      </c>
      <c r="C89" s="21">
        <v>4</v>
      </c>
      <c r="D89" s="23">
        <v>235</v>
      </c>
      <c r="E89" s="23" t="s">
        <v>161</v>
      </c>
      <c r="F89" s="23"/>
      <c r="G89" s="3" t="s">
        <v>538</v>
      </c>
      <c r="H89" s="10" t="s">
        <v>161</v>
      </c>
      <c r="I89" s="10"/>
      <c r="J89" s="6"/>
      <c r="K89" s="21"/>
      <c r="L89" s="5" t="s">
        <v>524</v>
      </c>
      <c r="M89" s="6" t="s">
        <v>239</v>
      </c>
      <c r="N89" s="6" t="s">
        <v>539</v>
      </c>
      <c r="O89" s="12" t="s">
        <v>380</v>
      </c>
      <c r="P89" s="10" t="s">
        <v>167</v>
      </c>
      <c r="Q89" s="29" t="s">
        <v>167</v>
      </c>
      <c r="R89" s="27" t="s">
        <v>167</v>
      </c>
      <c r="S89" s="10" t="s">
        <v>167</v>
      </c>
      <c r="T89" s="13">
        <v>1.334784</v>
      </c>
      <c r="U89" s="13">
        <v>1.4712959999999997</v>
      </c>
      <c r="V89" s="13">
        <v>2.3737919999999999</v>
      </c>
      <c r="W89" s="13">
        <v>1.7974079999999999</v>
      </c>
      <c r="X89" s="13">
        <v>2.1690239999999998</v>
      </c>
      <c r="Y89" s="1">
        <f t="shared" si="3"/>
        <v>1.8292607999999997</v>
      </c>
      <c r="Z89" s="10"/>
      <c r="AA89" s="10"/>
      <c r="AB89" s="10"/>
      <c r="AC89" s="10"/>
      <c r="AD89" s="10"/>
      <c r="AE89" s="10"/>
      <c r="AF89" s="10"/>
      <c r="AG89" s="38">
        <f t="shared" si="4"/>
        <v>0</v>
      </c>
      <c r="AH89" s="51" t="str">
        <f t="shared" si="5"/>
        <v xml:space="preserve"> </v>
      </c>
      <c r="AI89" s="64">
        <v>2</v>
      </c>
      <c r="AJ89" s="72" t="s">
        <v>411</v>
      </c>
      <c r="AK89" s="65">
        <v>0</v>
      </c>
      <c r="AL89" s="1"/>
      <c r="AM89" s="1"/>
      <c r="AN89" s="81"/>
      <c r="AO89" s="81"/>
    </row>
    <row r="90" spans="1:41" s="26" customFormat="1" x14ac:dyDescent="0.25">
      <c r="A90" s="22" t="s">
        <v>540</v>
      </c>
      <c r="B90" s="2" t="s">
        <v>160</v>
      </c>
      <c r="C90" s="21">
        <v>1.4</v>
      </c>
      <c r="D90" s="23">
        <v>1200</v>
      </c>
      <c r="E90" s="23" t="s">
        <v>161</v>
      </c>
      <c r="F90" s="23"/>
      <c r="G90" s="3" t="s">
        <v>541</v>
      </c>
      <c r="H90" s="12" t="s">
        <v>161</v>
      </c>
      <c r="I90" s="10"/>
      <c r="J90" s="4"/>
      <c r="K90" s="5"/>
      <c r="L90" s="5" t="s">
        <v>524</v>
      </c>
      <c r="M90" s="4" t="s">
        <v>338</v>
      </c>
      <c r="N90" s="4" t="s">
        <v>320</v>
      </c>
      <c r="O90" s="12" t="s">
        <v>380</v>
      </c>
      <c r="P90" s="12" t="s">
        <v>167</v>
      </c>
      <c r="Q90" s="30" t="s">
        <v>167</v>
      </c>
      <c r="R90" s="27" t="s">
        <v>167</v>
      </c>
      <c r="S90" s="10" t="s">
        <v>167</v>
      </c>
      <c r="T90" s="13">
        <v>7.6574080000000002</v>
      </c>
      <c r="U90" s="13">
        <v>0</v>
      </c>
      <c r="V90" s="13">
        <v>0</v>
      </c>
      <c r="W90" s="13">
        <v>0.85118000000000005</v>
      </c>
      <c r="X90" s="13">
        <v>0</v>
      </c>
      <c r="Y90" s="1">
        <f t="shared" si="3"/>
        <v>1.7017175999999998</v>
      </c>
      <c r="Z90" s="10"/>
      <c r="AA90" s="10"/>
      <c r="AB90" s="10"/>
      <c r="AC90" s="10"/>
      <c r="AD90" s="10"/>
      <c r="AE90" s="10"/>
      <c r="AF90" s="10"/>
      <c r="AG90" s="38">
        <f t="shared" si="4"/>
        <v>0</v>
      </c>
      <c r="AH90" s="51" t="str">
        <f t="shared" si="5"/>
        <v xml:space="preserve"> </v>
      </c>
      <c r="AI90" s="64">
        <v>2</v>
      </c>
      <c r="AJ90" s="72" t="s">
        <v>542</v>
      </c>
      <c r="AK90" s="65">
        <v>0</v>
      </c>
      <c r="AL90" s="1"/>
      <c r="AM90" s="1"/>
      <c r="AN90" s="81"/>
      <c r="AO90" s="81"/>
    </row>
    <row r="91" spans="1:41" s="26" customFormat="1" x14ac:dyDescent="0.25">
      <c r="A91" s="22" t="s">
        <v>543</v>
      </c>
      <c r="B91" s="2" t="s">
        <v>312</v>
      </c>
      <c r="C91" s="21">
        <v>1</v>
      </c>
      <c r="D91" s="23">
        <v>210</v>
      </c>
      <c r="E91" s="23">
        <v>160</v>
      </c>
      <c r="F91" s="23"/>
      <c r="G91" s="3" t="s">
        <v>544</v>
      </c>
      <c r="H91" s="10">
        <v>34027465</v>
      </c>
      <c r="I91" s="10"/>
      <c r="J91" s="6"/>
      <c r="K91" s="21"/>
      <c r="L91" s="21" t="s">
        <v>191</v>
      </c>
      <c r="M91" s="6" t="s">
        <v>378</v>
      </c>
      <c r="N91" s="35" t="s">
        <v>545</v>
      </c>
      <c r="O91" s="12" t="s">
        <v>380</v>
      </c>
      <c r="P91" s="10" t="s">
        <v>167</v>
      </c>
      <c r="Q91" s="29" t="s">
        <v>167</v>
      </c>
      <c r="R91" s="27" t="s">
        <v>167</v>
      </c>
      <c r="S91" s="10" t="s">
        <v>167</v>
      </c>
      <c r="T91" s="13">
        <v>1.3345499999999999</v>
      </c>
      <c r="U91" s="13">
        <v>2.0018249999999997</v>
      </c>
      <c r="V91" s="13">
        <v>2.0233499999999998</v>
      </c>
      <c r="W91" s="13">
        <v>1.2053999999999998</v>
      </c>
      <c r="X91" s="13">
        <v>1.8080999999999998</v>
      </c>
      <c r="Y91" s="1">
        <f t="shared" si="3"/>
        <v>1.6746449999999999</v>
      </c>
      <c r="Z91" s="10"/>
      <c r="AA91" s="10"/>
      <c r="AB91" s="10"/>
      <c r="AC91" s="10"/>
      <c r="AD91" s="10"/>
      <c r="AE91" s="10"/>
      <c r="AF91" s="10"/>
      <c r="AG91" s="38">
        <f t="shared" si="4"/>
        <v>0</v>
      </c>
      <c r="AH91" s="51" t="str">
        <f t="shared" si="5"/>
        <v xml:space="preserve"> </v>
      </c>
      <c r="AI91" s="64">
        <v>1</v>
      </c>
      <c r="AJ91" s="72" t="s">
        <v>546</v>
      </c>
      <c r="AK91" s="65">
        <v>0</v>
      </c>
      <c r="AL91" s="1"/>
      <c r="AM91" s="1"/>
      <c r="AN91" s="81"/>
      <c r="AO91" s="81"/>
    </row>
    <row r="92" spans="1:41" s="26" customFormat="1" x14ac:dyDescent="0.25">
      <c r="A92" s="22" t="s">
        <v>547</v>
      </c>
      <c r="B92" s="2" t="s">
        <v>189</v>
      </c>
      <c r="C92" s="21">
        <v>1.5</v>
      </c>
      <c r="D92" s="23">
        <v>256</v>
      </c>
      <c r="E92" s="23" t="s">
        <v>161</v>
      </c>
      <c r="F92" s="23"/>
      <c r="G92" s="3" t="s">
        <v>548</v>
      </c>
      <c r="H92" s="10">
        <v>34028133</v>
      </c>
      <c r="I92" s="10"/>
      <c r="J92" s="6"/>
      <c r="K92" s="21"/>
      <c r="L92" s="21" t="s">
        <v>191</v>
      </c>
      <c r="M92" s="6" t="s">
        <v>378</v>
      </c>
      <c r="N92" s="6" t="s">
        <v>549</v>
      </c>
      <c r="O92" s="12" t="s">
        <v>380</v>
      </c>
      <c r="P92" s="10" t="s">
        <v>167</v>
      </c>
      <c r="Q92" s="29" t="s">
        <v>167</v>
      </c>
      <c r="R92" s="27" t="s">
        <v>167</v>
      </c>
      <c r="S92" s="10" t="s">
        <v>167</v>
      </c>
      <c r="T92" s="13">
        <v>1.5994200000000001</v>
      </c>
      <c r="U92" s="13">
        <v>1.9320000000000002</v>
      </c>
      <c r="V92" s="13">
        <v>1.9320000000000002</v>
      </c>
      <c r="W92" s="13">
        <v>1.1592</v>
      </c>
      <c r="X92" s="13">
        <v>1.7388000000000001</v>
      </c>
      <c r="Y92" s="1">
        <f t="shared" si="3"/>
        <v>1.6722840000000001</v>
      </c>
      <c r="Z92" s="10"/>
      <c r="AA92" s="10"/>
      <c r="AB92" s="10"/>
      <c r="AC92" s="10"/>
      <c r="AD92" s="10"/>
      <c r="AE92" s="10"/>
      <c r="AF92" s="10"/>
      <c r="AG92" s="38">
        <f t="shared" si="4"/>
        <v>0</v>
      </c>
      <c r="AH92" s="51" t="str">
        <f t="shared" si="5"/>
        <v xml:space="preserve"> </v>
      </c>
      <c r="AI92" s="64">
        <v>1</v>
      </c>
      <c r="AJ92" s="72" t="s">
        <v>550</v>
      </c>
      <c r="AK92" s="65">
        <v>0</v>
      </c>
      <c r="AL92" s="1"/>
      <c r="AM92" s="1"/>
      <c r="AN92" s="81"/>
      <c r="AO92" s="81"/>
    </row>
    <row r="93" spans="1:41" s="26" customFormat="1" ht="22.5" x14ac:dyDescent="0.25">
      <c r="A93" s="22" t="s">
        <v>551</v>
      </c>
      <c r="B93" s="2" t="s">
        <v>431</v>
      </c>
      <c r="C93" s="21">
        <v>1</v>
      </c>
      <c r="D93" s="23">
        <v>1150</v>
      </c>
      <c r="E93" s="23">
        <v>250</v>
      </c>
      <c r="F93" s="77">
        <v>6.5000000000000002E-2</v>
      </c>
      <c r="G93" s="3" t="s">
        <v>552</v>
      </c>
      <c r="H93" s="10" t="s">
        <v>161</v>
      </c>
      <c r="I93" s="10"/>
      <c r="J93" s="6"/>
      <c r="K93" s="5"/>
      <c r="L93" s="5" t="s">
        <v>484</v>
      </c>
      <c r="M93" s="6" t="s">
        <v>239</v>
      </c>
      <c r="N93" s="6" t="s">
        <v>240</v>
      </c>
      <c r="O93" s="12" t="s">
        <v>380</v>
      </c>
      <c r="P93" s="10"/>
      <c r="Q93" s="29"/>
      <c r="R93" s="27" t="s">
        <v>167</v>
      </c>
      <c r="S93" s="10" t="s">
        <v>167</v>
      </c>
      <c r="T93" s="13">
        <v>1.278</v>
      </c>
      <c r="U93" s="13">
        <v>1.5335999999999999</v>
      </c>
      <c r="V93" s="13">
        <v>1.917</v>
      </c>
      <c r="W93" s="13">
        <v>1.6614</v>
      </c>
      <c r="X93" s="13">
        <v>1.7892000000000001</v>
      </c>
      <c r="Y93" s="1">
        <f t="shared" si="3"/>
        <v>1.6358400000000004</v>
      </c>
      <c r="Z93" s="10"/>
      <c r="AA93" s="10"/>
      <c r="AB93" s="10"/>
      <c r="AC93" s="10"/>
      <c r="AD93" s="10"/>
      <c r="AE93" s="10"/>
      <c r="AF93" s="10"/>
      <c r="AG93" s="38">
        <f t="shared" si="4"/>
        <v>0</v>
      </c>
      <c r="AH93" s="51" t="str">
        <f t="shared" si="5"/>
        <v xml:space="preserve"> </v>
      </c>
      <c r="AI93" s="64">
        <v>4</v>
      </c>
      <c r="AJ93" s="72" t="s">
        <v>553</v>
      </c>
      <c r="AK93" s="65">
        <v>0</v>
      </c>
      <c r="AL93" s="1"/>
      <c r="AM93" s="1"/>
      <c r="AN93" s="81"/>
      <c r="AO93" s="81"/>
    </row>
    <row r="94" spans="1:41" s="26" customFormat="1" x14ac:dyDescent="0.25">
      <c r="A94" s="22" t="s">
        <v>554</v>
      </c>
      <c r="B94" s="2" t="s">
        <v>329</v>
      </c>
      <c r="C94" s="21">
        <v>1.5</v>
      </c>
      <c r="D94" s="23">
        <v>698</v>
      </c>
      <c r="E94" s="23" t="s">
        <v>161</v>
      </c>
      <c r="F94" s="23"/>
      <c r="G94" s="3" t="s">
        <v>555</v>
      </c>
      <c r="H94" s="10" t="s">
        <v>161</v>
      </c>
      <c r="I94" s="10"/>
      <c r="J94" s="6"/>
      <c r="K94" s="21"/>
      <c r="L94" s="21" t="s">
        <v>524</v>
      </c>
      <c r="M94" s="6" t="s">
        <v>164</v>
      </c>
      <c r="N94" s="6" t="s">
        <v>556</v>
      </c>
      <c r="O94" s="12" t="s">
        <v>380</v>
      </c>
      <c r="P94" s="10" t="s">
        <v>167</v>
      </c>
      <c r="Q94" s="29" t="s">
        <v>167</v>
      </c>
      <c r="R94" s="27" t="s">
        <v>167</v>
      </c>
      <c r="S94" s="10" t="s">
        <v>167</v>
      </c>
      <c r="T94" s="13">
        <v>1.05728</v>
      </c>
      <c r="U94" s="13">
        <v>1.3593599999999999</v>
      </c>
      <c r="V94" s="13">
        <v>1.4348799999999999</v>
      </c>
      <c r="W94" s="13">
        <v>0.83072000000000001</v>
      </c>
      <c r="X94" s="13">
        <v>1.05728</v>
      </c>
      <c r="Y94" s="1">
        <f t="shared" si="3"/>
        <v>1.147904</v>
      </c>
      <c r="Z94" s="10"/>
      <c r="AA94" s="10"/>
      <c r="AB94" s="10"/>
      <c r="AC94" s="10"/>
      <c r="AD94" s="10"/>
      <c r="AE94" s="10"/>
      <c r="AF94" s="10"/>
      <c r="AG94" s="38">
        <f t="shared" si="4"/>
        <v>0</v>
      </c>
      <c r="AH94" s="51" t="str">
        <f t="shared" si="5"/>
        <v xml:space="preserve"> </v>
      </c>
      <c r="AI94" s="64">
        <v>2</v>
      </c>
      <c r="AJ94" s="72" t="s">
        <v>557</v>
      </c>
      <c r="AK94" s="65">
        <v>0</v>
      </c>
      <c r="AL94" s="1"/>
      <c r="AM94" s="1"/>
      <c r="AN94" s="81"/>
      <c r="AO94" s="81"/>
    </row>
    <row r="95" spans="1:41" s="26" customFormat="1" ht="56.25" x14ac:dyDescent="0.25">
      <c r="A95" s="15" t="s">
        <v>558</v>
      </c>
      <c r="B95" s="8" t="s">
        <v>197</v>
      </c>
      <c r="C95" s="11">
        <v>1.2</v>
      </c>
      <c r="D95" s="18">
        <v>433</v>
      </c>
      <c r="E95" s="18">
        <v>160</v>
      </c>
      <c r="F95" s="77">
        <v>5.5E-2</v>
      </c>
      <c r="G95" s="9" t="s">
        <v>559</v>
      </c>
      <c r="H95" s="10" t="s">
        <v>161</v>
      </c>
      <c r="I95" s="10"/>
      <c r="J95" s="10"/>
      <c r="K95" s="11"/>
      <c r="L95" s="11" t="s">
        <v>533</v>
      </c>
      <c r="M95" s="10" t="s">
        <v>325</v>
      </c>
      <c r="N95" s="10" t="s">
        <v>560</v>
      </c>
      <c r="O95" s="12"/>
      <c r="P95" s="10" t="s">
        <v>167</v>
      </c>
      <c r="Q95" s="29" t="s">
        <v>167</v>
      </c>
      <c r="R95" s="29" t="s">
        <v>167</v>
      </c>
      <c r="S95" s="10" t="s">
        <v>167</v>
      </c>
      <c r="T95" s="13">
        <v>5.4002620000000006</v>
      </c>
      <c r="U95" s="13">
        <v>0</v>
      </c>
      <c r="V95" s="13">
        <v>0</v>
      </c>
      <c r="W95" s="13">
        <v>0</v>
      </c>
      <c r="X95" s="13">
        <v>0</v>
      </c>
      <c r="Y95" s="1">
        <f t="shared" si="3"/>
        <v>1.0800524</v>
      </c>
      <c r="Z95" s="10"/>
      <c r="AA95" s="10"/>
      <c r="AB95" s="10"/>
      <c r="AC95" s="10"/>
      <c r="AD95" s="10"/>
      <c r="AE95" s="10"/>
      <c r="AF95" s="10"/>
      <c r="AG95" s="38">
        <f t="shared" si="4"/>
        <v>0</v>
      </c>
      <c r="AH95" s="51" t="str">
        <f t="shared" si="5"/>
        <v xml:space="preserve"> </v>
      </c>
      <c r="AI95" s="64">
        <v>10</v>
      </c>
      <c r="AJ95" s="72" t="s">
        <v>561</v>
      </c>
      <c r="AK95" s="65">
        <v>0</v>
      </c>
      <c r="AL95" s="1"/>
      <c r="AM95" s="1"/>
      <c r="AN95" s="81"/>
      <c r="AO95" s="81"/>
    </row>
    <row r="96" spans="1:41" s="26" customFormat="1" hidden="1" x14ac:dyDescent="0.25">
      <c r="A96" s="22" t="s">
        <v>562</v>
      </c>
      <c r="B96" s="2" t="s">
        <v>431</v>
      </c>
      <c r="C96" s="21">
        <v>4</v>
      </c>
      <c r="D96" s="23">
        <v>1200</v>
      </c>
      <c r="E96" s="23">
        <v>2220</v>
      </c>
      <c r="F96" s="23"/>
      <c r="G96" s="3" t="s">
        <v>563</v>
      </c>
      <c r="H96" s="10" t="s">
        <v>161</v>
      </c>
      <c r="I96" s="10"/>
      <c r="J96" s="6"/>
      <c r="K96" s="21"/>
      <c r="L96" s="21" t="s">
        <v>524</v>
      </c>
      <c r="M96" s="6" t="s">
        <v>239</v>
      </c>
      <c r="N96" s="6"/>
      <c r="O96" s="12" t="s">
        <v>380</v>
      </c>
      <c r="P96" s="10" t="s">
        <v>167</v>
      </c>
      <c r="Q96" s="29" t="s">
        <v>167</v>
      </c>
      <c r="R96" s="27" t="s">
        <v>167</v>
      </c>
      <c r="S96" s="10" t="s">
        <v>167</v>
      </c>
      <c r="T96" s="13">
        <v>0.88086000000000009</v>
      </c>
      <c r="U96" s="13">
        <v>0.79776000000000014</v>
      </c>
      <c r="V96" s="13">
        <v>1.0138199999999999</v>
      </c>
      <c r="W96" s="13">
        <v>0.96396000000000004</v>
      </c>
      <c r="X96" s="13">
        <v>0.94734000000000007</v>
      </c>
      <c r="Y96" s="1">
        <f t="shared" si="3"/>
        <v>0.92074800000000001</v>
      </c>
      <c r="Z96" s="10" t="s">
        <v>168</v>
      </c>
      <c r="AA96" s="10" t="s">
        <v>168</v>
      </c>
      <c r="AB96" s="10" t="s">
        <v>168</v>
      </c>
      <c r="AC96" s="10" t="s">
        <v>168</v>
      </c>
      <c r="AD96" s="10" t="s">
        <v>168</v>
      </c>
      <c r="AE96" s="10" t="s">
        <v>168</v>
      </c>
      <c r="AF96" s="10" t="s">
        <v>168</v>
      </c>
      <c r="AG96" s="38">
        <f t="shared" si="4"/>
        <v>1</v>
      </c>
      <c r="AH96" s="51">
        <f t="shared" si="5"/>
        <v>0.92074800000000001</v>
      </c>
      <c r="AI96" s="64">
        <v>1</v>
      </c>
      <c r="AJ96" s="90" t="s">
        <v>564</v>
      </c>
      <c r="AK96" s="65">
        <v>1162.3399999999999</v>
      </c>
      <c r="AL96" s="1"/>
      <c r="AM96" s="1" t="s">
        <v>347</v>
      </c>
      <c r="AN96" s="81">
        <v>46113</v>
      </c>
      <c r="AO96" s="81" t="s">
        <v>180</v>
      </c>
    </row>
    <row r="97" spans="1:41" s="26" customFormat="1" x14ac:dyDescent="0.25">
      <c r="A97" s="22" t="s">
        <v>565</v>
      </c>
      <c r="B97" s="2" t="s">
        <v>172</v>
      </c>
      <c r="C97" s="21">
        <v>2</v>
      </c>
      <c r="D97" s="23">
        <v>1200</v>
      </c>
      <c r="E97" s="23" t="s">
        <v>161</v>
      </c>
      <c r="F97" s="23"/>
      <c r="G97" s="3"/>
      <c r="H97" s="12" t="s">
        <v>161</v>
      </c>
      <c r="I97" s="12"/>
      <c r="J97" s="4"/>
      <c r="K97" s="5"/>
      <c r="L97" s="21" t="s">
        <v>533</v>
      </c>
      <c r="M97" s="4"/>
      <c r="N97" s="4"/>
      <c r="O97" s="12" t="s">
        <v>380</v>
      </c>
      <c r="P97" s="16" t="s">
        <v>167</v>
      </c>
      <c r="Q97" s="30" t="s">
        <v>167</v>
      </c>
      <c r="R97" s="27" t="s">
        <v>167</v>
      </c>
      <c r="S97" s="10" t="s">
        <v>167</v>
      </c>
      <c r="T97" s="13">
        <v>1.0835549999999998</v>
      </c>
      <c r="U97" s="13">
        <v>0.71639999999999993</v>
      </c>
      <c r="V97" s="13">
        <v>0.95519999999999994</v>
      </c>
      <c r="W97" s="13">
        <v>0.71639999999999993</v>
      </c>
      <c r="X97" s="13">
        <v>1.0746</v>
      </c>
      <c r="Y97" s="1">
        <f t="shared" si="3"/>
        <v>0.9092309999999999</v>
      </c>
      <c r="Z97" s="10"/>
      <c r="AA97" s="10"/>
      <c r="AB97" s="10"/>
      <c r="AC97" s="10"/>
      <c r="AD97" s="10"/>
      <c r="AE97" s="10"/>
      <c r="AF97" s="10"/>
      <c r="AG97" s="38">
        <f t="shared" si="4"/>
        <v>0</v>
      </c>
      <c r="AH97" s="51" t="str">
        <f t="shared" si="5"/>
        <v xml:space="preserve"> </v>
      </c>
      <c r="AI97" s="64">
        <v>2</v>
      </c>
      <c r="AJ97" s="72" t="s">
        <v>566</v>
      </c>
      <c r="AK97" s="65">
        <v>0</v>
      </c>
      <c r="AL97" s="1"/>
      <c r="AM97" s="1"/>
      <c r="AN97" s="81"/>
      <c r="AO97" s="81"/>
    </row>
    <row r="98" spans="1:41" s="26" customFormat="1" ht="22.5" x14ac:dyDescent="0.25">
      <c r="A98" s="3" t="s">
        <v>567</v>
      </c>
      <c r="B98" s="2" t="s">
        <v>160</v>
      </c>
      <c r="C98" s="21">
        <v>1.5</v>
      </c>
      <c r="D98" s="23">
        <v>383</v>
      </c>
      <c r="E98" s="23">
        <v>173</v>
      </c>
      <c r="F98" s="77">
        <v>5.5E-2</v>
      </c>
      <c r="G98" s="3" t="s">
        <v>568</v>
      </c>
      <c r="H98" s="10" t="s">
        <v>161</v>
      </c>
      <c r="I98" s="10"/>
      <c r="J98" s="6"/>
      <c r="K98" s="21"/>
      <c r="L98" s="21" t="s">
        <v>36</v>
      </c>
      <c r="M98" s="4" t="s">
        <v>569</v>
      </c>
      <c r="N98" s="4" t="s">
        <v>570</v>
      </c>
      <c r="O98" s="12" t="s">
        <v>380</v>
      </c>
      <c r="P98" s="10" t="s">
        <v>167</v>
      </c>
      <c r="Q98" s="29" t="s">
        <v>167</v>
      </c>
      <c r="R98" s="27" t="s">
        <v>167</v>
      </c>
      <c r="S98" s="10" t="s">
        <v>177</v>
      </c>
      <c r="T98" s="13">
        <v>0.95568000000000008</v>
      </c>
      <c r="U98" s="13">
        <v>0.7964</v>
      </c>
      <c r="V98" s="13">
        <v>0.7964</v>
      </c>
      <c r="W98" s="13">
        <v>0.95568000000000008</v>
      </c>
      <c r="X98" s="13">
        <v>0.95568000000000008</v>
      </c>
      <c r="Y98" s="1">
        <f t="shared" si="3"/>
        <v>0.89196799999999998</v>
      </c>
      <c r="Z98" s="10"/>
      <c r="AA98" s="10"/>
      <c r="AB98" s="10"/>
      <c r="AC98" s="10"/>
      <c r="AD98" s="10"/>
      <c r="AE98" s="10"/>
      <c r="AF98" s="10"/>
      <c r="AG98" s="38">
        <f t="shared" si="4"/>
        <v>0</v>
      </c>
      <c r="AH98" s="51" t="str">
        <f t="shared" si="5"/>
        <v xml:space="preserve"> </v>
      </c>
      <c r="AI98" s="64">
        <v>4</v>
      </c>
      <c r="AJ98" s="72" t="s">
        <v>571</v>
      </c>
      <c r="AK98" s="65">
        <v>0</v>
      </c>
      <c r="AL98" s="1"/>
      <c r="AM98" s="1"/>
      <c r="AN98" s="81"/>
      <c r="AO98" s="81"/>
    </row>
    <row r="99" spans="1:41" s="26" customFormat="1" hidden="1" x14ac:dyDescent="0.25">
      <c r="A99" s="22" t="s">
        <v>572</v>
      </c>
      <c r="B99" s="2" t="s">
        <v>307</v>
      </c>
      <c r="C99" s="21">
        <v>0.7</v>
      </c>
      <c r="D99" s="23">
        <v>550</v>
      </c>
      <c r="E99" s="23">
        <v>740</v>
      </c>
      <c r="F99" s="77">
        <v>3.5000000000000003E-2</v>
      </c>
      <c r="G99" s="3" t="s">
        <v>573</v>
      </c>
      <c r="H99" s="10">
        <v>34025387</v>
      </c>
      <c r="I99" s="10"/>
      <c r="J99" s="6"/>
      <c r="K99" s="21"/>
      <c r="L99" s="21" t="s">
        <v>191</v>
      </c>
      <c r="M99" s="6" t="s">
        <v>164</v>
      </c>
      <c r="N99" s="35" t="s">
        <v>165</v>
      </c>
      <c r="O99" s="12" t="s">
        <v>380</v>
      </c>
      <c r="P99" s="10" t="s">
        <v>167</v>
      </c>
      <c r="Q99" s="29" t="s">
        <v>167</v>
      </c>
      <c r="R99" s="27" t="s">
        <v>167</v>
      </c>
      <c r="S99" s="10" t="s">
        <v>167</v>
      </c>
      <c r="T99" s="13">
        <v>0.86548000000000003</v>
      </c>
      <c r="U99" s="13">
        <v>0.97944000000000009</v>
      </c>
      <c r="V99" s="13">
        <v>0.98560000000000014</v>
      </c>
      <c r="W99" s="13">
        <v>0.58828000000000014</v>
      </c>
      <c r="X99" s="13">
        <v>0.87626000000000004</v>
      </c>
      <c r="Y99" s="1">
        <f t="shared" si="3"/>
        <v>0.85901200000000011</v>
      </c>
      <c r="Z99" s="10" t="s">
        <v>168</v>
      </c>
      <c r="AA99" s="10" t="s">
        <v>168</v>
      </c>
      <c r="AB99" s="10" t="s">
        <v>168</v>
      </c>
      <c r="AC99" s="10" t="s">
        <v>168</v>
      </c>
      <c r="AD99" s="10" t="s">
        <v>168</v>
      </c>
      <c r="AE99" s="10" t="s">
        <v>168</v>
      </c>
      <c r="AF99" s="10" t="s">
        <v>168</v>
      </c>
      <c r="AG99" s="38">
        <f t="shared" si="4"/>
        <v>1</v>
      </c>
      <c r="AH99" s="51">
        <f t="shared" si="5"/>
        <v>0.85901200000000011</v>
      </c>
      <c r="AI99" s="64">
        <v>2</v>
      </c>
      <c r="AJ99" s="72" t="s">
        <v>481</v>
      </c>
      <c r="AK99" s="65">
        <v>0</v>
      </c>
      <c r="AL99" s="1"/>
      <c r="AM99" s="1"/>
      <c r="AN99" s="81"/>
      <c r="AO99" s="81"/>
    </row>
    <row r="100" spans="1:41" s="26" customFormat="1" ht="22.5" hidden="1" x14ac:dyDescent="0.25">
      <c r="A100" s="22" t="s">
        <v>574</v>
      </c>
      <c r="B100" s="2" t="s">
        <v>197</v>
      </c>
      <c r="C100" s="21">
        <v>1.5</v>
      </c>
      <c r="D100" s="23">
        <v>1100</v>
      </c>
      <c r="E100" s="23" t="s">
        <v>161</v>
      </c>
      <c r="F100" s="23"/>
      <c r="G100" s="3" t="s">
        <v>575</v>
      </c>
      <c r="H100" s="10" t="s">
        <v>161</v>
      </c>
      <c r="I100" s="10"/>
      <c r="J100" s="6"/>
      <c r="K100" s="21"/>
      <c r="L100" s="21" t="s">
        <v>524</v>
      </c>
      <c r="M100" s="6" t="s">
        <v>260</v>
      </c>
      <c r="N100" s="6" t="s">
        <v>261</v>
      </c>
      <c r="O100" s="12" t="s">
        <v>380</v>
      </c>
      <c r="P100" s="10" t="s">
        <v>167</v>
      </c>
      <c r="Q100" s="29" t="s">
        <v>167</v>
      </c>
      <c r="R100" s="27" t="s">
        <v>167</v>
      </c>
      <c r="S100" s="10" t="s">
        <v>167</v>
      </c>
      <c r="T100" s="13">
        <v>0.66374999999999995</v>
      </c>
      <c r="U100" s="13">
        <v>0.66374999999999995</v>
      </c>
      <c r="V100" s="13">
        <v>1.3274999999999999</v>
      </c>
      <c r="W100" s="13">
        <v>0.66374999999999995</v>
      </c>
      <c r="X100" s="13">
        <v>0.66374999999999995</v>
      </c>
      <c r="Y100" s="1">
        <f t="shared" si="3"/>
        <v>0.79649999999999987</v>
      </c>
      <c r="Z100" s="10" t="s">
        <v>168</v>
      </c>
      <c r="AA100" s="10" t="s">
        <v>168</v>
      </c>
      <c r="AB100" s="10" t="s">
        <v>168</v>
      </c>
      <c r="AC100" s="10" t="s">
        <v>168</v>
      </c>
      <c r="AD100" s="10" t="s">
        <v>168</v>
      </c>
      <c r="AE100" s="10" t="s">
        <v>168</v>
      </c>
      <c r="AF100" s="10" t="s">
        <v>168</v>
      </c>
      <c r="AG100" s="38">
        <f t="shared" si="4"/>
        <v>1</v>
      </c>
      <c r="AH100" s="51">
        <f t="shared" si="5"/>
        <v>0.79649999999999987</v>
      </c>
      <c r="AI100" s="64">
        <v>3</v>
      </c>
      <c r="AJ100" s="72" t="s">
        <v>576</v>
      </c>
      <c r="AK100" s="65">
        <v>0</v>
      </c>
      <c r="AL100" s="1"/>
      <c r="AM100" s="1"/>
      <c r="AN100" s="81"/>
      <c r="AO100" s="81"/>
    </row>
    <row r="101" spans="1:41" s="26" customFormat="1" ht="22.5" x14ac:dyDescent="0.25">
      <c r="A101" s="22" t="s">
        <v>577</v>
      </c>
      <c r="B101" s="2" t="s">
        <v>172</v>
      </c>
      <c r="C101" s="21">
        <v>4</v>
      </c>
      <c r="D101" s="23">
        <v>1150</v>
      </c>
      <c r="E101" s="23" t="s">
        <v>161</v>
      </c>
      <c r="F101" s="23"/>
      <c r="G101" s="3" t="s">
        <v>578</v>
      </c>
      <c r="H101" s="10" t="s">
        <v>161</v>
      </c>
      <c r="I101" s="10"/>
      <c r="J101" s="6"/>
      <c r="K101" s="21"/>
      <c r="L101" s="5" t="s">
        <v>27</v>
      </c>
      <c r="M101" s="6" t="s">
        <v>239</v>
      </c>
      <c r="N101" s="6" t="s">
        <v>579</v>
      </c>
      <c r="O101" s="12" t="s">
        <v>380</v>
      </c>
      <c r="P101" s="10" t="s">
        <v>167</v>
      </c>
      <c r="Q101" s="10" t="s">
        <v>167</v>
      </c>
      <c r="R101" s="27" t="s">
        <v>167</v>
      </c>
      <c r="S101" s="10" t="s">
        <v>177</v>
      </c>
      <c r="T101" s="13">
        <v>0.639096</v>
      </c>
      <c r="U101" s="13">
        <v>0.59036</v>
      </c>
      <c r="V101" s="13">
        <v>0.75792399999999993</v>
      </c>
      <c r="W101" s="13">
        <v>0.72704400000000013</v>
      </c>
      <c r="X101" s="13">
        <v>0.67300400000000005</v>
      </c>
      <c r="Y101" s="1">
        <f t="shared" si="3"/>
        <v>0.67748560000000002</v>
      </c>
      <c r="Z101" s="10"/>
      <c r="AA101" s="10"/>
      <c r="AB101" s="10"/>
      <c r="AC101" s="10"/>
      <c r="AD101" s="10"/>
      <c r="AE101" s="10"/>
      <c r="AF101" s="10"/>
      <c r="AG101" s="38">
        <f t="shared" si="4"/>
        <v>0</v>
      </c>
      <c r="AH101" s="51" t="str">
        <f t="shared" si="5"/>
        <v xml:space="preserve"> </v>
      </c>
      <c r="AI101" s="64">
        <v>4</v>
      </c>
      <c r="AJ101" s="72" t="s">
        <v>580</v>
      </c>
      <c r="AK101" s="65">
        <v>0</v>
      </c>
      <c r="AL101" s="1"/>
      <c r="AM101" s="1"/>
      <c r="AN101" s="81"/>
      <c r="AO101" s="81"/>
    </row>
    <row r="102" spans="1:41" s="26" customFormat="1" ht="22.5" hidden="1" x14ac:dyDescent="0.25">
      <c r="A102" s="22" t="s">
        <v>581</v>
      </c>
      <c r="B102" s="2" t="s">
        <v>431</v>
      </c>
      <c r="C102" s="21">
        <v>4</v>
      </c>
      <c r="D102" s="23">
        <v>1200</v>
      </c>
      <c r="E102" s="23">
        <v>2000</v>
      </c>
      <c r="F102" s="23"/>
      <c r="G102" s="3" t="s">
        <v>582</v>
      </c>
      <c r="H102" s="10" t="s">
        <v>161</v>
      </c>
      <c r="I102" s="10"/>
      <c r="J102" s="6"/>
      <c r="K102" s="5"/>
      <c r="L102" s="5" t="s">
        <v>524</v>
      </c>
      <c r="M102" s="6" t="s">
        <v>239</v>
      </c>
      <c r="N102" s="6" t="s">
        <v>583</v>
      </c>
      <c r="O102" s="12" t="s">
        <v>380</v>
      </c>
      <c r="P102" s="10"/>
      <c r="Q102" s="29"/>
      <c r="R102" s="27" t="s">
        <v>167</v>
      </c>
      <c r="S102" s="10" t="s">
        <v>167</v>
      </c>
      <c r="T102" s="13">
        <v>0.51300000000000001</v>
      </c>
      <c r="U102" s="13">
        <v>0.61560000000000004</v>
      </c>
      <c r="V102" s="13">
        <v>0.76949999999999996</v>
      </c>
      <c r="W102" s="13">
        <v>0.66689999999999994</v>
      </c>
      <c r="X102" s="13">
        <v>0.71820000000000006</v>
      </c>
      <c r="Y102" s="1">
        <f t="shared" si="3"/>
        <v>0.65664</v>
      </c>
      <c r="Z102" s="10" t="s">
        <v>168</v>
      </c>
      <c r="AA102" s="10" t="s">
        <v>168</v>
      </c>
      <c r="AB102" s="10" t="s">
        <v>168</v>
      </c>
      <c r="AC102" s="10" t="s">
        <v>168</v>
      </c>
      <c r="AD102" s="10" t="s">
        <v>168</v>
      </c>
      <c r="AE102" s="10" t="s">
        <v>168</v>
      </c>
      <c r="AF102" s="10" t="s">
        <v>168</v>
      </c>
      <c r="AG102" s="38">
        <f t="shared" si="4"/>
        <v>1</v>
      </c>
      <c r="AH102" s="51">
        <f t="shared" si="5"/>
        <v>0.65664</v>
      </c>
      <c r="AI102" s="64">
        <v>3</v>
      </c>
      <c r="AJ102" s="72" t="s">
        <v>584</v>
      </c>
      <c r="AK102" s="65">
        <v>0</v>
      </c>
      <c r="AL102" s="1"/>
      <c r="AM102" s="1"/>
      <c r="AN102" s="81"/>
      <c r="AO102" s="81"/>
    </row>
    <row r="103" spans="1:41" s="26" customFormat="1" ht="22.5" hidden="1" x14ac:dyDescent="0.25">
      <c r="A103" s="22" t="s">
        <v>585</v>
      </c>
      <c r="B103" s="2" t="s">
        <v>307</v>
      </c>
      <c r="C103" s="21">
        <v>4</v>
      </c>
      <c r="D103" s="23">
        <v>625</v>
      </c>
      <c r="E103" s="23" t="s">
        <v>161</v>
      </c>
      <c r="F103" s="23"/>
      <c r="G103" s="3" t="s">
        <v>538</v>
      </c>
      <c r="H103" s="10" t="s">
        <v>161</v>
      </c>
      <c r="I103" s="10"/>
      <c r="J103" s="6"/>
      <c r="K103" s="21"/>
      <c r="L103" s="5" t="s">
        <v>524</v>
      </c>
      <c r="M103" s="6" t="s">
        <v>239</v>
      </c>
      <c r="N103" s="6" t="s">
        <v>539</v>
      </c>
      <c r="O103" s="12" t="s">
        <v>380</v>
      </c>
      <c r="P103" s="10" t="s">
        <v>167</v>
      </c>
      <c r="Q103" s="29" t="s">
        <v>167</v>
      </c>
      <c r="R103" s="27" t="s">
        <v>167</v>
      </c>
      <c r="S103" s="10" t="s">
        <v>167</v>
      </c>
      <c r="T103" s="13">
        <v>0.32192000000000004</v>
      </c>
      <c r="U103" s="13">
        <v>0.54324000000000006</v>
      </c>
      <c r="V103" s="13">
        <v>0.60360000000000003</v>
      </c>
      <c r="W103" s="13">
        <v>0.60360000000000003</v>
      </c>
      <c r="X103" s="13">
        <v>0.60360000000000003</v>
      </c>
      <c r="Y103" s="1">
        <f t="shared" si="3"/>
        <v>0.53519200000000011</v>
      </c>
      <c r="Z103" s="10" t="s">
        <v>168</v>
      </c>
      <c r="AA103" s="10" t="s">
        <v>168</v>
      </c>
      <c r="AB103" s="10" t="s">
        <v>168</v>
      </c>
      <c r="AC103" s="10" t="s">
        <v>168</v>
      </c>
      <c r="AD103" s="10" t="s">
        <v>168</v>
      </c>
      <c r="AE103" s="10" t="s">
        <v>168</v>
      </c>
      <c r="AF103" s="10" t="s">
        <v>168</v>
      </c>
      <c r="AG103" s="38">
        <f t="shared" si="4"/>
        <v>1</v>
      </c>
      <c r="AH103" s="51">
        <f t="shared" si="5"/>
        <v>0.53519200000000011</v>
      </c>
      <c r="AI103" s="64">
        <v>3</v>
      </c>
      <c r="AJ103" s="72" t="s">
        <v>586</v>
      </c>
      <c r="AK103" s="65">
        <v>0</v>
      </c>
      <c r="AL103" s="1"/>
      <c r="AM103" s="1"/>
      <c r="AN103" s="81"/>
      <c r="AO103" s="81"/>
    </row>
    <row r="104" spans="1:41" s="26" customFormat="1" x14ac:dyDescent="0.25">
      <c r="A104" s="22" t="s">
        <v>587</v>
      </c>
      <c r="B104" s="2" t="s">
        <v>307</v>
      </c>
      <c r="C104" s="21">
        <v>4</v>
      </c>
      <c r="D104" s="23">
        <v>180</v>
      </c>
      <c r="E104" s="23">
        <v>170</v>
      </c>
      <c r="F104" s="77">
        <v>0.24</v>
      </c>
      <c r="G104" s="3" t="s">
        <v>588</v>
      </c>
      <c r="H104" s="10" t="s">
        <v>161</v>
      </c>
      <c r="I104" s="10"/>
      <c r="J104" s="6"/>
      <c r="K104" s="5"/>
      <c r="L104" s="5" t="s">
        <v>533</v>
      </c>
      <c r="M104" s="6" t="s">
        <v>164</v>
      </c>
      <c r="N104" s="35" t="s">
        <v>165</v>
      </c>
      <c r="O104" s="12" t="s">
        <v>380</v>
      </c>
      <c r="P104" s="10" t="s">
        <v>167</v>
      </c>
      <c r="Q104" s="29" t="s">
        <v>167</v>
      </c>
      <c r="R104" s="27" t="s">
        <v>167</v>
      </c>
      <c r="S104" s="10" t="s">
        <v>167</v>
      </c>
      <c r="T104" s="13">
        <v>0.53200000000000003</v>
      </c>
      <c r="U104" s="13">
        <v>0.58799999999999997</v>
      </c>
      <c r="V104" s="13">
        <v>0.52500000000000002</v>
      </c>
      <c r="W104" s="13">
        <v>0.17850000000000002</v>
      </c>
      <c r="X104" s="13">
        <v>0.55649999999999999</v>
      </c>
      <c r="Y104" s="1">
        <f t="shared" si="3"/>
        <v>0.47599999999999998</v>
      </c>
      <c r="Z104" s="10"/>
      <c r="AA104" s="10"/>
      <c r="AB104" s="10"/>
      <c r="AC104" s="10"/>
      <c r="AD104" s="10"/>
      <c r="AE104" s="10"/>
      <c r="AF104" s="10"/>
      <c r="AG104" s="38">
        <f t="shared" si="4"/>
        <v>0</v>
      </c>
      <c r="AH104" s="51" t="str">
        <f t="shared" si="5"/>
        <v xml:space="preserve"> </v>
      </c>
      <c r="AI104" s="64">
        <v>1</v>
      </c>
      <c r="AJ104" s="72" t="s">
        <v>589</v>
      </c>
      <c r="AK104" s="65">
        <v>0</v>
      </c>
      <c r="AL104" s="1"/>
      <c r="AM104" s="1"/>
      <c r="AN104" s="81"/>
      <c r="AO104" s="81"/>
    </row>
    <row r="105" spans="1:41" s="26" customFormat="1" ht="33.75" x14ac:dyDescent="0.25">
      <c r="A105" s="22" t="s">
        <v>590</v>
      </c>
      <c r="B105" s="2" t="s">
        <v>591</v>
      </c>
      <c r="C105" s="21">
        <v>2</v>
      </c>
      <c r="D105" s="23">
        <v>1200</v>
      </c>
      <c r="E105" s="23">
        <v>1125</v>
      </c>
      <c r="F105" s="23"/>
      <c r="G105" s="3"/>
      <c r="H105" s="12" t="s">
        <v>161</v>
      </c>
      <c r="I105" s="12"/>
      <c r="J105" s="4"/>
      <c r="K105" s="5"/>
      <c r="L105" s="21" t="s">
        <v>533</v>
      </c>
      <c r="M105" s="4"/>
      <c r="N105" s="4"/>
      <c r="O105" s="12" t="s">
        <v>380</v>
      </c>
      <c r="P105" s="16" t="s">
        <v>167</v>
      </c>
      <c r="Q105" s="30" t="s">
        <v>167</v>
      </c>
      <c r="R105" s="27" t="s">
        <v>167</v>
      </c>
      <c r="S105" s="10" t="s">
        <v>167</v>
      </c>
      <c r="T105" s="13">
        <v>0.372</v>
      </c>
      <c r="U105" s="13">
        <v>0.40920000000000001</v>
      </c>
      <c r="V105" s="13">
        <v>0.54559999999999997</v>
      </c>
      <c r="W105" s="13">
        <v>0.48360000000000003</v>
      </c>
      <c r="X105" s="13">
        <v>0.48360000000000003</v>
      </c>
      <c r="Y105" s="1">
        <f t="shared" si="3"/>
        <v>0.45879999999999999</v>
      </c>
      <c r="Z105" s="10"/>
      <c r="AA105" s="10"/>
      <c r="AB105" s="10"/>
      <c r="AC105" s="10"/>
      <c r="AD105" s="10"/>
      <c r="AE105" s="10"/>
      <c r="AF105" s="10"/>
      <c r="AG105" s="38">
        <f t="shared" si="4"/>
        <v>0</v>
      </c>
      <c r="AH105" s="51" t="str">
        <f t="shared" si="5"/>
        <v xml:space="preserve"> </v>
      </c>
      <c r="AI105" s="64">
        <v>5</v>
      </c>
      <c r="AJ105" s="72" t="s">
        <v>592</v>
      </c>
      <c r="AK105" s="65">
        <v>0</v>
      </c>
      <c r="AL105" s="1"/>
      <c r="AM105" s="1"/>
      <c r="AN105" s="81"/>
      <c r="AO105" s="81"/>
    </row>
    <row r="106" spans="1:41" s="26" customFormat="1" x14ac:dyDescent="0.25">
      <c r="A106" s="22" t="s">
        <v>593</v>
      </c>
      <c r="B106" s="2" t="s">
        <v>160</v>
      </c>
      <c r="C106" s="21">
        <v>1.2</v>
      </c>
      <c r="D106" s="23">
        <v>1350</v>
      </c>
      <c r="E106" s="23" t="s">
        <v>161</v>
      </c>
      <c r="F106" s="23"/>
      <c r="G106" s="3" t="s">
        <v>594</v>
      </c>
      <c r="H106" s="10" t="s">
        <v>161</v>
      </c>
      <c r="I106" s="10"/>
      <c r="J106" s="6"/>
      <c r="K106" s="21"/>
      <c r="L106" s="21" t="s">
        <v>524</v>
      </c>
      <c r="M106" s="6" t="s">
        <v>378</v>
      </c>
      <c r="N106" s="6" t="s">
        <v>549</v>
      </c>
      <c r="O106" s="12" t="s">
        <v>380</v>
      </c>
      <c r="P106" s="10" t="s">
        <v>167</v>
      </c>
      <c r="Q106" s="29" t="s">
        <v>167</v>
      </c>
      <c r="R106" s="27" t="s">
        <v>167</v>
      </c>
      <c r="S106" s="10" t="s">
        <v>167</v>
      </c>
      <c r="T106" s="13">
        <v>0.45319999999999999</v>
      </c>
      <c r="U106" s="13">
        <v>0.40788000000000002</v>
      </c>
      <c r="V106" s="13">
        <v>0.49851999999999996</v>
      </c>
      <c r="W106" s="13">
        <v>0.45319999999999999</v>
      </c>
      <c r="X106" s="13">
        <v>0.45319999999999999</v>
      </c>
      <c r="Y106" s="1">
        <f t="shared" si="3"/>
        <v>0.45319999999999999</v>
      </c>
      <c r="Z106" s="10"/>
      <c r="AA106" s="10"/>
      <c r="AB106" s="10"/>
      <c r="AC106" s="10"/>
      <c r="AD106" s="10"/>
      <c r="AE106" s="10"/>
      <c r="AF106" s="10"/>
      <c r="AG106" s="38">
        <f t="shared" si="4"/>
        <v>0</v>
      </c>
      <c r="AH106" s="51" t="str">
        <f t="shared" si="5"/>
        <v xml:space="preserve"> </v>
      </c>
      <c r="AI106" s="64">
        <v>2</v>
      </c>
      <c r="AJ106" s="72" t="s">
        <v>595</v>
      </c>
      <c r="AK106" s="65">
        <v>0</v>
      </c>
      <c r="AL106" s="1"/>
      <c r="AM106" s="1"/>
      <c r="AN106" s="81"/>
      <c r="AO106" s="81"/>
    </row>
    <row r="107" spans="1:41" s="26" customFormat="1" ht="56.25" x14ac:dyDescent="0.25">
      <c r="A107" s="15" t="s">
        <v>596</v>
      </c>
      <c r="B107" s="8" t="s">
        <v>197</v>
      </c>
      <c r="C107" s="11">
        <v>2.5</v>
      </c>
      <c r="D107" s="18">
        <v>500</v>
      </c>
      <c r="E107" s="18">
        <v>94</v>
      </c>
      <c r="F107" s="77">
        <v>8.5000000000000006E-2</v>
      </c>
      <c r="G107" s="9" t="s">
        <v>597</v>
      </c>
      <c r="H107" s="10" t="s">
        <v>161</v>
      </c>
      <c r="I107" s="10"/>
      <c r="J107" s="10"/>
      <c r="K107" s="11"/>
      <c r="L107" s="11" t="s">
        <v>533</v>
      </c>
      <c r="M107" s="10" t="s">
        <v>239</v>
      </c>
      <c r="N107" s="10"/>
      <c r="O107" s="12"/>
      <c r="P107" s="10"/>
      <c r="Q107" s="29"/>
      <c r="R107" s="29" t="s">
        <v>167</v>
      </c>
      <c r="S107" s="10" t="s">
        <v>167</v>
      </c>
      <c r="T107" s="13">
        <v>2.1865000000000001</v>
      </c>
      <c r="U107" s="13">
        <v>0</v>
      </c>
      <c r="V107" s="13">
        <v>0</v>
      </c>
      <c r="W107" s="13">
        <v>0</v>
      </c>
      <c r="X107" s="13">
        <v>0</v>
      </c>
      <c r="Y107" s="1">
        <f t="shared" si="3"/>
        <v>0.43730000000000002</v>
      </c>
      <c r="Z107" s="10"/>
      <c r="AA107" s="10"/>
      <c r="AB107" s="10"/>
      <c r="AC107" s="10"/>
      <c r="AD107" s="10"/>
      <c r="AE107" s="10"/>
      <c r="AF107" s="10"/>
      <c r="AG107" s="38">
        <f t="shared" si="4"/>
        <v>0</v>
      </c>
      <c r="AH107" s="51" t="str">
        <f t="shared" si="5"/>
        <v xml:space="preserve"> </v>
      </c>
      <c r="AI107" s="64">
        <v>10</v>
      </c>
      <c r="AJ107" s="72" t="s">
        <v>561</v>
      </c>
      <c r="AK107" s="65">
        <v>0</v>
      </c>
      <c r="AL107" s="1"/>
      <c r="AM107" s="1"/>
      <c r="AN107" s="81"/>
      <c r="AO107" s="81"/>
    </row>
    <row r="108" spans="1:41" s="26" customFormat="1" x14ac:dyDescent="0.25">
      <c r="A108" s="22" t="s">
        <v>598</v>
      </c>
      <c r="B108" s="2" t="s">
        <v>189</v>
      </c>
      <c r="C108" s="21">
        <v>0.65</v>
      </c>
      <c r="D108" s="23">
        <v>430</v>
      </c>
      <c r="E108" s="23" t="s">
        <v>161</v>
      </c>
      <c r="F108" s="23"/>
      <c r="G108" s="3" t="s">
        <v>599</v>
      </c>
      <c r="H108" s="12" t="s">
        <v>161</v>
      </c>
      <c r="I108" s="10"/>
      <c r="J108" s="4"/>
      <c r="K108" s="5"/>
      <c r="L108" s="5" t="s">
        <v>533</v>
      </c>
      <c r="M108" s="4" t="s">
        <v>24</v>
      </c>
      <c r="N108" s="4"/>
      <c r="O108" s="12" t="s">
        <v>380</v>
      </c>
      <c r="P108" s="12" t="s">
        <v>167</v>
      </c>
      <c r="Q108" s="30" t="s">
        <v>167</v>
      </c>
      <c r="R108" s="27" t="s">
        <v>167</v>
      </c>
      <c r="S108" s="10" t="s">
        <v>167</v>
      </c>
      <c r="T108" s="13">
        <v>0.31571099999999996</v>
      </c>
      <c r="U108" s="13">
        <v>0.42519999999999997</v>
      </c>
      <c r="V108" s="13">
        <v>0.56551599999999991</v>
      </c>
      <c r="W108" s="13">
        <v>0.42519999999999997</v>
      </c>
      <c r="X108" s="13">
        <v>0.42519999999999997</v>
      </c>
      <c r="Y108" s="1">
        <f t="shared" si="3"/>
        <v>0.43136539999999995</v>
      </c>
      <c r="Z108" s="10"/>
      <c r="AA108" s="10"/>
      <c r="AB108" s="10"/>
      <c r="AC108" s="10"/>
      <c r="AD108" s="10"/>
      <c r="AE108" s="10"/>
      <c r="AF108" s="10"/>
      <c r="AG108" s="38">
        <f t="shared" si="4"/>
        <v>0</v>
      </c>
      <c r="AH108" s="51" t="str">
        <f t="shared" si="5"/>
        <v xml:space="preserve"> </v>
      </c>
      <c r="AI108" s="64">
        <v>1</v>
      </c>
      <c r="AJ108" s="72" t="s">
        <v>600</v>
      </c>
      <c r="AK108" s="65">
        <v>0</v>
      </c>
      <c r="AL108" s="1"/>
      <c r="AM108" s="1"/>
      <c r="AN108" s="81"/>
      <c r="AO108" s="81"/>
    </row>
    <row r="109" spans="1:41" s="26" customFormat="1" hidden="1" x14ac:dyDescent="0.25">
      <c r="A109" s="22" t="s">
        <v>601</v>
      </c>
      <c r="B109" s="2" t="s">
        <v>329</v>
      </c>
      <c r="C109" s="21">
        <v>1.2</v>
      </c>
      <c r="D109" s="23">
        <v>101</v>
      </c>
      <c r="E109" s="23" t="s">
        <v>161</v>
      </c>
      <c r="F109" s="23"/>
      <c r="G109" s="3" t="s">
        <v>602</v>
      </c>
      <c r="H109" s="10">
        <v>34025668</v>
      </c>
      <c r="I109" s="10"/>
      <c r="J109" s="6"/>
      <c r="K109" s="21"/>
      <c r="L109" s="21" t="s">
        <v>191</v>
      </c>
      <c r="M109" s="6" t="s">
        <v>164</v>
      </c>
      <c r="N109" s="35" t="s">
        <v>165</v>
      </c>
      <c r="O109" s="12" t="s">
        <v>380</v>
      </c>
      <c r="P109" s="10" t="s">
        <v>167</v>
      </c>
      <c r="Q109" s="29" t="s">
        <v>167</v>
      </c>
      <c r="R109" s="27" t="s">
        <v>167</v>
      </c>
      <c r="S109" s="10" t="s">
        <v>167</v>
      </c>
      <c r="T109" s="13">
        <v>0.43274000000000001</v>
      </c>
      <c r="U109" s="13">
        <v>0.48972000000000004</v>
      </c>
      <c r="V109" s="13">
        <v>0.49280000000000007</v>
      </c>
      <c r="W109" s="13">
        <v>0.29414000000000007</v>
      </c>
      <c r="X109" s="13">
        <v>0.43813000000000002</v>
      </c>
      <c r="Y109" s="1">
        <f t="shared" si="3"/>
        <v>0.42950600000000005</v>
      </c>
      <c r="Z109" s="10" t="s">
        <v>168</v>
      </c>
      <c r="AA109" s="10" t="s">
        <v>168</v>
      </c>
      <c r="AB109" s="10" t="s">
        <v>168</v>
      </c>
      <c r="AC109" s="10" t="s">
        <v>168</v>
      </c>
      <c r="AD109" s="10" t="s">
        <v>168</v>
      </c>
      <c r="AE109" s="10" t="s">
        <v>168</v>
      </c>
      <c r="AF109" s="10" t="s">
        <v>168</v>
      </c>
      <c r="AG109" s="38">
        <f t="shared" si="4"/>
        <v>1</v>
      </c>
      <c r="AH109" s="51">
        <f t="shared" si="5"/>
        <v>0.42950600000000005</v>
      </c>
      <c r="AI109" s="64">
        <v>2</v>
      </c>
      <c r="AJ109" s="72" t="s">
        <v>481</v>
      </c>
      <c r="AK109" s="65">
        <v>0</v>
      </c>
      <c r="AL109" s="1"/>
      <c r="AM109" s="1"/>
      <c r="AN109" s="81"/>
      <c r="AO109" s="81"/>
    </row>
    <row r="110" spans="1:41" s="26" customFormat="1" hidden="1" x14ac:dyDescent="0.25">
      <c r="A110" s="22" t="s">
        <v>603</v>
      </c>
      <c r="B110" s="2" t="s">
        <v>172</v>
      </c>
      <c r="C110" s="21">
        <v>0.7</v>
      </c>
      <c r="D110" s="23">
        <v>800</v>
      </c>
      <c r="E110" s="23">
        <v>920</v>
      </c>
      <c r="F110" s="77">
        <v>3.5000000000000003E-2</v>
      </c>
      <c r="G110" s="3" t="s">
        <v>604</v>
      </c>
      <c r="H110" s="12" t="s">
        <v>161</v>
      </c>
      <c r="I110" s="12"/>
      <c r="J110" s="4"/>
      <c r="K110" s="5"/>
      <c r="L110" s="5" t="s">
        <v>39</v>
      </c>
      <c r="M110" s="4" t="s">
        <v>27</v>
      </c>
      <c r="N110" s="4" t="s">
        <v>271</v>
      </c>
      <c r="O110" s="12" t="s">
        <v>380</v>
      </c>
      <c r="P110" s="12" t="s">
        <v>272</v>
      </c>
      <c r="Q110" s="30" t="s">
        <v>167</v>
      </c>
      <c r="R110" s="27" t="s">
        <v>167</v>
      </c>
      <c r="S110" s="12" t="s">
        <v>177</v>
      </c>
      <c r="T110" s="13">
        <v>0</v>
      </c>
      <c r="U110" s="13">
        <v>0.66610000000000003</v>
      </c>
      <c r="V110" s="13">
        <v>0.53288000000000002</v>
      </c>
      <c r="W110" s="13">
        <v>0.53288000000000002</v>
      </c>
      <c r="X110" s="13">
        <v>0.39965999999999996</v>
      </c>
      <c r="Y110" s="1">
        <f t="shared" si="3"/>
        <v>0.42630400000000002</v>
      </c>
      <c r="Z110" s="10" t="s">
        <v>168</v>
      </c>
      <c r="AA110" s="10" t="s">
        <v>168</v>
      </c>
      <c r="AB110" s="10" t="s">
        <v>168</v>
      </c>
      <c r="AC110" s="10" t="s">
        <v>168</v>
      </c>
      <c r="AD110" s="10" t="s">
        <v>168</v>
      </c>
      <c r="AE110" s="10" t="s">
        <v>168</v>
      </c>
      <c r="AF110" s="10" t="s">
        <v>168</v>
      </c>
      <c r="AG110" s="38">
        <f t="shared" si="4"/>
        <v>1</v>
      </c>
      <c r="AH110" s="51">
        <f t="shared" si="5"/>
        <v>0.42630400000000002</v>
      </c>
      <c r="AI110" s="64">
        <v>2</v>
      </c>
      <c r="AJ110" s="91" t="s">
        <v>605</v>
      </c>
      <c r="AK110" s="65">
        <v>245</v>
      </c>
      <c r="AL110" s="1"/>
      <c r="AM110" s="1" t="s">
        <v>606</v>
      </c>
      <c r="AN110" s="81"/>
      <c r="AO110" s="81" t="s">
        <v>180</v>
      </c>
    </row>
    <row r="111" spans="1:41" s="26" customFormat="1" ht="22.5" x14ac:dyDescent="0.25">
      <c r="A111" s="22" t="s">
        <v>607</v>
      </c>
      <c r="B111" s="2" t="s">
        <v>203</v>
      </c>
      <c r="C111" s="21">
        <v>1.8</v>
      </c>
      <c r="D111" s="23">
        <v>300</v>
      </c>
      <c r="E111" s="23">
        <v>180</v>
      </c>
      <c r="F111" s="77">
        <v>8.5000000000000006E-2</v>
      </c>
      <c r="G111" s="3" t="s">
        <v>608</v>
      </c>
      <c r="H111" s="10" t="s">
        <v>161</v>
      </c>
      <c r="I111" s="10"/>
      <c r="J111" s="6"/>
      <c r="K111" s="21"/>
      <c r="L111" s="21" t="s">
        <v>533</v>
      </c>
      <c r="M111" s="6" t="s">
        <v>27</v>
      </c>
      <c r="N111" s="6" t="s">
        <v>240</v>
      </c>
      <c r="O111" s="12" t="s">
        <v>380</v>
      </c>
      <c r="P111" s="10" t="s">
        <v>167</v>
      </c>
      <c r="Q111" s="29" t="s">
        <v>167</v>
      </c>
      <c r="R111" s="27" t="s">
        <v>167</v>
      </c>
      <c r="S111" s="10" t="s">
        <v>167</v>
      </c>
      <c r="T111" s="13">
        <v>6.3024999999999998E-2</v>
      </c>
      <c r="U111" s="13">
        <v>0.32268799999999997</v>
      </c>
      <c r="V111" s="13">
        <v>0.68788799999999994</v>
      </c>
      <c r="W111" s="13">
        <v>0.73830799999999996</v>
      </c>
      <c r="X111" s="13">
        <v>0.29461199999999999</v>
      </c>
      <c r="Y111" s="1">
        <f t="shared" si="3"/>
        <v>0.42130419999999996</v>
      </c>
      <c r="Z111" s="10"/>
      <c r="AA111" s="10"/>
      <c r="AB111" s="10"/>
      <c r="AC111" s="10"/>
      <c r="AD111" s="10"/>
      <c r="AE111" s="10"/>
      <c r="AF111" s="10"/>
      <c r="AG111" s="38">
        <f t="shared" si="4"/>
        <v>0</v>
      </c>
      <c r="AH111" s="51" t="str">
        <f t="shared" si="5"/>
        <v xml:space="preserve"> </v>
      </c>
      <c r="AI111" s="64">
        <v>4</v>
      </c>
      <c r="AJ111" s="72" t="s">
        <v>609</v>
      </c>
      <c r="AK111" s="65">
        <v>0</v>
      </c>
      <c r="AL111" s="1"/>
      <c r="AM111" s="1"/>
      <c r="AN111" s="81"/>
      <c r="AO111" s="81"/>
    </row>
    <row r="112" spans="1:41" s="26" customFormat="1" hidden="1" x14ac:dyDescent="0.25">
      <c r="A112" s="22" t="s">
        <v>610</v>
      </c>
      <c r="B112" s="2" t="s">
        <v>203</v>
      </c>
      <c r="C112" s="21">
        <v>1.65</v>
      </c>
      <c r="D112" s="23">
        <v>520</v>
      </c>
      <c r="E112" s="23">
        <v>248</v>
      </c>
      <c r="F112" s="77">
        <v>8.5000000000000006E-2</v>
      </c>
      <c r="G112" s="3" t="s">
        <v>611</v>
      </c>
      <c r="H112" s="12" t="s">
        <v>161</v>
      </c>
      <c r="I112" s="12"/>
      <c r="J112" s="4"/>
      <c r="K112" s="5"/>
      <c r="L112" s="5" t="s">
        <v>27</v>
      </c>
      <c r="M112" s="4" t="s">
        <v>260</v>
      </c>
      <c r="N112" s="4"/>
      <c r="O112" s="12" t="s">
        <v>380</v>
      </c>
      <c r="P112" s="12" t="s">
        <v>167</v>
      </c>
      <c r="Q112" s="30" t="s">
        <v>167</v>
      </c>
      <c r="R112" s="27" t="s">
        <v>167</v>
      </c>
      <c r="S112" s="10" t="s">
        <v>167</v>
      </c>
      <c r="T112" s="13">
        <v>0.37192500000000001</v>
      </c>
      <c r="U112" s="13">
        <v>0.35235</v>
      </c>
      <c r="V112" s="13">
        <v>0.45022500000000004</v>
      </c>
      <c r="W112" s="13">
        <v>0.41760000000000003</v>
      </c>
      <c r="X112" s="13">
        <v>0.41760000000000003</v>
      </c>
      <c r="Y112" s="1">
        <f t="shared" si="3"/>
        <v>0.40194000000000002</v>
      </c>
      <c r="Z112" s="10" t="s">
        <v>168</v>
      </c>
      <c r="AA112" s="10" t="s">
        <v>168</v>
      </c>
      <c r="AB112" s="10" t="s">
        <v>168</v>
      </c>
      <c r="AC112" s="10" t="s">
        <v>168</v>
      </c>
      <c r="AD112" s="10" t="s">
        <v>168</v>
      </c>
      <c r="AE112" s="10" t="s">
        <v>168</v>
      </c>
      <c r="AF112" s="10" t="s">
        <v>168</v>
      </c>
      <c r="AG112" s="38">
        <f t="shared" si="4"/>
        <v>1</v>
      </c>
      <c r="AH112" s="51">
        <f t="shared" si="5"/>
        <v>0.40194000000000002</v>
      </c>
      <c r="AI112" s="64">
        <v>1</v>
      </c>
      <c r="AJ112" s="91" t="s">
        <v>612</v>
      </c>
      <c r="AK112" s="65">
        <v>238.71</v>
      </c>
      <c r="AL112" s="1"/>
      <c r="AM112" s="1" t="s">
        <v>347</v>
      </c>
      <c r="AN112" s="81">
        <v>46113</v>
      </c>
      <c r="AO112" s="81" t="s">
        <v>180</v>
      </c>
    </row>
    <row r="113" spans="1:41" s="26" customFormat="1" ht="45" x14ac:dyDescent="0.25">
      <c r="A113" s="22" t="s">
        <v>613</v>
      </c>
      <c r="B113" s="2" t="s">
        <v>197</v>
      </c>
      <c r="C113" s="21">
        <v>1.5</v>
      </c>
      <c r="D113" s="23">
        <v>1150</v>
      </c>
      <c r="E113" s="23" t="s">
        <v>161</v>
      </c>
      <c r="F113" s="23"/>
      <c r="G113" s="3" t="s">
        <v>614</v>
      </c>
      <c r="H113" s="10" t="s">
        <v>161</v>
      </c>
      <c r="I113" s="10"/>
      <c r="J113" s="6"/>
      <c r="K113" s="21"/>
      <c r="L113" s="21" t="s">
        <v>524</v>
      </c>
      <c r="M113" s="4" t="s">
        <v>615</v>
      </c>
      <c r="N113" s="6" t="s">
        <v>616</v>
      </c>
      <c r="O113" s="12" t="s">
        <v>380</v>
      </c>
      <c r="P113" s="10"/>
      <c r="Q113" s="29"/>
      <c r="R113" s="27" t="s">
        <v>167</v>
      </c>
      <c r="S113" s="10" t="s">
        <v>167</v>
      </c>
      <c r="T113" s="13">
        <v>0.65500000000000003</v>
      </c>
      <c r="U113" s="13">
        <v>1.31</v>
      </c>
      <c r="V113" s="13">
        <v>0</v>
      </c>
      <c r="W113" s="13">
        <v>0</v>
      </c>
      <c r="X113" s="13">
        <v>0</v>
      </c>
      <c r="Y113" s="1">
        <f t="shared" si="3"/>
        <v>0.39300000000000002</v>
      </c>
      <c r="Z113" s="10"/>
      <c r="AA113" s="10"/>
      <c r="AB113" s="10"/>
      <c r="AC113" s="10"/>
      <c r="AD113" s="10"/>
      <c r="AE113" s="10"/>
      <c r="AF113" s="10"/>
      <c r="AG113" s="38">
        <f t="shared" si="4"/>
        <v>0</v>
      </c>
      <c r="AH113" s="51" t="str">
        <f t="shared" si="5"/>
        <v xml:space="preserve"> </v>
      </c>
      <c r="AI113" s="64">
        <v>8</v>
      </c>
      <c r="AJ113" s="72" t="s">
        <v>617</v>
      </c>
      <c r="AK113" s="65">
        <v>0</v>
      </c>
      <c r="AL113" s="1"/>
      <c r="AM113" s="1"/>
      <c r="AN113" s="81"/>
      <c r="AO113" s="81"/>
    </row>
    <row r="114" spans="1:41" s="26" customFormat="1" x14ac:dyDescent="0.25">
      <c r="A114" s="22" t="s">
        <v>618</v>
      </c>
      <c r="B114" s="2" t="s">
        <v>307</v>
      </c>
      <c r="C114" s="21">
        <v>4.75</v>
      </c>
      <c r="D114" s="23">
        <v>178</v>
      </c>
      <c r="E114" s="23" t="s">
        <v>161</v>
      </c>
      <c r="F114" s="23"/>
      <c r="G114" s="3"/>
      <c r="H114" s="12" t="s">
        <v>161</v>
      </c>
      <c r="I114" s="12"/>
      <c r="J114" s="4"/>
      <c r="K114" s="5"/>
      <c r="L114" s="21" t="s">
        <v>533</v>
      </c>
      <c r="M114" s="4"/>
      <c r="N114" s="4"/>
      <c r="O114" s="12" t="s">
        <v>380</v>
      </c>
      <c r="P114" s="16" t="s">
        <v>167</v>
      </c>
      <c r="Q114" s="30" t="s">
        <v>167</v>
      </c>
      <c r="R114" s="27" t="s">
        <v>167</v>
      </c>
      <c r="S114" s="10" t="s">
        <v>167</v>
      </c>
      <c r="T114" s="13">
        <v>0</v>
      </c>
      <c r="U114" s="13">
        <v>0</v>
      </c>
      <c r="V114" s="13">
        <v>0.92959999999999998</v>
      </c>
      <c r="W114" s="13">
        <v>0.92959999999999998</v>
      </c>
      <c r="X114" s="13">
        <v>0</v>
      </c>
      <c r="Y114" s="1">
        <f t="shared" si="3"/>
        <v>0.37184</v>
      </c>
      <c r="Z114" s="10"/>
      <c r="AA114" s="10"/>
      <c r="AB114" s="10"/>
      <c r="AC114" s="10"/>
      <c r="AD114" s="10"/>
      <c r="AE114" s="10"/>
      <c r="AF114" s="10"/>
      <c r="AG114" s="38">
        <f t="shared" si="4"/>
        <v>0</v>
      </c>
      <c r="AH114" s="51" t="str">
        <f t="shared" si="5"/>
        <v xml:space="preserve"> </v>
      </c>
      <c r="AI114" s="64">
        <v>1</v>
      </c>
      <c r="AJ114" s="72" t="s">
        <v>619</v>
      </c>
      <c r="AK114" s="65">
        <v>0</v>
      </c>
      <c r="AL114" s="1"/>
      <c r="AM114" s="1"/>
      <c r="AN114" s="81"/>
      <c r="AO114" s="81"/>
    </row>
    <row r="115" spans="1:41" s="26" customFormat="1" hidden="1" x14ac:dyDescent="0.25">
      <c r="A115" s="3" t="s">
        <v>620</v>
      </c>
      <c r="B115" s="2" t="s">
        <v>197</v>
      </c>
      <c r="C115" s="21">
        <v>1.25</v>
      </c>
      <c r="D115" s="23">
        <v>1200</v>
      </c>
      <c r="E115" s="23" t="s">
        <v>161</v>
      </c>
      <c r="F115" s="23"/>
      <c r="G115" s="3" t="s">
        <v>621</v>
      </c>
      <c r="H115" s="10" t="s">
        <v>161</v>
      </c>
      <c r="I115" s="12"/>
      <c r="J115" s="4"/>
      <c r="K115" s="5"/>
      <c r="L115" s="5" t="s">
        <v>39</v>
      </c>
      <c r="M115" s="4" t="s">
        <v>569</v>
      </c>
      <c r="N115" s="4" t="s">
        <v>570</v>
      </c>
      <c r="O115" s="12" t="s">
        <v>380</v>
      </c>
      <c r="P115" s="12" t="s">
        <v>167</v>
      </c>
      <c r="Q115" s="30" t="s">
        <v>167</v>
      </c>
      <c r="R115" s="27" t="s">
        <v>167</v>
      </c>
      <c r="S115" s="12" t="s">
        <v>167</v>
      </c>
      <c r="T115" s="13">
        <v>0.18690000000000001</v>
      </c>
      <c r="U115" s="13">
        <v>0.37380000000000002</v>
      </c>
      <c r="V115" s="13">
        <v>0.37380000000000002</v>
      </c>
      <c r="W115" s="13">
        <v>0.37380000000000002</v>
      </c>
      <c r="X115" s="13">
        <v>0.37380000000000002</v>
      </c>
      <c r="Y115" s="1">
        <f t="shared" si="3"/>
        <v>0.33642000000000005</v>
      </c>
      <c r="Z115" s="10" t="s">
        <v>168</v>
      </c>
      <c r="AA115" s="10" t="s">
        <v>168</v>
      </c>
      <c r="AB115" s="10" t="s">
        <v>168</v>
      </c>
      <c r="AC115" s="10" t="s">
        <v>168</v>
      </c>
      <c r="AD115" s="10" t="s">
        <v>168</v>
      </c>
      <c r="AE115" s="10" t="s">
        <v>168</v>
      </c>
      <c r="AF115" s="10" t="s">
        <v>168</v>
      </c>
      <c r="AG115" s="38">
        <f t="shared" si="4"/>
        <v>1</v>
      </c>
      <c r="AH115" s="51">
        <f t="shared" si="5"/>
        <v>0.33642000000000005</v>
      </c>
      <c r="AI115" s="64">
        <v>2</v>
      </c>
      <c r="AJ115" s="72" t="s">
        <v>622</v>
      </c>
      <c r="AK115" s="65">
        <v>0</v>
      </c>
      <c r="AL115" s="1"/>
      <c r="AM115" s="1"/>
      <c r="AN115" s="81"/>
      <c r="AO115" s="81"/>
    </row>
    <row r="116" spans="1:41" s="26" customFormat="1" x14ac:dyDescent="0.25">
      <c r="A116" s="22" t="s">
        <v>623</v>
      </c>
      <c r="B116" s="2" t="s">
        <v>624</v>
      </c>
      <c r="C116" s="21">
        <v>0.65</v>
      </c>
      <c r="D116" s="23">
        <v>1400</v>
      </c>
      <c r="E116" s="23">
        <v>900</v>
      </c>
      <c r="F116" s="23"/>
      <c r="G116" s="3"/>
      <c r="H116" s="10" t="s">
        <v>161</v>
      </c>
      <c r="I116" s="10"/>
      <c r="J116" s="6"/>
      <c r="K116" s="21"/>
      <c r="L116" s="21" t="s">
        <v>533</v>
      </c>
      <c r="M116" s="6" t="s">
        <v>24</v>
      </c>
      <c r="N116" s="6"/>
      <c r="O116" s="12" t="s">
        <v>380</v>
      </c>
      <c r="P116" s="10"/>
      <c r="Q116" s="29"/>
      <c r="R116" s="27" t="s">
        <v>167</v>
      </c>
      <c r="S116" s="10" t="s">
        <v>167</v>
      </c>
      <c r="T116" s="13">
        <v>0.24235199999999998</v>
      </c>
      <c r="U116" s="13">
        <v>0.32639999999999997</v>
      </c>
      <c r="V116" s="13">
        <v>0.43411199999999994</v>
      </c>
      <c r="W116" s="13">
        <v>0.32639999999999997</v>
      </c>
      <c r="X116" s="13">
        <v>0.32639999999999997</v>
      </c>
      <c r="Y116" s="1">
        <f t="shared" si="3"/>
        <v>0.33113279999999995</v>
      </c>
      <c r="Z116" s="10"/>
      <c r="AA116" s="10"/>
      <c r="AB116" s="10"/>
      <c r="AC116" s="10"/>
      <c r="AD116" s="10"/>
      <c r="AE116" s="10"/>
      <c r="AF116" s="10"/>
      <c r="AG116" s="38">
        <f t="shared" si="4"/>
        <v>0</v>
      </c>
      <c r="AH116" s="51" t="str">
        <f t="shared" si="5"/>
        <v xml:space="preserve"> </v>
      </c>
      <c r="AI116" s="64">
        <v>1</v>
      </c>
      <c r="AJ116" s="72" t="s">
        <v>625</v>
      </c>
      <c r="AK116" s="65">
        <v>0</v>
      </c>
      <c r="AL116" s="1"/>
      <c r="AM116" s="1"/>
      <c r="AN116" s="81"/>
      <c r="AO116" s="81"/>
    </row>
    <row r="117" spans="1:41" s="26" customFormat="1" x14ac:dyDescent="0.25">
      <c r="A117" s="22" t="s">
        <v>626</v>
      </c>
      <c r="B117" s="2" t="s">
        <v>189</v>
      </c>
      <c r="C117" s="21">
        <v>1.2</v>
      </c>
      <c r="D117" s="23">
        <v>525</v>
      </c>
      <c r="E117" s="23">
        <v>140</v>
      </c>
      <c r="F117" s="77">
        <v>5.5E-2</v>
      </c>
      <c r="G117" s="3" t="s">
        <v>627</v>
      </c>
      <c r="H117" s="12">
        <v>34026230</v>
      </c>
      <c r="I117" s="10"/>
      <c r="J117" s="4"/>
      <c r="K117" s="5"/>
      <c r="L117" s="5" t="s">
        <v>191</v>
      </c>
      <c r="M117" s="4" t="s">
        <v>164</v>
      </c>
      <c r="N117" s="36" t="s">
        <v>165</v>
      </c>
      <c r="O117" s="12" t="s">
        <v>380</v>
      </c>
      <c r="P117" s="12" t="s">
        <v>167</v>
      </c>
      <c r="Q117" s="30" t="s">
        <v>167</v>
      </c>
      <c r="R117" s="27" t="s">
        <v>167</v>
      </c>
      <c r="S117" s="10" t="s">
        <v>167</v>
      </c>
      <c r="T117" s="13">
        <v>0.25</v>
      </c>
      <c r="U117" s="13">
        <v>0.35</v>
      </c>
      <c r="V117" s="13">
        <v>0.35</v>
      </c>
      <c r="W117" s="13">
        <v>0.2</v>
      </c>
      <c r="X117" s="13">
        <v>0.35</v>
      </c>
      <c r="Y117" s="1">
        <f t="shared" si="3"/>
        <v>0.3</v>
      </c>
      <c r="Z117" s="10"/>
      <c r="AA117" s="10"/>
      <c r="AB117" s="10"/>
      <c r="AC117" s="10"/>
      <c r="AD117" s="10"/>
      <c r="AE117" s="10"/>
      <c r="AF117" s="10"/>
      <c r="AG117" s="38">
        <f t="shared" si="4"/>
        <v>0</v>
      </c>
      <c r="AH117" s="51" t="str">
        <f t="shared" si="5"/>
        <v xml:space="preserve"> </v>
      </c>
      <c r="AI117" s="64">
        <v>2</v>
      </c>
      <c r="AJ117" s="72" t="s">
        <v>628</v>
      </c>
      <c r="AK117" s="65">
        <v>0</v>
      </c>
      <c r="AL117" s="1"/>
      <c r="AM117" s="1"/>
      <c r="AN117" s="81"/>
      <c r="AO117" s="81"/>
    </row>
    <row r="118" spans="1:41" s="26" customFormat="1" x14ac:dyDescent="0.25">
      <c r="A118" s="22" t="s">
        <v>629</v>
      </c>
      <c r="B118" s="2" t="s">
        <v>189</v>
      </c>
      <c r="C118" s="21">
        <v>0.6</v>
      </c>
      <c r="D118" s="23">
        <v>210</v>
      </c>
      <c r="E118" s="23" t="s">
        <v>161</v>
      </c>
      <c r="F118" s="23"/>
      <c r="G118" s="3" t="s">
        <v>630</v>
      </c>
      <c r="H118" s="10">
        <v>34018552</v>
      </c>
      <c r="I118" s="10"/>
      <c r="J118" s="6"/>
      <c r="K118" s="21"/>
      <c r="L118" s="21" t="s">
        <v>191</v>
      </c>
      <c r="M118" s="6" t="s">
        <v>164</v>
      </c>
      <c r="N118" s="35" t="s">
        <v>545</v>
      </c>
      <c r="O118" s="12" t="s">
        <v>380</v>
      </c>
      <c r="P118" s="10" t="s">
        <v>167</v>
      </c>
      <c r="Q118" s="29" t="s">
        <v>167</v>
      </c>
      <c r="R118" s="27" t="s">
        <v>167</v>
      </c>
      <c r="S118" s="10" t="s">
        <v>167</v>
      </c>
      <c r="T118" s="13">
        <v>0.252</v>
      </c>
      <c r="U118" s="13">
        <v>0.33600000000000002</v>
      </c>
      <c r="V118" s="13">
        <v>0.33600000000000002</v>
      </c>
      <c r="W118" s="13">
        <v>0.20399999999999999</v>
      </c>
      <c r="X118" s="13">
        <v>0.3</v>
      </c>
      <c r="Y118" s="1">
        <f t="shared" si="3"/>
        <v>0.28560000000000002</v>
      </c>
      <c r="Z118" s="10"/>
      <c r="AA118" s="10"/>
      <c r="AB118" s="10"/>
      <c r="AC118" s="10"/>
      <c r="AD118" s="10"/>
      <c r="AE118" s="10"/>
      <c r="AF118" s="10"/>
      <c r="AG118" s="38">
        <f t="shared" si="4"/>
        <v>0</v>
      </c>
      <c r="AH118" s="51" t="str">
        <f t="shared" si="5"/>
        <v xml:space="preserve"> </v>
      </c>
      <c r="AI118" s="64">
        <v>2</v>
      </c>
      <c r="AJ118" s="72" t="s">
        <v>631</v>
      </c>
      <c r="AK118" s="65">
        <v>0</v>
      </c>
      <c r="AL118" s="1"/>
      <c r="AM118" s="1"/>
      <c r="AN118" s="81"/>
      <c r="AO118" s="81"/>
    </row>
    <row r="119" spans="1:41" s="26" customFormat="1" x14ac:dyDescent="0.25">
      <c r="A119" s="22" t="s">
        <v>632</v>
      </c>
      <c r="B119" s="2" t="s">
        <v>189</v>
      </c>
      <c r="C119" s="21">
        <v>1.9</v>
      </c>
      <c r="D119" s="23">
        <v>130</v>
      </c>
      <c r="E119" s="23" t="s">
        <v>161</v>
      </c>
      <c r="F119" s="23"/>
      <c r="G119" s="3" t="s">
        <v>633</v>
      </c>
      <c r="H119" s="10" t="s">
        <v>161</v>
      </c>
      <c r="I119" s="10"/>
      <c r="J119" s="6"/>
      <c r="K119" s="21"/>
      <c r="L119" s="21" t="s">
        <v>533</v>
      </c>
      <c r="M119" s="6" t="s">
        <v>24</v>
      </c>
      <c r="N119" s="6"/>
      <c r="O119" s="12" t="s">
        <v>380</v>
      </c>
      <c r="P119" s="10" t="s">
        <v>167</v>
      </c>
      <c r="Q119" s="29" t="s">
        <v>167</v>
      </c>
      <c r="R119" s="27" t="s">
        <v>167</v>
      </c>
      <c r="S119" s="10" t="s">
        <v>167</v>
      </c>
      <c r="T119" s="13">
        <v>0.17463599999999999</v>
      </c>
      <c r="U119" s="13">
        <v>0.23519999999999999</v>
      </c>
      <c r="V119" s="13">
        <v>0.31281599999999998</v>
      </c>
      <c r="W119" s="13">
        <v>0.23519999999999999</v>
      </c>
      <c r="X119" s="13">
        <v>0.23519999999999999</v>
      </c>
      <c r="Y119" s="1">
        <f t="shared" si="3"/>
        <v>0.2386104</v>
      </c>
      <c r="Z119" s="10"/>
      <c r="AA119" s="10"/>
      <c r="AB119" s="10"/>
      <c r="AC119" s="10"/>
      <c r="AD119" s="10"/>
      <c r="AE119" s="10"/>
      <c r="AF119" s="10"/>
      <c r="AG119" s="38">
        <f t="shared" si="4"/>
        <v>0</v>
      </c>
      <c r="AH119" s="51" t="str">
        <f t="shared" si="5"/>
        <v xml:space="preserve"> </v>
      </c>
      <c r="AI119" s="64">
        <v>1</v>
      </c>
      <c r="AJ119" s="72" t="s">
        <v>634</v>
      </c>
      <c r="AK119" s="65">
        <v>0</v>
      </c>
      <c r="AL119" s="1"/>
      <c r="AM119" s="1"/>
      <c r="AN119" s="81"/>
      <c r="AO119" s="81"/>
    </row>
    <row r="120" spans="1:41" s="26" customFormat="1" ht="22.5" x14ac:dyDescent="0.25">
      <c r="A120" s="15" t="s">
        <v>635</v>
      </c>
      <c r="B120" s="8" t="s">
        <v>172</v>
      </c>
      <c r="C120" s="11">
        <v>1.9</v>
      </c>
      <c r="D120" s="18">
        <v>1000</v>
      </c>
      <c r="E120" s="18" t="s">
        <v>161</v>
      </c>
      <c r="F120" s="23"/>
      <c r="G120" s="9"/>
      <c r="H120" s="12" t="s">
        <v>161</v>
      </c>
      <c r="I120" s="12"/>
      <c r="J120" s="12"/>
      <c r="K120" s="14"/>
      <c r="L120" s="11" t="s">
        <v>464</v>
      </c>
      <c r="M120" s="12"/>
      <c r="N120" s="12"/>
      <c r="O120" s="12"/>
      <c r="P120" s="16" t="s">
        <v>167</v>
      </c>
      <c r="Q120" s="30" t="s">
        <v>167</v>
      </c>
      <c r="R120" s="29" t="s">
        <v>167</v>
      </c>
      <c r="S120" s="10" t="s">
        <v>167</v>
      </c>
      <c r="T120" s="13">
        <v>1.1277999999999999</v>
      </c>
      <c r="U120" s="13">
        <v>0</v>
      </c>
      <c r="V120" s="13">
        <v>0</v>
      </c>
      <c r="W120" s="13">
        <v>0</v>
      </c>
      <c r="X120" s="13">
        <v>0</v>
      </c>
      <c r="Y120" s="1">
        <f t="shared" si="3"/>
        <v>0.22555999999999998</v>
      </c>
      <c r="Z120" s="10"/>
      <c r="AA120" s="10"/>
      <c r="AB120" s="10"/>
      <c r="AC120" s="10"/>
      <c r="AD120" s="10"/>
      <c r="AE120" s="10"/>
      <c r="AF120" s="10"/>
      <c r="AG120" s="38">
        <f t="shared" si="4"/>
        <v>0</v>
      </c>
      <c r="AH120" s="51" t="str">
        <f t="shared" si="5"/>
        <v xml:space="preserve"> </v>
      </c>
      <c r="AI120" s="64">
        <v>4</v>
      </c>
      <c r="AJ120" s="72" t="s">
        <v>636</v>
      </c>
      <c r="AK120" s="65">
        <v>0</v>
      </c>
      <c r="AL120" s="1"/>
      <c r="AM120" s="1"/>
      <c r="AN120" s="81"/>
      <c r="AO120" s="81"/>
    </row>
    <row r="121" spans="1:41" s="26" customFormat="1" x14ac:dyDescent="0.25">
      <c r="A121" s="22" t="s">
        <v>637</v>
      </c>
      <c r="B121" s="2" t="s">
        <v>307</v>
      </c>
      <c r="C121" s="21">
        <v>2</v>
      </c>
      <c r="D121" s="23">
        <v>50</v>
      </c>
      <c r="E121" s="23" t="s">
        <v>161</v>
      </c>
      <c r="F121" s="23"/>
      <c r="G121" s="3" t="s">
        <v>638</v>
      </c>
      <c r="H121" s="12" t="s">
        <v>161</v>
      </c>
      <c r="I121" s="10"/>
      <c r="J121" s="4"/>
      <c r="K121" s="5"/>
      <c r="L121" s="5" t="s">
        <v>533</v>
      </c>
      <c r="M121" s="4" t="s">
        <v>534</v>
      </c>
      <c r="N121" s="4"/>
      <c r="O121" s="12" t="s">
        <v>380</v>
      </c>
      <c r="P121" s="12" t="s">
        <v>167</v>
      </c>
      <c r="Q121" s="30" t="s">
        <v>167</v>
      </c>
      <c r="R121" s="27" t="s">
        <v>167</v>
      </c>
      <c r="S121" s="12" t="s">
        <v>167</v>
      </c>
      <c r="T121" s="13">
        <v>0.187</v>
      </c>
      <c r="U121" s="13">
        <v>0.154</v>
      </c>
      <c r="V121" s="13">
        <v>0.20899999999999999</v>
      </c>
      <c r="W121" s="13">
        <v>0.19800000000000001</v>
      </c>
      <c r="X121" s="13">
        <v>0.19800000000000001</v>
      </c>
      <c r="Y121" s="1">
        <f t="shared" si="3"/>
        <v>0.18919999999999998</v>
      </c>
      <c r="Z121" s="10"/>
      <c r="AA121" s="10"/>
      <c r="AB121" s="10"/>
      <c r="AC121" s="10"/>
      <c r="AD121" s="10"/>
      <c r="AE121" s="10"/>
      <c r="AF121" s="10"/>
      <c r="AG121" s="38">
        <f t="shared" si="4"/>
        <v>0</v>
      </c>
      <c r="AH121" s="51" t="str">
        <f t="shared" si="5"/>
        <v xml:space="preserve"> </v>
      </c>
      <c r="AI121" s="64">
        <v>1</v>
      </c>
      <c r="AJ121" s="72" t="s">
        <v>639</v>
      </c>
      <c r="AK121" s="65">
        <v>0</v>
      </c>
      <c r="AL121" s="1"/>
      <c r="AM121" s="1"/>
      <c r="AN121" s="81"/>
      <c r="AO121" s="81"/>
    </row>
    <row r="122" spans="1:41" s="26" customFormat="1" x14ac:dyDescent="0.25">
      <c r="A122" s="15" t="s">
        <v>640</v>
      </c>
      <c r="B122" s="8" t="s">
        <v>203</v>
      </c>
      <c r="C122" s="11">
        <v>1.2</v>
      </c>
      <c r="D122" s="18">
        <v>467</v>
      </c>
      <c r="E122" s="18">
        <v>130</v>
      </c>
      <c r="F122" s="77">
        <v>5.5E-2</v>
      </c>
      <c r="G122" s="9"/>
      <c r="H122" s="12" t="s">
        <v>161</v>
      </c>
      <c r="I122" s="12"/>
      <c r="J122" s="12"/>
      <c r="K122" s="14"/>
      <c r="L122" s="11" t="s">
        <v>533</v>
      </c>
      <c r="M122" s="12"/>
      <c r="N122" s="12"/>
      <c r="O122" s="12"/>
      <c r="P122" s="16" t="s">
        <v>167</v>
      </c>
      <c r="Q122" s="30" t="s">
        <v>167</v>
      </c>
      <c r="R122" s="29" t="s">
        <v>167</v>
      </c>
      <c r="S122" s="10" t="s">
        <v>167</v>
      </c>
      <c r="T122" s="13">
        <v>0.94341000000000008</v>
      </c>
      <c r="U122" s="13">
        <v>0</v>
      </c>
      <c r="V122" s="13">
        <v>0</v>
      </c>
      <c r="W122" s="13">
        <v>0</v>
      </c>
      <c r="X122" s="13">
        <v>0</v>
      </c>
      <c r="Y122" s="1">
        <f t="shared" si="3"/>
        <v>0.18868200000000002</v>
      </c>
      <c r="Z122" s="10"/>
      <c r="AA122" s="10"/>
      <c r="AB122" s="10"/>
      <c r="AC122" s="10"/>
      <c r="AD122" s="10"/>
      <c r="AE122" s="10"/>
      <c r="AF122" s="10"/>
      <c r="AG122" s="38">
        <f t="shared" si="4"/>
        <v>0</v>
      </c>
      <c r="AH122" s="51" t="str">
        <f t="shared" si="5"/>
        <v xml:space="preserve"> </v>
      </c>
      <c r="AI122" s="64">
        <v>2</v>
      </c>
      <c r="AJ122" s="72" t="s">
        <v>641</v>
      </c>
      <c r="AK122" s="65">
        <v>0</v>
      </c>
      <c r="AL122" s="1"/>
      <c r="AM122" s="1"/>
      <c r="AN122" s="81"/>
      <c r="AO122" s="81"/>
    </row>
    <row r="123" spans="1:41" s="26" customFormat="1" hidden="1" x14ac:dyDescent="0.25">
      <c r="A123" s="22" t="s">
        <v>642</v>
      </c>
      <c r="B123" s="2" t="s">
        <v>431</v>
      </c>
      <c r="C123" s="21">
        <v>4.75</v>
      </c>
      <c r="D123" s="23">
        <v>1450</v>
      </c>
      <c r="E123" s="23">
        <v>2140</v>
      </c>
      <c r="F123" s="23"/>
      <c r="G123" s="3"/>
      <c r="H123" s="12" t="s">
        <v>161</v>
      </c>
      <c r="I123" s="10"/>
      <c r="J123" s="4"/>
      <c r="K123" s="5"/>
      <c r="L123" s="5" t="s">
        <v>524</v>
      </c>
      <c r="M123" s="4" t="s">
        <v>534</v>
      </c>
      <c r="N123" s="4"/>
      <c r="O123" s="12" t="s">
        <v>380</v>
      </c>
      <c r="P123" s="12" t="s">
        <v>167</v>
      </c>
      <c r="Q123" s="30" t="s">
        <v>167</v>
      </c>
      <c r="R123" s="27" t="s">
        <v>167</v>
      </c>
      <c r="S123" s="10" t="s">
        <v>167</v>
      </c>
      <c r="T123" s="13">
        <v>0.17712</v>
      </c>
      <c r="U123" s="13">
        <v>0.17712</v>
      </c>
      <c r="V123" s="13">
        <v>0.22878000000000001</v>
      </c>
      <c r="W123" s="13">
        <v>0.11808</v>
      </c>
      <c r="X123" s="13">
        <v>9.5939999999999998E-2</v>
      </c>
      <c r="Y123" s="1">
        <f t="shared" si="3"/>
        <v>0.15940799999999999</v>
      </c>
      <c r="Z123" s="10" t="s">
        <v>168</v>
      </c>
      <c r="AA123" s="10" t="s">
        <v>168</v>
      </c>
      <c r="AB123" s="10" t="s">
        <v>168</v>
      </c>
      <c r="AC123" s="10" t="s">
        <v>168</v>
      </c>
      <c r="AD123" s="10" t="s">
        <v>168</v>
      </c>
      <c r="AE123" s="10" t="s">
        <v>168</v>
      </c>
      <c r="AF123" s="10" t="s">
        <v>168</v>
      </c>
      <c r="AG123" s="38">
        <f t="shared" si="4"/>
        <v>1</v>
      </c>
      <c r="AH123" s="51">
        <f t="shared" si="5"/>
        <v>0.15940799999999999</v>
      </c>
      <c r="AI123" s="64">
        <v>1</v>
      </c>
      <c r="AJ123" s="72" t="s">
        <v>643</v>
      </c>
      <c r="AK123" s="65">
        <v>212.95</v>
      </c>
      <c r="AL123" s="1"/>
      <c r="AM123" s="1" t="s">
        <v>347</v>
      </c>
      <c r="AN123" s="81">
        <v>46113</v>
      </c>
      <c r="AO123" s="81" t="s">
        <v>180</v>
      </c>
    </row>
    <row r="124" spans="1:41" s="26" customFormat="1" hidden="1" x14ac:dyDescent="0.25">
      <c r="A124" s="22" t="s">
        <v>644</v>
      </c>
      <c r="B124" s="2" t="s">
        <v>312</v>
      </c>
      <c r="C124" s="21">
        <v>1.2</v>
      </c>
      <c r="D124" s="23">
        <v>550</v>
      </c>
      <c r="E124" s="23">
        <v>0</v>
      </c>
      <c r="F124" s="77">
        <v>0</v>
      </c>
      <c r="G124" s="3"/>
      <c r="H124" s="12" t="s">
        <v>161</v>
      </c>
      <c r="I124" s="12"/>
      <c r="J124" s="4"/>
      <c r="K124" s="5"/>
      <c r="L124" s="21" t="s">
        <v>533</v>
      </c>
      <c r="M124" s="4"/>
      <c r="N124" s="4"/>
      <c r="O124" s="12" t="s">
        <v>380</v>
      </c>
      <c r="P124" s="16"/>
      <c r="Q124" s="30"/>
      <c r="R124" s="27" t="s">
        <v>167</v>
      </c>
      <c r="S124" s="10" t="s">
        <v>167</v>
      </c>
      <c r="T124" s="13">
        <v>0.50190000000000001</v>
      </c>
      <c r="U124" s="13">
        <v>0.220836</v>
      </c>
      <c r="V124" s="13">
        <v>0</v>
      </c>
      <c r="W124" s="13">
        <v>0</v>
      </c>
      <c r="X124" s="13">
        <v>0</v>
      </c>
      <c r="Y124" s="1">
        <f t="shared" si="3"/>
        <v>0.14454720000000001</v>
      </c>
      <c r="Z124" s="10" t="s">
        <v>168</v>
      </c>
      <c r="AA124" s="10" t="s">
        <v>168</v>
      </c>
      <c r="AB124" s="10" t="s">
        <v>168</v>
      </c>
      <c r="AC124" s="10" t="s">
        <v>168</v>
      </c>
      <c r="AD124" s="10" t="s">
        <v>168</v>
      </c>
      <c r="AE124" s="10" t="s">
        <v>168</v>
      </c>
      <c r="AF124" s="10" t="s">
        <v>168</v>
      </c>
      <c r="AG124" s="38">
        <f t="shared" si="4"/>
        <v>1</v>
      </c>
      <c r="AH124" s="51">
        <f t="shared" si="5"/>
        <v>0.14454720000000001</v>
      </c>
      <c r="AI124" s="64"/>
      <c r="AJ124" s="72"/>
      <c r="AK124" s="65">
        <v>0</v>
      </c>
      <c r="AL124" s="1"/>
      <c r="AM124" s="1"/>
      <c r="AN124" s="81"/>
      <c r="AO124" s="81"/>
    </row>
    <row r="125" spans="1:41" s="26" customFormat="1" hidden="1" x14ac:dyDescent="0.25">
      <c r="A125" s="22" t="s">
        <v>645</v>
      </c>
      <c r="B125" s="2" t="s">
        <v>329</v>
      </c>
      <c r="C125" s="21">
        <v>1.5</v>
      </c>
      <c r="D125" s="23">
        <v>366</v>
      </c>
      <c r="E125" s="23">
        <v>165</v>
      </c>
      <c r="F125" s="77">
        <v>5.5E-2</v>
      </c>
      <c r="G125" s="3" t="s">
        <v>646</v>
      </c>
      <c r="H125" s="10">
        <v>34025636</v>
      </c>
      <c r="I125" s="10"/>
      <c r="J125" s="6"/>
      <c r="K125" s="21"/>
      <c r="L125" s="21" t="s">
        <v>191</v>
      </c>
      <c r="M125" s="6" t="s">
        <v>164</v>
      </c>
      <c r="N125" s="35" t="s">
        <v>165</v>
      </c>
      <c r="O125" s="12" t="s">
        <v>380</v>
      </c>
      <c r="P125" s="10" t="s">
        <v>167</v>
      </c>
      <c r="Q125" s="29" t="s">
        <v>167</v>
      </c>
      <c r="R125" s="27" t="s">
        <v>167</v>
      </c>
      <c r="S125" s="10" t="s">
        <v>167</v>
      </c>
      <c r="T125" s="13">
        <v>0.13800000000000001</v>
      </c>
      <c r="U125" s="13">
        <v>0.161</v>
      </c>
      <c r="V125" s="13">
        <v>0.184</v>
      </c>
      <c r="W125" s="13">
        <v>6.9000000000000006E-2</v>
      </c>
      <c r="X125" s="13">
        <v>0.161</v>
      </c>
      <c r="Y125" s="1">
        <f t="shared" si="3"/>
        <v>0.1426</v>
      </c>
      <c r="Z125" s="10" t="s">
        <v>168</v>
      </c>
      <c r="AA125" s="10" t="s">
        <v>168</v>
      </c>
      <c r="AB125" s="10" t="s">
        <v>168</v>
      </c>
      <c r="AC125" s="10" t="s">
        <v>168</v>
      </c>
      <c r="AD125" s="10" t="s">
        <v>168</v>
      </c>
      <c r="AE125" s="10" t="s">
        <v>168</v>
      </c>
      <c r="AF125" s="10" t="s">
        <v>168</v>
      </c>
      <c r="AG125" s="38">
        <f t="shared" si="4"/>
        <v>1</v>
      </c>
      <c r="AH125" s="51">
        <f t="shared" si="5"/>
        <v>0.1426</v>
      </c>
      <c r="AI125" s="64"/>
      <c r="AJ125" s="72"/>
      <c r="AK125" s="65">
        <v>0</v>
      </c>
      <c r="AL125" s="1"/>
      <c r="AM125" s="1"/>
      <c r="AN125" s="81"/>
      <c r="AO125" s="81"/>
    </row>
    <row r="126" spans="1:41" s="26" customFormat="1" hidden="1" x14ac:dyDescent="0.25">
      <c r="A126" s="22" t="s">
        <v>647</v>
      </c>
      <c r="B126" s="2" t="s">
        <v>197</v>
      </c>
      <c r="C126" s="21">
        <v>0.7</v>
      </c>
      <c r="D126" s="23">
        <v>1400</v>
      </c>
      <c r="E126" s="23" t="s">
        <v>161</v>
      </c>
      <c r="F126" s="23"/>
      <c r="G126" s="3" t="s">
        <v>648</v>
      </c>
      <c r="H126" s="10" t="s">
        <v>161</v>
      </c>
      <c r="I126" s="10"/>
      <c r="J126" s="6"/>
      <c r="K126" s="21"/>
      <c r="L126" s="21" t="s">
        <v>464</v>
      </c>
      <c r="M126" s="6" t="s">
        <v>378</v>
      </c>
      <c r="N126" s="6" t="s">
        <v>649</v>
      </c>
      <c r="O126" s="12" t="s">
        <v>380</v>
      </c>
      <c r="P126" s="10"/>
      <c r="Q126" s="29"/>
      <c r="R126" s="27" t="s">
        <v>167</v>
      </c>
      <c r="S126" s="10" t="s">
        <v>167</v>
      </c>
      <c r="T126" s="13">
        <v>0</v>
      </c>
      <c r="U126" s="13">
        <v>0.46379999999999999</v>
      </c>
      <c r="V126" s="13">
        <v>0</v>
      </c>
      <c r="W126" s="13">
        <v>0</v>
      </c>
      <c r="X126" s="13">
        <v>0</v>
      </c>
      <c r="Y126" s="1">
        <f t="shared" si="3"/>
        <v>9.2759999999999995E-2</v>
      </c>
      <c r="Z126" s="10" t="s">
        <v>168</v>
      </c>
      <c r="AA126" s="10" t="s">
        <v>168</v>
      </c>
      <c r="AB126" s="10" t="s">
        <v>168</v>
      </c>
      <c r="AC126" s="10" t="s">
        <v>168</v>
      </c>
      <c r="AD126" s="10" t="s">
        <v>168</v>
      </c>
      <c r="AE126" s="10" t="s">
        <v>168</v>
      </c>
      <c r="AF126" s="10" t="s">
        <v>168</v>
      </c>
      <c r="AG126" s="38">
        <f t="shared" si="4"/>
        <v>1</v>
      </c>
      <c r="AH126" s="51">
        <f t="shared" si="5"/>
        <v>9.2759999999999995E-2</v>
      </c>
      <c r="AI126" s="64"/>
      <c r="AJ126" s="72"/>
      <c r="AK126" s="65">
        <v>0</v>
      </c>
      <c r="AL126" s="1"/>
      <c r="AM126" s="1"/>
      <c r="AN126" s="81"/>
      <c r="AO126" s="81"/>
    </row>
    <row r="127" spans="1:41" s="26" customFormat="1" hidden="1" x14ac:dyDescent="0.25">
      <c r="A127" s="22" t="s">
        <v>650</v>
      </c>
      <c r="B127" s="2" t="s">
        <v>197</v>
      </c>
      <c r="C127" s="21">
        <v>1.5</v>
      </c>
      <c r="D127" s="23">
        <v>1200</v>
      </c>
      <c r="E127" s="23">
        <v>1500</v>
      </c>
      <c r="F127" s="23"/>
      <c r="G127" s="3" t="s">
        <v>651</v>
      </c>
      <c r="H127" s="12" t="s">
        <v>161</v>
      </c>
      <c r="I127" s="12"/>
      <c r="J127" s="4"/>
      <c r="K127" s="5"/>
      <c r="L127" s="5" t="s">
        <v>533</v>
      </c>
      <c r="M127" s="4" t="s">
        <v>27</v>
      </c>
      <c r="N127" s="4" t="s">
        <v>240</v>
      </c>
      <c r="O127" s="12" t="s">
        <v>380</v>
      </c>
      <c r="P127" s="12" t="s">
        <v>167</v>
      </c>
      <c r="Q127" s="30" t="s">
        <v>167</v>
      </c>
      <c r="R127" s="27" t="s">
        <v>167</v>
      </c>
      <c r="S127" s="12" t="s">
        <v>167</v>
      </c>
      <c r="T127" s="13">
        <v>0</v>
      </c>
      <c r="U127" s="13">
        <v>0</v>
      </c>
      <c r="V127" s="13">
        <v>0.15203999999999998</v>
      </c>
      <c r="W127" s="13">
        <v>0.15203999999999998</v>
      </c>
      <c r="X127" s="13">
        <v>0.15203999999999998</v>
      </c>
      <c r="Y127" s="1">
        <f t="shared" si="3"/>
        <v>9.1224E-2</v>
      </c>
      <c r="Z127" s="10" t="s">
        <v>168</v>
      </c>
      <c r="AA127" s="10" t="s">
        <v>168</v>
      </c>
      <c r="AB127" s="10" t="s">
        <v>168</v>
      </c>
      <c r="AC127" s="10" t="s">
        <v>168</v>
      </c>
      <c r="AD127" s="10" t="s">
        <v>168</v>
      </c>
      <c r="AE127" s="10" t="s">
        <v>168</v>
      </c>
      <c r="AF127" s="10" t="s">
        <v>168</v>
      </c>
      <c r="AG127" s="38">
        <f t="shared" si="4"/>
        <v>1</v>
      </c>
      <c r="AH127" s="51">
        <f t="shared" si="5"/>
        <v>9.1224E-2</v>
      </c>
      <c r="AI127" s="64"/>
      <c r="AJ127" s="72"/>
      <c r="AK127" s="65">
        <v>0</v>
      </c>
      <c r="AL127" s="1"/>
      <c r="AM127" s="1"/>
      <c r="AN127" s="81"/>
      <c r="AO127" s="81"/>
    </row>
    <row r="128" spans="1:41" s="26" customFormat="1" hidden="1" x14ac:dyDescent="0.25">
      <c r="A128" s="22" t="s">
        <v>652</v>
      </c>
      <c r="B128" s="2" t="s">
        <v>160</v>
      </c>
      <c r="C128" s="21">
        <v>0.7</v>
      </c>
      <c r="D128" s="23">
        <v>1050</v>
      </c>
      <c r="E128" s="23" t="s">
        <v>161</v>
      </c>
      <c r="F128" s="23"/>
      <c r="G128" s="3" t="s">
        <v>653</v>
      </c>
      <c r="H128" s="10" t="s">
        <v>161</v>
      </c>
      <c r="I128" s="10"/>
      <c r="J128" s="6"/>
      <c r="K128" s="21"/>
      <c r="L128" s="21" t="s">
        <v>533</v>
      </c>
      <c r="M128" s="6" t="s">
        <v>338</v>
      </c>
      <c r="N128" s="6" t="s">
        <v>654</v>
      </c>
      <c r="O128" s="12" t="s">
        <v>380</v>
      </c>
      <c r="P128" s="10"/>
      <c r="Q128" s="29"/>
      <c r="R128" s="27" t="s">
        <v>167</v>
      </c>
      <c r="S128" s="10" t="s">
        <v>167</v>
      </c>
      <c r="T128" s="13">
        <v>0.12251999999999998</v>
      </c>
      <c r="U128" s="13">
        <v>0.28179599999999999</v>
      </c>
      <c r="V128" s="13">
        <v>0</v>
      </c>
      <c r="W128" s="13">
        <v>0</v>
      </c>
      <c r="X128" s="13">
        <v>0</v>
      </c>
      <c r="Y128" s="1">
        <f t="shared" si="3"/>
        <v>8.0863199999999996E-2</v>
      </c>
      <c r="Z128" s="10" t="s">
        <v>168</v>
      </c>
      <c r="AA128" s="10" t="s">
        <v>168</v>
      </c>
      <c r="AB128" s="10" t="s">
        <v>168</v>
      </c>
      <c r="AC128" s="10" t="s">
        <v>168</v>
      </c>
      <c r="AD128" s="10" t="s">
        <v>168</v>
      </c>
      <c r="AE128" s="10" t="s">
        <v>168</v>
      </c>
      <c r="AF128" s="10" t="s">
        <v>168</v>
      </c>
      <c r="AG128" s="38">
        <f t="shared" si="4"/>
        <v>1</v>
      </c>
      <c r="AH128" s="51">
        <f t="shared" si="5"/>
        <v>8.0863199999999996E-2</v>
      </c>
      <c r="AI128" s="64"/>
      <c r="AJ128" s="72"/>
      <c r="AK128" s="65">
        <v>0</v>
      </c>
      <c r="AL128" s="1"/>
      <c r="AM128" s="1"/>
      <c r="AN128" s="81"/>
      <c r="AO128" s="81"/>
    </row>
    <row r="129" spans="1:41" s="26" customFormat="1" hidden="1" x14ac:dyDescent="0.25">
      <c r="A129" s="15" t="s">
        <v>655</v>
      </c>
      <c r="B129" s="8" t="s">
        <v>329</v>
      </c>
      <c r="C129" s="11">
        <v>0.75</v>
      </c>
      <c r="D129" s="18">
        <v>500</v>
      </c>
      <c r="E129" s="18">
        <v>310</v>
      </c>
      <c r="F129" s="77">
        <v>3.5000000000000003E-2</v>
      </c>
      <c r="G129" s="9" t="s">
        <v>656</v>
      </c>
      <c r="H129" s="12" t="s">
        <v>161</v>
      </c>
      <c r="I129" s="10"/>
      <c r="J129" s="12"/>
      <c r="K129" s="14"/>
      <c r="L129" s="14" t="s">
        <v>533</v>
      </c>
      <c r="M129" s="12" t="s">
        <v>338</v>
      </c>
      <c r="N129" s="12" t="s">
        <v>320</v>
      </c>
      <c r="O129" s="12"/>
      <c r="P129" s="12" t="s">
        <v>167</v>
      </c>
      <c r="Q129" s="30" t="s">
        <v>167</v>
      </c>
      <c r="R129" s="29" t="s">
        <v>167</v>
      </c>
      <c r="S129" s="12" t="s">
        <v>167</v>
      </c>
      <c r="T129" s="13">
        <v>0.31219999999999998</v>
      </c>
      <c r="U129" s="13">
        <v>0</v>
      </c>
      <c r="V129" s="13">
        <v>0</v>
      </c>
      <c r="W129" s="13">
        <v>0</v>
      </c>
      <c r="X129" s="13">
        <v>0</v>
      </c>
      <c r="Y129" s="1">
        <f t="shared" si="3"/>
        <v>6.2439999999999996E-2</v>
      </c>
      <c r="Z129" s="10" t="s">
        <v>168</v>
      </c>
      <c r="AA129" s="10" t="s">
        <v>168</v>
      </c>
      <c r="AB129" s="10" t="s">
        <v>168</v>
      </c>
      <c r="AC129" s="10" t="s">
        <v>168</v>
      </c>
      <c r="AD129" s="10" t="s">
        <v>168</v>
      </c>
      <c r="AE129" s="10" t="s">
        <v>168</v>
      </c>
      <c r="AF129" s="10" t="s">
        <v>168</v>
      </c>
      <c r="AG129" s="38">
        <f t="shared" si="4"/>
        <v>1</v>
      </c>
      <c r="AH129" s="51">
        <f t="shared" si="5"/>
        <v>6.2439999999999996E-2</v>
      </c>
      <c r="AI129" s="64"/>
      <c r="AJ129" s="72"/>
      <c r="AK129" s="65">
        <v>0</v>
      </c>
      <c r="AL129" s="1"/>
      <c r="AM129" s="1"/>
      <c r="AN129" s="81"/>
      <c r="AO129" s="81"/>
    </row>
    <row r="130" spans="1:41" s="26" customFormat="1" hidden="1" x14ac:dyDescent="0.25">
      <c r="A130" s="22" t="s">
        <v>657</v>
      </c>
      <c r="B130" s="2" t="s">
        <v>431</v>
      </c>
      <c r="C130" s="21">
        <v>2</v>
      </c>
      <c r="D130" s="23">
        <v>1200</v>
      </c>
      <c r="E130" s="23">
        <v>2000</v>
      </c>
      <c r="F130" s="23"/>
      <c r="G130" s="3"/>
      <c r="H130" s="10" t="s">
        <v>161</v>
      </c>
      <c r="I130" s="10"/>
      <c r="J130" s="6"/>
      <c r="K130" s="21"/>
      <c r="L130" s="5" t="s">
        <v>533</v>
      </c>
      <c r="M130" s="6"/>
      <c r="N130" s="6"/>
      <c r="O130" s="12" t="s">
        <v>380</v>
      </c>
      <c r="P130" s="10"/>
      <c r="Q130" s="29"/>
      <c r="R130" s="27" t="s">
        <v>167</v>
      </c>
      <c r="S130" s="10" t="s">
        <v>167</v>
      </c>
      <c r="T130" s="13">
        <v>0</v>
      </c>
      <c r="U130" s="13">
        <v>0</v>
      </c>
      <c r="V130" s="13">
        <v>0</v>
      </c>
      <c r="W130" s="13">
        <v>0.1026</v>
      </c>
      <c r="X130" s="13">
        <v>0.10829999999999999</v>
      </c>
      <c r="Y130" s="1">
        <f t="shared" si="3"/>
        <v>4.2179999999999995E-2</v>
      </c>
      <c r="Z130" s="10" t="s">
        <v>168</v>
      </c>
      <c r="AA130" s="10" t="s">
        <v>168</v>
      </c>
      <c r="AB130" s="10" t="s">
        <v>168</v>
      </c>
      <c r="AC130" s="10" t="s">
        <v>168</v>
      </c>
      <c r="AD130" s="10" t="s">
        <v>168</v>
      </c>
      <c r="AE130" s="10" t="s">
        <v>168</v>
      </c>
      <c r="AF130" s="10" t="s">
        <v>168</v>
      </c>
      <c r="AG130" s="38">
        <f t="shared" si="4"/>
        <v>1</v>
      </c>
      <c r="AH130" s="51">
        <f t="shared" si="5"/>
        <v>4.2179999999999995E-2</v>
      </c>
      <c r="AI130" s="64"/>
      <c r="AJ130" s="72"/>
      <c r="AK130" s="65">
        <v>0</v>
      </c>
      <c r="AL130" s="1"/>
      <c r="AM130" s="1"/>
      <c r="AN130" s="81"/>
      <c r="AO130" s="81"/>
    </row>
    <row r="131" spans="1:41" s="26" customFormat="1" hidden="1" x14ac:dyDescent="0.25">
      <c r="A131" s="22" t="s">
        <v>658</v>
      </c>
      <c r="B131" s="2" t="s">
        <v>189</v>
      </c>
      <c r="C131" s="21">
        <v>1.2</v>
      </c>
      <c r="D131" s="23">
        <v>600</v>
      </c>
      <c r="E131" s="23" t="s">
        <v>161</v>
      </c>
      <c r="F131" s="23"/>
      <c r="G131" s="3"/>
      <c r="H131" s="12" t="s">
        <v>161</v>
      </c>
      <c r="I131" s="12"/>
      <c r="J131" s="4"/>
      <c r="K131" s="5"/>
      <c r="L131" s="21" t="s">
        <v>533</v>
      </c>
      <c r="M131" s="4"/>
      <c r="N131" s="4"/>
      <c r="O131" s="12" t="s">
        <v>380</v>
      </c>
      <c r="P131" s="16"/>
      <c r="Q131" s="30"/>
      <c r="R131" s="27" t="s">
        <v>167</v>
      </c>
      <c r="S131" s="10" t="s">
        <v>167</v>
      </c>
      <c r="T131" s="13">
        <v>5.5839999999999994E-2</v>
      </c>
      <c r="U131" s="13">
        <v>4.4671999999999996E-2</v>
      </c>
      <c r="V131" s="13">
        <v>2.2335999999999998E-2</v>
      </c>
      <c r="W131" s="13">
        <v>2.2335999999999998E-2</v>
      </c>
      <c r="X131" s="13">
        <v>2.2335999999999998E-2</v>
      </c>
      <c r="Y131" s="1">
        <f t="shared" ref="Y131:Y194" si="6">AVERAGE(T131:X131)</f>
        <v>3.3503999999999992E-2</v>
      </c>
      <c r="Z131" s="10" t="s">
        <v>168</v>
      </c>
      <c r="AA131" s="10" t="s">
        <v>168</v>
      </c>
      <c r="AB131" s="10" t="s">
        <v>168</v>
      </c>
      <c r="AC131" s="10" t="s">
        <v>168</v>
      </c>
      <c r="AD131" s="10" t="s">
        <v>168</v>
      </c>
      <c r="AE131" s="10" t="s">
        <v>168</v>
      </c>
      <c r="AF131" s="10" t="s">
        <v>168</v>
      </c>
      <c r="AG131" s="38">
        <f t="shared" ref="AG131:AG194" si="7">COUNTIF(Z131:AF131,"X")/7</f>
        <v>1</v>
      </c>
      <c r="AH131" s="51">
        <f t="shared" ref="AH131:AH194" si="8">IF(AG131=100%,Y131," ")</f>
        <v>3.3503999999999992E-2</v>
      </c>
      <c r="AI131" s="64"/>
      <c r="AJ131" s="72"/>
      <c r="AK131" s="65">
        <v>0</v>
      </c>
      <c r="AL131" s="1"/>
      <c r="AM131" s="1"/>
      <c r="AN131" s="81"/>
      <c r="AO131" s="81"/>
    </row>
    <row r="132" spans="1:41" s="26" customFormat="1" hidden="1" x14ac:dyDescent="0.25">
      <c r="A132" s="22" t="s">
        <v>659</v>
      </c>
      <c r="B132" s="2" t="s">
        <v>189</v>
      </c>
      <c r="C132" s="21">
        <v>1.2</v>
      </c>
      <c r="D132" s="23">
        <v>600</v>
      </c>
      <c r="E132" s="23">
        <v>115</v>
      </c>
      <c r="F132" s="77">
        <v>4.4999999999999998E-2</v>
      </c>
      <c r="G132" s="3" t="s">
        <v>633</v>
      </c>
      <c r="H132" s="12" t="s">
        <v>161</v>
      </c>
      <c r="I132" s="10"/>
      <c r="J132" s="4"/>
      <c r="K132" s="5"/>
      <c r="L132" s="5" t="s">
        <v>533</v>
      </c>
      <c r="M132" s="4" t="s">
        <v>24</v>
      </c>
      <c r="N132" s="4"/>
      <c r="O132" s="12" t="s">
        <v>380</v>
      </c>
      <c r="P132" s="12" t="s">
        <v>167</v>
      </c>
      <c r="Q132" s="30" t="s">
        <v>167</v>
      </c>
      <c r="R132" s="27" t="s">
        <v>167</v>
      </c>
      <c r="S132" s="10" t="s">
        <v>167</v>
      </c>
      <c r="T132" s="13">
        <v>0</v>
      </c>
      <c r="U132" s="13">
        <v>3.44E-2</v>
      </c>
      <c r="V132" s="13">
        <v>4.5751999999999994E-2</v>
      </c>
      <c r="W132" s="13">
        <v>3.44E-2</v>
      </c>
      <c r="X132" s="13">
        <v>3.44E-2</v>
      </c>
      <c r="Y132" s="1">
        <f t="shared" si="6"/>
        <v>2.9790400000000002E-2</v>
      </c>
      <c r="Z132" s="10" t="s">
        <v>168</v>
      </c>
      <c r="AA132" s="10" t="s">
        <v>168</v>
      </c>
      <c r="AB132" s="10" t="s">
        <v>168</v>
      </c>
      <c r="AC132" s="10" t="s">
        <v>168</v>
      </c>
      <c r="AD132" s="10" t="s">
        <v>168</v>
      </c>
      <c r="AE132" s="10" t="s">
        <v>168</v>
      </c>
      <c r="AF132" s="10" t="s">
        <v>168</v>
      </c>
      <c r="AG132" s="38">
        <f t="shared" si="7"/>
        <v>1</v>
      </c>
      <c r="AH132" s="51">
        <f t="shared" si="8"/>
        <v>2.9790400000000002E-2</v>
      </c>
      <c r="AI132" s="64"/>
      <c r="AJ132" s="72"/>
      <c r="AK132" s="65">
        <v>0</v>
      </c>
      <c r="AL132" s="1"/>
      <c r="AM132" s="1"/>
      <c r="AN132" s="81"/>
      <c r="AO132" s="81"/>
    </row>
    <row r="133" spans="1:41" s="26" customFormat="1" hidden="1" x14ac:dyDescent="0.25">
      <c r="A133" s="22" t="s">
        <v>660</v>
      </c>
      <c r="B133" s="2" t="s">
        <v>160</v>
      </c>
      <c r="C133" s="21">
        <v>1.2</v>
      </c>
      <c r="D133" s="23">
        <v>230</v>
      </c>
      <c r="E133" s="23">
        <v>190</v>
      </c>
      <c r="F133" s="77">
        <v>4.4999999999999998E-2</v>
      </c>
      <c r="G133" s="3" t="s">
        <v>661</v>
      </c>
      <c r="H133" s="12" t="s">
        <v>161</v>
      </c>
      <c r="I133" s="12"/>
      <c r="J133" s="4"/>
      <c r="K133" s="5"/>
      <c r="L133" s="5" t="s">
        <v>533</v>
      </c>
      <c r="M133" s="4" t="s">
        <v>338</v>
      </c>
      <c r="N133" s="4" t="s">
        <v>320</v>
      </c>
      <c r="O133" s="12" t="s">
        <v>380</v>
      </c>
      <c r="P133" s="12" t="s">
        <v>167</v>
      </c>
      <c r="Q133" s="30" t="s">
        <v>167</v>
      </c>
      <c r="R133" s="27" t="s">
        <v>167</v>
      </c>
      <c r="S133" s="10" t="s">
        <v>167</v>
      </c>
      <c r="T133" s="13">
        <v>0</v>
      </c>
      <c r="U133" s="13">
        <v>0</v>
      </c>
      <c r="V133" s="13">
        <v>0</v>
      </c>
      <c r="W133" s="13">
        <v>0</v>
      </c>
      <c r="X133" s="13">
        <v>0.136347</v>
      </c>
      <c r="Y133" s="1">
        <f t="shared" si="6"/>
        <v>2.7269399999999999E-2</v>
      </c>
      <c r="Z133" s="10" t="s">
        <v>168</v>
      </c>
      <c r="AA133" s="10" t="s">
        <v>168</v>
      </c>
      <c r="AB133" s="10" t="s">
        <v>168</v>
      </c>
      <c r="AC133" s="10" t="s">
        <v>168</v>
      </c>
      <c r="AD133" s="10" t="s">
        <v>168</v>
      </c>
      <c r="AE133" s="10" t="s">
        <v>168</v>
      </c>
      <c r="AF133" s="10" t="s">
        <v>168</v>
      </c>
      <c r="AG133" s="38">
        <f t="shared" si="7"/>
        <v>1</v>
      </c>
      <c r="AH133" s="51">
        <f t="shared" si="8"/>
        <v>2.7269399999999999E-2</v>
      </c>
      <c r="AI133" s="64"/>
      <c r="AJ133" s="72"/>
      <c r="AK133" s="65">
        <v>0</v>
      </c>
      <c r="AL133" s="1"/>
      <c r="AM133" s="1"/>
      <c r="AN133" s="81"/>
      <c r="AO133" s="81"/>
    </row>
    <row r="134" spans="1:41" s="26" customFormat="1" hidden="1" x14ac:dyDescent="0.25">
      <c r="A134" s="22" t="s">
        <v>662</v>
      </c>
      <c r="B134" s="2" t="s">
        <v>189</v>
      </c>
      <c r="C134" s="21">
        <v>1</v>
      </c>
      <c r="D134" s="23">
        <v>100</v>
      </c>
      <c r="E134" s="23" t="s">
        <v>161</v>
      </c>
      <c r="F134" s="23"/>
      <c r="G134" s="3" t="s">
        <v>633</v>
      </c>
      <c r="H134" s="10" t="s">
        <v>161</v>
      </c>
      <c r="I134" s="10"/>
      <c r="J134" s="6"/>
      <c r="K134" s="21"/>
      <c r="L134" s="21" t="s">
        <v>533</v>
      </c>
      <c r="M134" s="6" t="s">
        <v>24</v>
      </c>
      <c r="N134" s="6"/>
      <c r="O134" s="12" t="s">
        <v>380</v>
      </c>
      <c r="P134" s="10" t="s">
        <v>167</v>
      </c>
      <c r="Q134" s="29" t="s">
        <v>167</v>
      </c>
      <c r="R134" s="27" t="s">
        <v>167</v>
      </c>
      <c r="S134" s="10" t="s">
        <v>167</v>
      </c>
      <c r="T134" s="13">
        <v>1.7523E-2</v>
      </c>
      <c r="U134" s="13">
        <v>2.3599999999999999E-2</v>
      </c>
      <c r="V134" s="13">
        <v>3.1387999999999999E-2</v>
      </c>
      <c r="W134" s="13">
        <v>2.3599999999999999E-2</v>
      </c>
      <c r="X134" s="13">
        <v>2.3599999999999999E-2</v>
      </c>
      <c r="Y134" s="1">
        <f t="shared" si="6"/>
        <v>2.3942199999999997E-2</v>
      </c>
      <c r="Z134" s="10" t="s">
        <v>168</v>
      </c>
      <c r="AA134" s="10" t="s">
        <v>168</v>
      </c>
      <c r="AB134" s="10" t="s">
        <v>168</v>
      </c>
      <c r="AC134" s="10" t="s">
        <v>168</v>
      </c>
      <c r="AD134" s="10" t="s">
        <v>168</v>
      </c>
      <c r="AE134" s="10" t="s">
        <v>168</v>
      </c>
      <c r="AF134" s="10" t="s">
        <v>168</v>
      </c>
      <c r="AG134" s="38">
        <f t="shared" si="7"/>
        <v>1</v>
      </c>
      <c r="AH134" s="51">
        <f t="shared" si="8"/>
        <v>2.3942199999999997E-2</v>
      </c>
      <c r="AI134" s="64"/>
      <c r="AJ134" s="72"/>
      <c r="AK134" s="65">
        <v>0</v>
      </c>
      <c r="AL134" s="1"/>
      <c r="AM134" s="1"/>
      <c r="AN134" s="81"/>
      <c r="AO134" s="81"/>
    </row>
    <row r="135" spans="1:41" s="26" customFormat="1" hidden="1" x14ac:dyDescent="0.25">
      <c r="A135" s="15" t="s">
        <v>663</v>
      </c>
      <c r="B135" s="8" t="s">
        <v>431</v>
      </c>
      <c r="C135" s="11">
        <v>6</v>
      </c>
      <c r="D135" s="18">
        <v>1220</v>
      </c>
      <c r="E135" s="18">
        <v>1750</v>
      </c>
      <c r="F135" s="23"/>
      <c r="G135" s="9" t="s">
        <v>664</v>
      </c>
      <c r="H135" s="10" t="s">
        <v>161</v>
      </c>
      <c r="I135" s="10"/>
      <c r="J135" s="10"/>
      <c r="K135" s="11"/>
      <c r="L135" s="11" t="s">
        <v>27</v>
      </c>
      <c r="M135" s="12" t="s">
        <v>260</v>
      </c>
      <c r="N135" s="10"/>
      <c r="O135" s="12"/>
      <c r="P135" s="10" t="s">
        <v>167</v>
      </c>
      <c r="Q135" s="29" t="s">
        <v>167</v>
      </c>
      <c r="R135" s="29" t="s">
        <v>167</v>
      </c>
      <c r="S135" s="10" t="s">
        <v>167</v>
      </c>
      <c r="T135" s="13">
        <v>0.10458000000000001</v>
      </c>
      <c r="U135" s="13">
        <v>0</v>
      </c>
      <c r="V135" s="13">
        <v>0</v>
      </c>
      <c r="W135" s="13">
        <v>0</v>
      </c>
      <c r="X135" s="13">
        <v>0</v>
      </c>
      <c r="Y135" s="1">
        <f t="shared" si="6"/>
        <v>2.0916000000000001E-2</v>
      </c>
      <c r="Z135" s="10" t="s">
        <v>168</v>
      </c>
      <c r="AA135" s="10" t="s">
        <v>168</v>
      </c>
      <c r="AB135" s="10" t="s">
        <v>168</v>
      </c>
      <c r="AC135" s="10" t="s">
        <v>168</v>
      </c>
      <c r="AD135" s="10" t="s">
        <v>168</v>
      </c>
      <c r="AE135" s="10" t="s">
        <v>168</v>
      </c>
      <c r="AF135" s="10" t="s">
        <v>168</v>
      </c>
      <c r="AG135" s="38">
        <f t="shared" si="7"/>
        <v>1</v>
      </c>
      <c r="AH135" s="51">
        <f t="shared" si="8"/>
        <v>2.0916000000000001E-2</v>
      </c>
      <c r="AI135" s="64"/>
      <c r="AJ135" s="72"/>
      <c r="AK135" s="65">
        <v>0</v>
      </c>
      <c r="AL135" s="1"/>
      <c r="AM135" s="1"/>
      <c r="AN135" s="81"/>
      <c r="AO135" s="81"/>
    </row>
    <row r="136" spans="1:41" s="26" customFormat="1" hidden="1" x14ac:dyDescent="0.25">
      <c r="A136" s="22" t="s">
        <v>665</v>
      </c>
      <c r="B136" s="2" t="s">
        <v>203</v>
      </c>
      <c r="C136" s="21">
        <v>2.65</v>
      </c>
      <c r="D136" s="23">
        <v>1200</v>
      </c>
      <c r="E136" s="23">
        <v>2000</v>
      </c>
      <c r="F136" s="23"/>
      <c r="G136" s="3" t="s">
        <v>666</v>
      </c>
      <c r="H136" s="10" t="s">
        <v>161</v>
      </c>
      <c r="I136" s="10"/>
      <c r="J136" s="6"/>
      <c r="K136" s="21"/>
      <c r="L136" s="21" t="s">
        <v>533</v>
      </c>
      <c r="M136" s="6" t="s">
        <v>239</v>
      </c>
      <c r="N136" s="6"/>
      <c r="O136" s="12" t="s">
        <v>380</v>
      </c>
      <c r="P136" s="10" t="s">
        <v>167</v>
      </c>
      <c r="Q136" s="29" t="s">
        <v>167</v>
      </c>
      <c r="R136" s="27" t="s">
        <v>167</v>
      </c>
      <c r="S136" s="10" t="s">
        <v>167</v>
      </c>
      <c r="T136" s="13">
        <v>0</v>
      </c>
      <c r="U136" s="13">
        <v>9.597E-2</v>
      </c>
      <c r="V136" s="13">
        <v>0</v>
      </c>
      <c r="W136" s="13">
        <v>0</v>
      </c>
      <c r="X136" s="13">
        <v>0</v>
      </c>
      <c r="Y136" s="1">
        <f t="shared" si="6"/>
        <v>1.9193999999999999E-2</v>
      </c>
      <c r="Z136" s="10" t="s">
        <v>168</v>
      </c>
      <c r="AA136" s="10" t="s">
        <v>168</v>
      </c>
      <c r="AB136" s="10" t="s">
        <v>168</v>
      </c>
      <c r="AC136" s="10" t="s">
        <v>168</v>
      </c>
      <c r="AD136" s="10" t="s">
        <v>168</v>
      </c>
      <c r="AE136" s="10" t="s">
        <v>168</v>
      </c>
      <c r="AF136" s="10" t="s">
        <v>168</v>
      </c>
      <c r="AG136" s="38">
        <f t="shared" si="7"/>
        <v>1</v>
      </c>
      <c r="AH136" s="51">
        <f t="shared" si="8"/>
        <v>1.9193999999999999E-2</v>
      </c>
      <c r="AI136" s="64"/>
      <c r="AJ136" s="72"/>
      <c r="AK136" s="65">
        <v>0</v>
      </c>
      <c r="AL136" s="1"/>
      <c r="AM136" s="1"/>
      <c r="AN136" s="81"/>
      <c r="AO136" s="81"/>
    </row>
    <row r="137" spans="1:41" s="26" customFormat="1" hidden="1" x14ac:dyDescent="0.25">
      <c r="A137" s="15" t="s">
        <v>667</v>
      </c>
      <c r="B137" s="8" t="s">
        <v>197</v>
      </c>
      <c r="C137" s="11">
        <v>1.9</v>
      </c>
      <c r="D137" s="18">
        <v>1200</v>
      </c>
      <c r="E137" s="18" t="s">
        <v>161</v>
      </c>
      <c r="F137" s="23"/>
      <c r="G137" s="9" t="s">
        <v>597</v>
      </c>
      <c r="H137" s="10" t="s">
        <v>161</v>
      </c>
      <c r="I137" s="10"/>
      <c r="J137" s="10"/>
      <c r="K137" s="11"/>
      <c r="L137" s="11" t="s">
        <v>533</v>
      </c>
      <c r="M137" s="10" t="s">
        <v>239</v>
      </c>
      <c r="N137" s="10"/>
      <c r="O137" s="12"/>
      <c r="P137" s="10"/>
      <c r="Q137" s="29"/>
      <c r="R137" s="29" t="s">
        <v>167</v>
      </c>
      <c r="S137" s="10" t="s">
        <v>167</v>
      </c>
      <c r="T137" s="13">
        <v>8.7859999999999994E-2</v>
      </c>
      <c r="U137" s="13">
        <v>0</v>
      </c>
      <c r="V137" s="13">
        <v>0</v>
      </c>
      <c r="W137" s="13">
        <v>0</v>
      </c>
      <c r="X137" s="13">
        <v>0</v>
      </c>
      <c r="Y137" s="1">
        <f t="shared" si="6"/>
        <v>1.7571999999999997E-2</v>
      </c>
      <c r="Z137" s="10" t="s">
        <v>168</v>
      </c>
      <c r="AA137" s="10" t="s">
        <v>168</v>
      </c>
      <c r="AB137" s="10" t="s">
        <v>168</v>
      </c>
      <c r="AC137" s="10" t="s">
        <v>168</v>
      </c>
      <c r="AD137" s="10" t="s">
        <v>168</v>
      </c>
      <c r="AE137" s="10" t="s">
        <v>168</v>
      </c>
      <c r="AF137" s="10" t="s">
        <v>168</v>
      </c>
      <c r="AG137" s="38">
        <f t="shared" si="7"/>
        <v>1</v>
      </c>
      <c r="AH137" s="51">
        <f t="shared" si="8"/>
        <v>1.7571999999999997E-2</v>
      </c>
      <c r="AI137" s="64"/>
      <c r="AJ137" s="72"/>
      <c r="AK137" s="65">
        <v>0</v>
      </c>
      <c r="AL137" s="1"/>
      <c r="AM137" s="1"/>
      <c r="AN137" s="81"/>
      <c r="AO137" s="81"/>
    </row>
    <row r="138" spans="1:41" s="26" customFormat="1" hidden="1" x14ac:dyDescent="0.25">
      <c r="A138" s="22" t="s">
        <v>668</v>
      </c>
      <c r="B138" s="2" t="s">
        <v>197</v>
      </c>
      <c r="C138" s="21">
        <v>1.5</v>
      </c>
      <c r="D138" s="23">
        <v>1100</v>
      </c>
      <c r="E138" s="23" t="s">
        <v>161</v>
      </c>
      <c r="F138" s="23"/>
      <c r="G138" s="3" t="s">
        <v>597</v>
      </c>
      <c r="H138" s="12" t="s">
        <v>161</v>
      </c>
      <c r="I138" s="12"/>
      <c r="J138" s="4"/>
      <c r="K138" s="5"/>
      <c r="L138" s="5" t="s">
        <v>533</v>
      </c>
      <c r="M138" s="4" t="s">
        <v>260</v>
      </c>
      <c r="N138" s="4"/>
      <c r="O138" s="12" t="s">
        <v>380</v>
      </c>
      <c r="P138" s="12" t="s">
        <v>167</v>
      </c>
      <c r="Q138" s="30" t="s">
        <v>167</v>
      </c>
      <c r="R138" s="27" t="s">
        <v>167</v>
      </c>
      <c r="S138" s="12" t="s">
        <v>167</v>
      </c>
      <c r="T138" s="13">
        <v>0</v>
      </c>
      <c r="U138" s="13">
        <v>0</v>
      </c>
      <c r="V138" s="13">
        <v>1.3672E-2</v>
      </c>
      <c r="W138" s="13">
        <v>2.5635000000000002E-2</v>
      </c>
      <c r="X138" s="13">
        <v>3.4180000000000002E-2</v>
      </c>
      <c r="Y138" s="1">
        <f t="shared" si="6"/>
        <v>1.4697399999999999E-2</v>
      </c>
      <c r="Z138" s="10" t="s">
        <v>168</v>
      </c>
      <c r="AA138" s="10" t="s">
        <v>168</v>
      </c>
      <c r="AB138" s="10" t="s">
        <v>168</v>
      </c>
      <c r="AC138" s="10" t="s">
        <v>168</v>
      </c>
      <c r="AD138" s="10" t="s">
        <v>168</v>
      </c>
      <c r="AE138" s="10" t="s">
        <v>168</v>
      </c>
      <c r="AF138" s="10" t="s">
        <v>168</v>
      </c>
      <c r="AG138" s="38">
        <f t="shared" si="7"/>
        <v>1</v>
      </c>
      <c r="AH138" s="51">
        <f t="shared" si="8"/>
        <v>1.4697399999999999E-2</v>
      </c>
      <c r="AI138" s="64"/>
      <c r="AJ138" s="72"/>
      <c r="AK138" s="65">
        <v>0</v>
      </c>
      <c r="AL138" s="1"/>
      <c r="AM138" s="1"/>
      <c r="AN138" s="81"/>
      <c r="AO138" s="81"/>
    </row>
    <row r="139" spans="1:41" s="26" customFormat="1" hidden="1" x14ac:dyDescent="0.25">
      <c r="A139" s="15" t="s">
        <v>669</v>
      </c>
      <c r="B139" s="8" t="s">
        <v>189</v>
      </c>
      <c r="C139" s="11">
        <v>0.8</v>
      </c>
      <c r="D139" s="18">
        <v>506</v>
      </c>
      <c r="E139" s="18" t="s">
        <v>161</v>
      </c>
      <c r="F139" s="23"/>
      <c r="G139" s="9" t="s">
        <v>670</v>
      </c>
      <c r="H139" s="10" t="s">
        <v>161</v>
      </c>
      <c r="I139" s="10"/>
      <c r="J139" s="10"/>
      <c r="K139" s="11"/>
      <c r="L139" s="11" t="s">
        <v>533</v>
      </c>
      <c r="M139" s="10" t="s">
        <v>338</v>
      </c>
      <c r="N139" s="10" t="s">
        <v>671</v>
      </c>
      <c r="O139" s="12"/>
      <c r="P139" s="10"/>
      <c r="Q139" s="29"/>
      <c r="R139" s="29" t="s">
        <v>167</v>
      </c>
      <c r="S139" s="10" t="s">
        <v>167</v>
      </c>
      <c r="T139" s="13">
        <v>7.3037999999999992E-2</v>
      </c>
      <c r="U139" s="13">
        <v>0</v>
      </c>
      <c r="V139" s="13">
        <v>0</v>
      </c>
      <c r="W139" s="13">
        <v>0</v>
      </c>
      <c r="X139" s="13">
        <v>0</v>
      </c>
      <c r="Y139" s="1">
        <f t="shared" si="6"/>
        <v>1.4607599999999998E-2</v>
      </c>
      <c r="Z139" s="10" t="s">
        <v>168</v>
      </c>
      <c r="AA139" s="10" t="s">
        <v>168</v>
      </c>
      <c r="AB139" s="10" t="s">
        <v>168</v>
      </c>
      <c r="AC139" s="10" t="s">
        <v>168</v>
      </c>
      <c r="AD139" s="10" t="s">
        <v>168</v>
      </c>
      <c r="AE139" s="10" t="s">
        <v>168</v>
      </c>
      <c r="AF139" s="10" t="s">
        <v>168</v>
      </c>
      <c r="AG139" s="38">
        <f t="shared" si="7"/>
        <v>1</v>
      </c>
      <c r="AH139" s="51">
        <f t="shared" si="8"/>
        <v>1.4607599999999998E-2</v>
      </c>
      <c r="AI139" s="64"/>
      <c r="AJ139" s="72"/>
      <c r="AK139" s="65">
        <v>0</v>
      </c>
      <c r="AL139" s="1"/>
      <c r="AM139" s="1"/>
      <c r="AN139" s="81"/>
      <c r="AO139" s="81"/>
    </row>
    <row r="140" spans="1:41" s="26" customFormat="1" hidden="1" x14ac:dyDescent="0.25">
      <c r="A140" s="22" t="s">
        <v>672</v>
      </c>
      <c r="B140" s="2" t="s">
        <v>431</v>
      </c>
      <c r="C140" s="21">
        <v>2</v>
      </c>
      <c r="D140" s="23">
        <v>1200</v>
      </c>
      <c r="E140" s="23">
        <v>2000</v>
      </c>
      <c r="F140" s="23"/>
      <c r="G140" s="3" t="s">
        <v>673</v>
      </c>
      <c r="H140" s="12" t="s">
        <v>161</v>
      </c>
      <c r="I140" s="12"/>
      <c r="J140" s="4"/>
      <c r="K140" s="5"/>
      <c r="L140" s="5" t="s">
        <v>533</v>
      </c>
      <c r="M140" s="4"/>
      <c r="N140" s="4" t="s">
        <v>674</v>
      </c>
      <c r="O140" s="12" t="s">
        <v>380</v>
      </c>
      <c r="P140" s="16" t="s">
        <v>167</v>
      </c>
      <c r="Q140" s="30" t="s">
        <v>167</v>
      </c>
      <c r="R140" s="27" t="s">
        <v>167</v>
      </c>
      <c r="S140" s="10" t="s">
        <v>167</v>
      </c>
      <c r="T140" s="13">
        <v>8.0999999999999996E-3</v>
      </c>
      <c r="U140" s="13">
        <v>6.4800000000000005E-3</v>
      </c>
      <c r="V140" s="13">
        <v>1.6199999999999999E-2</v>
      </c>
      <c r="W140" s="13">
        <v>1.6199999999999999E-2</v>
      </c>
      <c r="X140" s="13">
        <v>1.6199999999999999E-2</v>
      </c>
      <c r="Y140" s="1">
        <f t="shared" si="6"/>
        <v>1.2635999999999998E-2</v>
      </c>
      <c r="Z140" s="10" t="s">
        <v>168</v>
      </c>
      <c r="AA140" s="10" t="s">
        <v>168</v>
      </c>
      <c r="AB140" s="10" t="s">
        <v>168</v>
      </c>
      <c r="AC140" s="10" t="s">
        <v>168</v>
      </c>
      <c r="AD140" s="10" t="s">
        <v>168</v>
      </c>
      <c r="AE140" s="10" t="s">
        <v>168</v>
      </c>
      <c r="AF140" s="10" t="s">
        <v>168</v>
      </c>
      <c r="AG140" s="38">
        <f t="shared" si="7"/>
        <v>1</v>
      </c>
      <c r="AH140" s="51">
        <f t="shared" si="8"/>
        <v>1.2635999999999998E-2</v>
      </c>
      <c r="AI140" s="64"/>
      <c r="AJ140" s="72"/>
      <c r="AK140" s="65">
        <v>0</v>
      </c>
      <c r="AL140" s="1"/>
      <c r="AM140" s="1"/>
      <c r="AN140" s="81"/>
      <c r="AO140" s="81"/>
    </row>
    <row r="141" spans="1:41" s="26" customFormat="1" hidden="1" x14ac:dyDescent="0.25">
      <c r="A141" s="22" t="s">
        <v>675</v>
      </c>
      <c r="B141" s="2" t="s">
        <v>172</v>
      </c>
      <c r="C141" s="21">
        <v>3</v>
      </c>
      <c r="D141" s="23">
        <v>175</v>
      </c>
      <c r="E141" s="23">
        <v>85</v>
      </c>
      <c r="F141" s="77">
        <v>0.125</v>
      </c>
      <c r="G141" s="3"/>
      <c r="H141" s="12" t="s">
        <v>161</v>
      </c>
      <c r="I141" s="12"/>
      <c r="J141" s="4"/>
      <c r="K141" s="5"/>
      <c r="L141" s="21" t="s">
        <v>533</v>
      </c>
      <c r="M141" s="4"/>
      <c r="N141" s="4"/>
      <c r="O141" s="12" t="s">
        <v>380</v>
      </c>
      <c r="P141" s="16"/>
      <c r="Q141" s="30"/>
      <c r="R141" s="27" t="s">
        <v>167</v>
      </c>
      <c r="S141" s="10" t="s">
        <v>167</v>
      </c>
      <c r="T141" s="13">
        <v>0</v>
      </c>
      <c r="U141" s="13">
        <v>6.0503999999999995E-2</v>
      </c>
      <c r="V141" s="13">
        <v>0</v>
      </c>
      <c r="W141" s="13">
        <v>0</v>
      </c>
      <c r="X141" s="13">
        <v>0</v>
      </c>
      <c r="Y141" s="1">
        <f t="shared" si="6"/>
        <v>1.2100799999999998E-2</v>
      </c>
      <c r="Z141" s="10" t="s">
        <v>168</v>
      </c>
      <c r="AA141" s="10" t="s">
        <v>168</v>
      </c>
      <c r="AB141" s="10" t="s">
        <v>168</v>
      </c>
      <c r="AC141" s="10" t="s">
        <v>168</v>
      </c>
      <c r="AD141" s="10" t="s">
        <v>168</v>
      </c>
      <c r="AE141" s="10" t="s">
        <v>168</v>
      </c>
      <c r="AF141" s="10" t="s">
        <v>168</v>
      </c>
      <c r="AG141" s="38">
        <f t="shared" si="7"/>
        <v>1</v>
      </c>
      <c r="AH141" s="51">
        <f t="shared" si="8"/>
        <v>1.2100799999999998E-2</v>
      </c>
      <c r="AI141" s="64"/>
      <c r="AJ141" s="72"/>
      <c r="AK141" s="65">
        <v>0</v>
      </c>
      <c r="AL141" s="1"/>
      <c r="AM141" s="1"/>
      <c r="AN141" s="81"/>
      <c r="AO141" s="81"/>
    </row>
    <row r="142" spans="1:41" s="26" customFormat="1" hidden="1" x14ac:dyDescent="0.25">
      <c r="A142" s="15" t="s">
        <v>676</v>
      </c>
      <c r="B142" s="8" t="s">
        <v>203</v>
      </c>
      <c r="C142" s="11">
        <v>0.8</v>
      </c>
      <c r="D142" s="18">
        <v>1200</v>
      </c>
      <c r="E142" s="18">
        <v>490</v>
      </c>
      <c r="F142" s="23"/>
      <c r="G142" s="9" t="s">
        <v>677</v>
      </c>
      <c r="H142" s="10" t="s">
        <v>161</v>
      </c>
      <c r="I142" s="10"/>
      <c r="J142" s="10"/>
      <c r="K142" s="11"/>
      <c r="L142" s="11" t="s">
        <v>533</v>
      </c>
      <c r="M142" s="10" t="s">
        <v>338</v>
      </c>
      <c r="N142" s="10" t="s">
        <v>671</v>
      </c>
      <c r="O142" s="12"/>
      <c r="P142" s="10" t="s">
        <v>167</v>
      </c>
      <c r="Q142" s="29" t="s">
        <v>167</v>
      </c>
      <c r="R142" s="29" t="s">
        <v>167</v>
      </c>
      <c r="S142" s="10" t="s">
        <v>167</v>
      </c>
      <c r="T142" s="13">
        <v>5.6040000000000006E-2</v>
      </c>
      <c r="U142" s="13">
        <v>0</v>
      </c>
      <c r="V142" s="13">
        <v>0</v>
      </c>
      <c r="W142" s="13">
        <v>0</v>
      </c>
      <c r="X142" s="13">
        <v>0</v>
      </c>
      <c r="Y142" s="1">
        <f t="shared" si="6"/>
        <v>1.1208000000000001E-2</v>
      </c>
      <c r="Z142" s="10" t="s">
        <v>168</v>
      </c>
      <c r="AA142" s="10" t="s">
        <v>168</v>
      </c>
      <c r="AB142" s="10" t="s">
        <v>168</v>
      </c>
      <c r="AC142" s="10" t="s">
        <v>168</v>
      </c>
      <c r="AD142" s="10" t="s">
        <v>168</v>
      </c>
      <c r="AE142" s="10" t="s">
        <v>168</v>
      </c>
      <c r="AF142" s="10" t="s">
        <v>168</v>
      </c>
      <c r="AG142" s="38">
        <f t="shared" si="7"/>
        <v>1</v>
      </c>
      <c r="AH142" s="51">
        <f t="shared" si="8"/>
        <v>1.1208000000000001E-2</v>
      </c>
      <c r="AI142" s="64"/>
      <c r="AJ142" s="72"/>
      <c r="AK142" s="65">
        <v>0</v>
      </c>
      <c r="AL142" s="1"/>
      <c r="AM142" s="1"/>
      <c r="AN142" s="81"/>
      <c r="AO142" s="81"/>
    </row>
    <row r="143" spans="1:41" s="26" customFormat="1" hidden="1" x14ac:dyDescent="0.25">
      <c r="A143" s="15" t="s">
        <v>678</v>
      </c>
      <c r="B143" s="8" t="s">
        <v>197</v>
      </c>
      <c r="C143" s="11">
        <v>1</v>
      </c>
      <c r="D143" s="18">
        <v>920</v>
      </c>
      <c r="E143" s="18" t="s">
        <v>161</v>
      </c>
      <c r="F143" s="23"/>
      <c r="G143" s="9" t="s">
        <v>679</v>
      </c>
      <c r="H143" s="12" t="s">
        <v>161</v>
      </c>
      <c r="I143" s="12"/>
      <c r="J143" s="12"/>
      <c r="K143" s="14"/>
      <c r="L143" s="14" t="s">
        <v>533</v>
      </c>
      <c r="M143" s="12" t="s">
        <v>378</v>
      </c>
      <c r="N143" s="12" t="s">
        <v>680</v>
      </c>
      <c r="O143" s="12"/>
      <c r="P143" s="12"/>
      <c r="Q143" s="30"/>
      <c r="R143" s="29" t="s">
        <v>167</v>
      </c>
      <c r="S143" s="12" t="s">
        <v>167</v>
      </c>
      <c r="T143" s="13">
        <v>4.9474999999999998E-2</v>
      </c>
      <c r="U143" s="13">
        <v>0</v>
      </c>
      <c r="V143" s="13">
        <v>0</v>
      </c>
      <c r="W143" s="13">
        <v>0</v>
      </c>
      <c r="X143" s="13">
        <v>0</v>
      </c>
      <c r="Y143" s="1">
        <f t="shared" si="6"/>
        <v>9.8949999999999993E-3</v>
      </c>
      <c r="Z143" s="10" t="s">
        <v>168</v>
      </c>
      <c r="AA143" s="10" t="s">
        <v>168</v>
      </c>
      <c r="AB143" s="10" t="s">
        <v>168</v>
      </c>
      <c r="AC143" s="10" t="s">
        <v>168</v>
      </c>
      <c r="AD143" s="10" t="s">
        <v>168</v>
      </c>
      <c r="AE143" s="10" t="s">
        <v>168</v>
      </c>
      <c r="AF143" s="10" t="s">
        <v>168</v>
      </c>
      <c r="AG143" s="38">
        <f t="shared" si="7"/>
        <v>1</v>
      </c>
      <c r="AH143" s="51">
        <f t="shared" si="8"/>
        <v>9.8949999999999993E-3</v>
      </c>
      <c r="AI143" s="64"/>
      <c r="AJ143" s="72"/>
      <c r="AK143" s="65">
        <v>0</v>
      </c>
      <c r="AL143" s="1"/>
      <c r="AM143" s="1"/>
      <c r="AN143" s="81"/>
      <c r="AO143" s="81"/>
    </row>
    <row r="144" spans="1:41" s="26" customFormat="1" hidden="1" x14ac:dyDescent="0.25">
      <c r="A144" s="15" t="s">
        <v>681</v>
      </c>
      <c r="B144" s="8" t="s">
        <v>189</v>
      </c>
      <c r="C144" s="11">
        <v>1.2</v>
      </c>
      <c r="D144" s="18">
        <v>375</v>
      </c>
      <c r="E144" s="18">
        <v>183</v>
      </c>
      <c r="F144" s="77">
        <v>5.5E-2</v>
      </c>
      <c r="G144" s="9" t="s">
        <v>682</v>
      </c>
      <c r="H144" s="12" t="s">
        <v>161</v>
      </c>
      <c r="I144" s="10"/>
      <c r="J144" s="12"/>
      <c r="K144" s="14"/>
      <c r="L144" s="14" t="s">
        <v>533</v>
      </c>
      <c r="M144" s="12" t="s">
        <v>338</v>
      </c>
      <c r="N144" s="12" t="s">
        <v>654</v>
      </c>
      <c r="O144" s="12" t="s">
        <v>380</v>
      </c>
      <c r="P144" s="12" t="s">
        <v>167</v>
      </c>
      <c r="Q144" s="30" t="s">
        <v>167</v>
      </c>
      <c r="R144" s="29" t="s">
        <v>167</v>
      </c>
      <c r="S144" s="12" t="s">
        <v>167</v>
      </c>
      <c r="T144" s="13">
        <v>1.4579999999999999E-2</v>
      </c>
      <c r="U144" s="13">
        <v>3.3534000000000001E-2</v>
      </c>
      <c r="V144" s="13">
        <v>0</v>
      </c>
      <c r="W144" s="13">
        <v>0</v>
      </c>
      <c r="X144" s="13">
        <v>0</v>
      </c>
      <c r="Y144" s="1">
        <f t="shared" si="6"/>
        <v>9.6228000000000008E-3</v>
      </c>
      <c r="Z144" s="10" t="s">
        <v>168</v>
      </c>
      <c r="AA144" s="10" t="s">
        <v>168</v>
      </c>
      <c r="AB144" s="10" t="s">
        <v>168</v>
      </c>
      <c r="AC144" s="10" t="s">
        <v>168</v>
      </c>
      <c r="AD144" s="10" t="s">
        <v>168</v>
      </c>
      <c r="AE144" s="10" t="s">
        <v>168</v>
      </c>
      <c r="AF144" s="10" t="s">
        <v>168</v>
      </c>
      <c r="AG144" s="38">
        <f t="shared" si="7"/>
        <v>1</v>
      </c>
      <c r="AH144" s="51">
        <f t="shared" si="8"/>
        <v>9.6228000000000008E-3</v>
      </c>
      <c r="AI144" s="64"/>
      <c r="AJ144" s="72"/>
      <c r="AK144" s="65">
        <v>0</v>
      </c>
      <c r="AL144" s="1"/>
      <c r="AM144" s="1"/>
      <c r="AN144" s="81"/>
      <c r="AO144" s="81"/>
    </row>
    <row r="145" spans="1:41" s="26" customFormat="1" hidden="1" x14ac:dyDescent="0.25">
      <c r="A145" s="15" t="s">
        <v>683</v>
      </c>
      <c r="B145" s="8" t="s">
        <v>203</v>
      </c>
      <c r="C145" s="11">
        <v>2.5</v>
      </c>
      <c r="D145" s="18">
        <v>525</v>
      </c>
      <c r="E145" s="18">
        <v>97</v>
      </c>
      <c r="F145" s="77">
        <v>0.105</v>
      </c>
      <c r="G145" s="9"/>
      <c r="H145" s="12" t="s">
        <v>161</v>
      </c>
      <c r="I145" s="12"/>
      <c r="J145" s="12"/>
      <c r="K145" s="14"/>
      <c r="L145" s="14" t="s">
        <v>533</v>
      </c>
      <c r="M145" s="12"/>
      <c r="N145" s="12"/>
      <c r="O145" s="12"/>
      <c r="P145" s="12" t="s">
        <v>167</v>
      </c>
      <c r="Q145" s="30" t="s">
        <v>167</v>
      </c>
      <c r="R145" s="29" t="s">
        <v>167</v>
      </c>
      <c r="S145" s="10" t="s">
        <v>167</v>
      </c>
      <c r="T145" s="13">
        <v>6.6299999999999996E-4</v>
      </c>
      <c r="U145" s="13">
        <v>2.4480000000000001E-3</v>
      </c>
      <c r="V145" s="13">
        <v>7.3439999999999998E-3</v>
      </c>
      <c r="W145" s="13">
        <v>7.3439999999999998E-3</v>
      </c>
      <c r="X145" s="13">
        <v>2.4480000000000001E-3</v>
      </c>
      <c r="Y145" s="1">
        <f t="shared" si="6"/>
        <v>4.0493999999999999E-3</v>
      </c>
      <c r="Z145" s="10" t="s">
        <v>168</v>
      </c>
      <c r="AA145" s="10" t="s">
        <v>168</v>
      </c>
      <c r="AB145" s="10" t="s">
        <v>168</v>
      </c>
      <c r="AC145" s="10" t="s">
        <v>168</v>
      </c>
      <c r="AD145" s="10" t="s">
        <v>168</v>
      </c>
      <c r="AE145" s="10" t="s">
        <v>168</v>
      </c>
      <c r="AF145" s="10" t="s">
        <v>168</v>
      </c>
      <c r="AG145" s="38">
        <f t="shared" si="7"/>
        <v>1</v>
      </c>
      <c r="AH145" s="51">
        <f t="shared" si="8"/>
        <v>4.0493999999999999E-3</v>
      </c>
      <c r="AI145" s="64"/>
      <c r="AJ145" s="72"/>
      <c r="AK145" s="65">
        <v>0</v>
      </c>
      <c r="AL145" s="1"/>
      <c r="AM145" s="1"/>
      <c r="AN145" s="81"/>
      <c r="AO145" s="81"/>
    </row>
    <row r="146" spans="1:41" s="26" customFormat="1" hidden="1" x14ac:dyDescent="0.25">
      <c r="A146" s="15" t="s">
        <v>684</v>
      </c>
      <c r="B146" s="8" t="s">
        <v>189</v>
      </c>
      <c r="C146" s="11">
        <v>1.5</v>
      </c>
      <c r="D146" s="18">
        <v>212</v>
      </c>
      <c r="E146" s="18" t="s">
        <v>161</v>
      </c>
      <c r="F146" s="23"/>
      <c r="G146" s="9"/>
      <c r="H146" s="12" t="s">
        <v>161</v>
      </c>
      <c r="I146" s="12"/>
      <c r="J146" s="12"/>
      <c r="K146" s="14"/>
      <c r="L146" s="14" t="s">
        <v>533</v>
      </c>
      <c r="M146" s="12"/>
      <c r="N146" s="12"/>
      <c r="O146" s="12"/>
      <c r="P146" s="16" t="s">
        <v>167</v>
      </c>
      <c r="Q146" s="30" t="s">
        <v>167</v>
      </c>
      <c r="R146" s="29" t="s">
        <v>167</v>
      </c>
      <c r="S146" s="12" t="s">
        <v>167</v>
      </c>
      <c r="T146" s="13">
        <v>4.4279999999999996E-3</v>
      </c>
      <c r="U146" s="13">
        <v>0</v>
      </c>
      <c r="V146" s="13">
        <v>1.9680000000000001E-3</v>
      </c>
      <c r="W146" s="13">
        <v>4.9199999999999999E-3</v>
      </c>
      <c r="X146" s="13">
        <v>8.6099999999999996E-3</v>
      </c>
      <c r="Y146" s="1">
        <f t="shared" si="6"/>
        <v>3.9851999999999995E-3</v>
      </c>
      <c r="Z146" s="10" t="s">
        <v>168</v>
      </c>
      <c r="AA146" s="10" t="s">
        <v>168</v>
      </c>
      <c r="AB146" s="10" t="s">
        <v>168</v>
      </c>
      <c r="AC146" s="10" t="s">
        <v>168</v>
      </c>
      <c r="AD146" s="10" t="s">
        <v>168</v>
      </c>
      <c r="AE146" s="10" t="s">
        <v>168</v>
      </c>
      <c r="AF146" s="10" t="s">
        <v>168</v>
      </c>
      <c r="AG146" s="38">
        <f t="shared" si="7"/>
        <v>1</v>
      </c>
      <c r="AH146" s="51">
        <f t="shared" si="8"/>
        <v>3.9851999999999995E-3</v>
      </c>
      <c r="AI146" s="64"/>
      <c r="AJ146" s="72"/>
      <c r="AK146" s="65">
        <v>0</v>
      </c>
      <c r="AL146" s="1"/>
      <c r="AM146" s="1"/>
      <c r="AN146" s="81"/>
      <c r="AO146" s="81"/>
    </row>
    <row r="147" spans="1:41" s="26" customFormat="1" hidden="1" x14ac:dyDescent="0.25">
      <c r="A147" s="15" t="s">
        <v>685</v>
      </c>
      <c r="B147" s="8" t="s">
        <v>172</v>
      </c>
      <c r="C147" s="11">
        <v>8</v>
      </c>
      <c r="D147" s="18">
        <v>1200</v>
      </c>
      <c r="E147" s="18" t="s">
        <v>161</v>
      </c>
      <c r="F147" s="23"/>
      <c r="G147" s="9"/>
      <c r="H147" s="12" t="s">
        <v>161</v>
      </c>
      <c r="I147" s="12"/>
      <c r="J147" s="12"/>
      <c r="K147" s="14"/>
      <c r="L147" s="11" t="s">
        <v>533</v>
      </c>
      <c r="M147" s="12"/>
      <c r="N147" s="12"/>
      <c r="O147" s="12"/>
      <c r="P147" s="16"/>
      <c r="Q147" s="30"/>
      <c r="R147" s="29" t="s">
        <v>167</v>
      </c>
      <c r="S147" s="10" t="s">
        <v>167</v>
      </c>
      <c r="T147" s="13">
        <v>0</v>
      </c>
      <c r="U147" s="13">
        <v>1.3887999999999999E-2</v>
      </c>
      <c r="V147" s="13">
        <v>0</v>
      </c>
      <c r="W147" s="13">
        <v>0</v>
      </c>
      <c r="X147" s="13">
        <v>0</v>
      </c>
      <c r="Y147" s="1">
        <f t="shared" si="6"/>
        <v>2.7775999999999999E-3</v>
      </c>
      <c r="Z147" s="10" t="s">
        <v>168</v>
      </c>
      <c r="AA147" s="10" t="s">
        <v>168</v>
      </c>
      <c r="AB147" s="10" t="s">
        <v>168</v>
      </c>
      <c r="AC147" s="10" t="s">
        <v>168</v>
      </c>
      <c r="AD147" s="10" t="s">
        <v>168</v>
      </c>
      <c r="AE147" s="10" t="s">
        <v>168</v>
      </c>
      <c r="AF147" s="10" t="s">
        <v>168</v>
      </c>
      <c r="AG147" s="38">
        <f t="shared" si="7"/>
        <v>1</v>
      </c>
      <c r="AH147" s="51">
        <f t="shared" si="8"/>
        <v>2.7775999999999999E-3</v>
      </c>
      <c r="AI147" s="64"/>
      <c r="AJ147" s="72"/>
      <c r="AK147" s="65">
        <v>0</v>
      </c>
      <c r="AL147" s="1"/>
      <c r="AM147" s="1"/>
      <c r="AN147" s="81"/>
      <c r="AO147" s="81"/>
    </row>
    <row r="148" spans="1:41" s="26" customFormat="1" hidden="1" x14ac:dyDescent="0.25">
      <c r="A148" s="15" t="s">
        <v>686</v>
      </c>
      <c r="B148" s="8" t="s">
        <v>329</v>
      </c>
      <c r="C148" s="11">
        <v>0.8</v>
      </c>
      <c r="D148" s="18">
        <v>350</v>
      </c>
      <c r="E148" s="18">
        <v>135</v>
      </c>
      <c r="F148" s="77">
        <v>3.5000000000000003E-2</v>
      </c>
      <c r="G148" s="9" t="s">
        <v>687</v>
      </c>
      <c r="H148" s="10" t="s">
        <v>161</v>
      </c>
      <c r="I148" s="10"/>
      <c r="J148" s="10"/>
      <c r="K148" s="11"/>
      <c r="L148" s="11" t="s">
        <v>533</v>
      </c>
      <c r="M148" s="10" t="s">
        <v>338</v>
      </c>
      <c r="N148" s="10" t="s">
        <v>320</v>
      </c>
      <c r="O148" s="12"/>
      <c r="P148" s="10" t="s">
        <v>167</v>
      </c>
      <c r="Q148" s="29" t="s">
        <v>167</v>
      </c>
      <c r="R148" s="29" t="s">
        <v>167</v>
      </c>
      <c r="S148" s="10" t="s">
        <v>167</v>
      </c>
      <c r="T148" s="13">
        <v>1.37E-2</v>
      </c>
      <c r="U148" s="13">
        <v>0</v>
      </c>
      <c r="V148" s="13">
        <v>0</v>
      </c>
      <c r="W148" s="13">
        <v>0</v>
      </c>
      <c r="X148" s="13">
        <v>0</v>
      </c>
      <c r="Y148" s="1">
        <f t="shared" si="6"/>
        <v>2.7400000000000002E-3</v>
      </c>
      <c r="Z148" s="10" t="s">
        <v>168</v>
      </c>
      <c r="AA148" s="10" t="s">
        <v>168</v>
      </c>
      <c r="AB148" s="10" t="s">
        <v>168</v>
      </c>
      <c r="AC148" s="10" t="s">
        <v>168</v>
      </c>
      <c r="AD148" s="10" t="s">
        <v>168</v>
      </c>
      <c r="AE148" s="10" t="s">
        <v>168</v>
      </c>
      <c r="AF148" s="10" t="s">
        <v>168</v>
      </c>
      <c r="AG148" s="38">
        <f t="shared" si="7"/>
        <v>1</v>
      </c>
      <c r="AH148" s="51">
        <f t="shared" si="8"/>
        <v>2.7400000000000002E-3</v>
      </c>
      <c r="AI148" s="64"/>
      <c r="AJ148" s="72"/>
      <c r="AK148" s="65">
        <v>0</v>
      </c>
      <c r="AL148" s="1"/>
      <c r="AM148" s="1"/>
      <c r="AN148" s="81"/>
      <c r="AO148" s="81"/>
    </row>
    <row r="149" spans="1:41" s="26" customFormat="1" hidden="1" x14ac:dyDescent="0.25">
      <c r="A149" s="15" t="s">
        <v>688</v>
      </c>
      <c r="B149" s="8" t="s">
        <v>197</v>
      </c>
      <c r="C149" s="11">
        <v>0.9</v>
      </c>
      <c r="D149" s="18">
        <v>1500</v>
      </c>
      <c r="E149" s="18" t="s">
        <v>161</v>
      </c>
      <c r="F149" s="23"/>
      <c r="G149" s="9" t="s">
        <v>541</v>
      </c>
      <c r="H149" s="12" t="s">
        <v>161</v>
      </c>
      <c r="I149" s="10"/>
      <c r="J149" s="12"/>
      <c r="K149" s="14"/>
      <c r="L149" s="14" t="s">
        <v>533</v>
      </c>
      <c r="M149" s="12" t="s">
        <v>338</v>
      </c>
      <c r="N149" s="12" t="s">
        <v>671</v>
      </c>
      <c r="O149" s="12"/>
      <c r="P149" s="12" t="s">
        <v>167</v>
      </c>
      <c r="Q149" s="30" t="s">
        <v>167</v>
      </c>
      <c r="R149" s="29" t="s">
        <v>167</v>
      </c>
      <c r="S149" s="10" t="s">
        <v>167</v>
      </c>
      <c r="T149" s="13">
        <v>1.1865000000000002E-2</v>
      </c>
      <c r="U149" s="13">
        <v>0</v>
      </c>
      <c r="V149" s="13">
        <v>0</v>
      </c>
      <c r="W149" s="13">
        <v>0</v>
      </c>
      <c r="X149" s="13">
        <v>0</v>
      </c>
      <c r="Y149" s="1">
        <f t="shared" si="6"/>
        <v>2.3730000000000005E-3</v>
      </c>
      <c r="Z149" s="10" t="s">
        <v>168</v>
      </c>
      <c r="AA149" s="10" t="s">
        <v>168</v>
      </c>
      <c r="AB149" s="10" t="s">
        <v>168</v>
      </c>
      <c r="AC149" s="10" t="s">
        <v>168</v>
      </c>
      <c r="AD149" s="10" t="s">
        <v>168</v>
      </c>
      <c r="AE149" s="10" t="s">
        <v>168</v>
      </c>
      <c r="AF149" s="10" t="s">
        <v>168</v>
      </c>
      <c r="AG149" s="38">
        <f t="shared" si="7"/>
        <v>1</v>
      </c>
      <c r="AH149" s="51">
        <f t="shared" si="8"/>
        <v>2.3730000000000005E-3</v>
      </c>
      <c r="AI149" s="64"/>
      <c r="AJ149" s="72"/>
      <c r="AK149" s="65">
        <v>0</v>
      </c>
      <c r="AL149" s="1"/>
      <c r="AM149" s="1"/>
      <c r="AN149" s="81"/>
      <c r="AO149" s="81"/>
    </row>
    <row r="150" spans="1:41" s="26" customFormat="1" hidden="1" x14ac:dyDescent="0.25">
      <c r="A150" s="15" t="s">
        <v>689</v>
      </c>
      <c r="B150" s="8" t="s">
        <v>431</v>
      </c>
      <c r="C150" s="11">
        <v>4.75</v>
      </c>
      <c r="D150" s="18">
        <v>1200</v>
      </c>
      <c r="E150" s="18">
        <v>1390</v>
      </c>
      <c r="F150" s="23"/>
      <c r="G150" s="9"/>
      <c r="H150" s="12" t="s">
        <v>161</v>
      </c>
      <c r="I150" s="12"/>
      <c r="J150" s="12"/>
      <c r="K150" s="14"/>
      <c r="L150" s="11" t="s">
        <v>533</v>
      </c>
      <c r="M150" s="12"/>
      <c r="N150" s="12"/>
      <c r="O150" s="12"/>
      <c r="P150" s="16"/>
      <c r="Q150" s="30"/>
      <c r="R150" s="29" t="s">
        <v>167</v>
      </c>
      <c r="S150" s="10" t="s">
        <v>167</v>
      </c>
      <c r="T150" s="13">
        <v>0</v>
      </c>
      <c r="U150" s="13">
        <v>9.7140000000000004E-3</v>
      </c>
      <c r="V150" s="13">
        <v>0</v>
      </c>
      <c r="W150" s="13">
        <v>0</v>
      </c>
      <c r="X150" s="13">
        <v>0</v>
      </c>
      <c r="Y150" s="1">
        <f t="shared" si="6"/>
        <v>1.9428000000000002E-3</v>
      </c>
      <c r="Z150" s="10" t="s">
        <v>168</v>
      </c>
      <c r="AA150" s="10" t="s">
        <v>168</v>
      </c>
      <c r="AB150" s="10" t="s">
        <v>168</v>
      </c>
      <c r="AC150" s="10" t="s">
        <v>168</v>
      </c>
      <c r="AD150" s="10" t="s">
        <v>168</v>
      </c>
      <c r="AE150" s="10" t="s">
        <v>168</v>
      </c>
      <c r="AF150" s="10" t="s">
        <v>168</v>
      </c>
      <c r="AG150" s="38">
        <f t="shared" si="7"/>
        <v>1</v>
      </c>
      <c r="AH150" s="51">
        <f t="shared" si="8"/>
        <v>1.9428000000000002E-3</v>
      </c>
      <c r="AI150" s="64"/>
      <c r="AJ150" s="72"/>
      <c r="AK150" s="65">
        <v>0</v>
      </c>
      <c r="AL150" s="1"/>
      <c r="AM150" s="1"/>
      <c r="AN150" s="81"/>
      <c r="AO150" s="81"/>
    </row>
    <row r="151" spans="1:41" s="26" customFormat="1" x14ac:dyDescent="0.25">
      <c r="A151" s="15" t="s">
        <v>690</v>
      </c>
      <c r="B151" s="8" t="s">
        <v>624</v>
      </c>
      <c r="C151" s="11">
        <v>0.7</v>
      </c>
      <c r="D151" s="18">
        <v>750</v>
      </c>
      <c r="E151" s="18">
        <v>241</v>
      </c>
      <c r="F151" s="77">
        <v>0.04</v>
      </c>
      <c r="G151" s="9"/>
      <c r="H151" s="10" t="s">
        <v>161</v>
      </c>
      <c r="I151" s="10"/>
      <c r="J151" s="10"/>
      <c r="K151" s="11"/>
      <c r="L151" s="11" t="s">
        <v>533</v>
      </c>
      <c r="M151" s="10" t="s">
        <v>24</v>
      </c>
      <c r="N151" s="10" t="s">
        <v>691</v>
      </c>
      <c r="O151" s="12"/>
      <c r="P151" s="10"/>
      <c r="Q151" s="29"/>
      <c r="R151" s="29" t="s">
        <v>167</v>
      </c>
      <c r="S151" s="10" t="s">
        <v>167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">
        <f t="shared" si="6"/>
        <v>0</v>
      </c>
      <c r="Z151" s="10"/>
      <c r="AA151" s="10"/>
      <c r="AB151" s="10"/>
      <c r="AC151" s="10"/>
      <c r="AD151" s="10"/>
      <c r="AE151" s="10"/>
      <c r="AF151" s="10"/>
      <c r="AG151" s="38">
        <f t="shared" si="7"/>
        <v>0</v>
      </c>
      <c r="AH151" s="51" t="str">
        <f t="shared" si="8"/>
        <v xml:space="preserve"> </v>
      </c>
      <c r="AI151" s="64"/>
      <c r="AJ151" s="72"/>
      <c r="AK151" s="65">
        <v>0</v>
      </c>
      <c r="AL151" s="1"/>
      <c r="AM151" s="1"/>
      <c r="AN151" s="81"/>
      <c r="AO151" s="81"/>
    </row>
    <row r="152" spans="1:41" s="26" customFormat="1" x14ac:dyDescent="0.25">
      <c r="A152" s="15" t="s">
        <v>692</v>
      </c>
      <c r="B152" s="8" t="s">
        <v>376</v>
      </c>
      <c r="C152" s="11">
        <v>0.7</v>
      </c>
      <c r="D152" s="18">
        <v>197</v>
      </c>
      <c r="E152" s="18">
        <v>775</v>
      </c>
      <c r="F152" s="23"/>
      <c r="G152" s="9" t="s">
        <v>693</v>
      </c>
      <c r="H152" s="10" t="s">
        <v>161</v>
      </c>
      <c r="I152" s="10"/>
      <c r="J152" s="10"/>
      <c r="K152" s="11"/>
      <c r="L152" s="11" t="s">
        <v>464</v>
      </c>
      <c r="M152" s="10" t="s">
        <v>338</v>
      </c>
      <c r="N152" s="10" t="s">
        <v>694</v>
      </c>
      <c r="O152" s="12"/>
      <c r="P152" s="10" t="s">
        <v>167</v>
      </c>
      <c r="Q152" s="29" t="s">
        <v>167</v>
      </c>
      <c r="R152" s="29" t="s">
        <v>167</v>
      </c>
      <c r="S152" s="10" t="s">
        <v>167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">
        <f t="shared" si="6"/>
        <v>0</v>
      </c>
      <c r="Z152" s="10"/>
      <c r="AA152" s="10"/>
      <c r="AB152" s="10"/>
      <c r="AC152" s="10"/>
      <c r="AD152" s="10"/>
      <c r="AE152" s="10"/>
      <c r="AF152" s="10"/>
      <c r="AG152" s="38">
        <f t="shared" si="7"/>
        <v>0</v>
      </c>
      <c r="AH152" s="51" t="str">
        <f t="shared" si="8"/>
        <v xml:space="preserve"> </v>
      </c>
      <c r="AI152" s="64"/>
      <c r="AJ152" s="72"/>
      <c r="AK152" s="65">
        <v>0</v>
      </c>
      <c r="AL152" s="1"/>
      <c r="AM152" s="1"/>
      <c r="AN152" s="81"/>
      <c r="AO152" s="81"/>
    </row>
    <row r="153" spans="1:41" s="26" customFormat="1" x14ac:dyDescent="0.25">
      <c r="A153" s="15" t="s">
        <v>695</v>
      </c>
      <c r="B153" s="8" t="s">
        <v>453</v>
      </c>
      <c r="C153" s="11">
        <v>0.9</v>
      </c>
      <c r="D153" s="18">
        <v>1250</v>
      </c>
      <c r="E153" s="18" t="s">
        <v>161</v>
      </c>
      <c r="F153" s="23"/>
      <c r="G153" s="9" t="s">
        <v>696</v>
      </c>
      <c r="H153" s="10" t="s">
        <v>161</v>
      </c>
      <c r="I153" s="10"/>
      <c r="J153" s="10"/>
      <c r="K153" s="11"/>
      <c r="L153" s="11" t="s">
        <v>533</v>
      </c>
      <c r="M153" s="12" t="s">
        <v>378</v>
      </c>
      <c r="N153" s="10" t="s">
        <v>549</v>
      </c>
      <c r="O153" s="12"/>
      <c r="P153" s="10"/>
      <c r="Q153" s="29"/>
      <c r="R153" s="29" t="s">
        <v>167</v>
      </c>
      <c r="S153" s="10" t="s">
        <v>167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">
        <f t="shared" si="6"/>
        <v>0</v>
      </c>
      <c r="Z153" s="10"/>
      <c r="AA153" s="10"/>
      <c r="AB153" s="10"/>
      <c r="AC153" s="10"/>
      <c r="AD153" s="10"/>
      <c r="AE153" s="10"/>
      <c r="AF153" s="10"/>
      <c r="AG153" s="38">
        <f t="shared" si="7"/>
        <v>0</v>
      </c>
      <c r="AH153" s="51" t="str">
        <f t="shared" si="8"/>
        <v xml:space="preserve"> </v>
      </c>
      <c r="AI153" s="64"/>
      <c r="AJ153" s="72"/>
      <c r="AK153" s="65">
        <v>0</v>
      </c>
      <c r="AL153" s="1"/>
      <c r="AM153" s="1"/>
      <c r="AN153" s="81"/>
      <c r="AO153" s="81"/>
    </row>
    <row r="154" spans="1:41" s="26" customFormat="1" x14ac:dyDescent="0.25">
      <c r="A154" s="15" t="s">
        <v>697</v>
      </c>
      <c r="B154" s="8" t="s">
        <v>197</v>
      </c>
      <c r="C154" s="11">
        <v>0.6</v>
      </c>
      <c r="D154" s="18">
        <v>1600</v>
      </c>
      <c r="E154" s="18" t="s">
        <v>161</v>
      </c>
      <c r="F154" s="23"/>
      <c r="G154" s="9" t="s">
        <v>698</v>
      </c>
      <c r="H154" s="12" t="s">
        <v>161</v>
      </c>
      <c r="I154" s="10"/>
      <c r="J154" s="12"/>
      <c r="K154" s="14"/>
      <c r="L154" s="14" t="s">
        <v>533</v>
      </c>
      <c r="M154" s="12" t="s">
        <v>378</v>
      </c>
      <c r="N154" s="12" t="s">
        <v>649</v>
      </c>
      <c r="O154" s="12"/>
      <c r="P154" s="12"/>
      <c r="Q154" s="30"/>
      <c r="R154" s="29" t="s">
        <v>167</v>
      </c>
      <c r="S154" s="10" t="s">
        <v>167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">
        <f t="shared" si="6"/>
        <v>0</v>
      </c>
      <c r="Z154" s="10"/>
      <c r="AA154" s="10"/>
      <c r="AB154" s="10"/>
      <c r="AC154" s="10"/>
      <c r="AD154" s="10"/>
      <c r="AE154" s="10"/>
      <c r="AF154" s="10"/>
      <c r="AG154" s="38">
        <f t="shared" si="7"/>
        <v>0</v>
      </c>
      <c r="AH154" s="51" t="str">
        <f t="shared" si="8"/>
        <v xml:space="preserve"> </v>
      </c>
      <c r="AI154" s="64"/>
      <c r="AJ154" s="72"/>
      <c r="AK154" s="65">
        <v>0</v>
      </c>
      <c r="AL154" s="1"/>
      <c r="AM154" s="1"/>
      <c r="AN154" s="81"/>
      <c r="AO154" s="81"/>
    </row>
    <row r="155" spans="1:41" s="26" customFormat="1" x14ac:dyDescent="0.25">
      <c r="A155" s="15" t="s">
        <v>699</v>
      </c>
      <c r="B155" s="8" t="s">
        <v>197</v>
      </c>
      <c r="C155" s="11">
        <v>0.6</v>
      </c>
      <c r="D155" s="18">
        <v>1300</v>
      </c>
      <c r="E155" s="18" t="s">
        <v>161</v>
      </c>
      <c r="F155" s="23"/>
      <c r="G155" s="9" t="s">
        <v>700</v>
      </c>
      <c r="H155" s="10" t="s">
        <v>161</v>
      </c>
      <c r="I155" s="10"/>
      <c r="J155" s="10"/>
      <c r="K155" s="11"/>
      <c r="L155" s="11" t="s">
        <v>39</v>
      </c>
      <c r="M155" s="12" t="s">
        <v>217</v>
      </c>
      <c r="N155" s="10" t="s">
        <v>671</v>
      </c>
      <c r="O155" s="12"/>
      <c r="P155" s="10"/>
      <c r="Q155" s="29"/>
      <c r="R155" s="29" t="s">
        <v>167</v>
      </c>
      <c r="S155" s="10" t="s">
        <v>167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">
        <f t="shared" si="6"/>
        <v>0</v>
      </c>
      <c r="Z155" s="10"/>
      <c r="AA155" s="10"/>
      <c r="AB155" s="10"/>
      <c r="AC155" s="10"/>
      <c r="AD155" s="10"/>
      <c r="AE155" s="10"/>
      <c r="AF155" s="10"/>
      <c r="AG155" s="38">
        <f t="shared" si="7"/>
        <v>0</v>
      </c>
      <c r="AH155" s="51" t="str">
        <f t="shared" si="8"/>
        <v xml:space="preserve"> </v>
      </c>
      <c r="AI155" s="64"/>
      <c r="AJ155" s="72"/>
      <c r="AK155" s="65">
        <v>0</v>
      </c>
      <c r="AL155" s="1"/>
      <c r="AM155" s="1"/>
      <c r="AN155" s="81"/>
      <c r="AO155" s="81"/>
    </row>
    <row r="156" spans="1:41" s="26" customFormat="1" x14ac:dyDescent="0.25">
      <c r="A156" s="15" t="s">
        <v>701</v>
      </c>
      <c r="B156" s="8" t="s">
        <v>197</v>
      </c>
      <c r="C156" s="11">
        <v>0.8</v>
      </c>
      <c r="D156" s="18">
        <v>900</v>
      </c>
      <c r="E156" s="18">
        <v>0</v>
      </c>
      <c r="F156" s="77">
        <v>0</v>
      </c>
      <c r="G156" s="9" t="s">
        <v>702</v>
      </c>
      <c r="H156" s="10" t="s">
        <v>161</v>
      </c>
      <c r="I156" s="10"/>
      <c r="J156" s="10"/>
      <c r="K156" s="11"/>
      <c r="L156" s="11" t="s">
        <v>533</v>
      </c>
      <c r="M156" s="10" t="s">
        <v>378</v>
      </c>
      <c r="N156" s="10" t="s">
        <v>703</v>
      </c>
      <c r="O156" s="12"/>
      <c r="P156" s="10"/>
      <c r="Q156" s="29"/>
      <c r="R156" s="29" t="s">
        <v>167</v>
      </c>
      <c r="S156" s="10" t="s">
        <v>167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">
        <f t="shared" si="6"/>
        <v>0</v>
      </c>
      <c r="Z156" s="10"/>
      <c r="AA156" s="10"/>
      <c r="AB156" s="10"/>
      <c r="AC156" s="10"/>
      <c r="AD156" s="10"/>
      <c r="AE156" s="10"/>
      <c r="AF156" s="10"/>
      <c r="AG156" s="38">
        <f t="shared" si="7"/>
        <v>0</v>
      </c>
      <c r="AH156" s="51" t="str">
        <f t="shared" si="8"/>
        <v xml:space="preserve"> </v>
      </c>
      <c r="AI156" s="64"/>
      <c r="AJ156" s="72"/>
      <c r="AK156" s="65">
        <v>0</v>
      </c>
      <c r="AL156" s="1"/>
      <c r="AM156" s="1"/>
      <c r="AN156" s="81"/>
      <c r="AO156" s="81"/>
    </row>
    <row r="157" spans="1:41" s="26" customFormat="1" x14ac:dyDescent="0.25">
      <c r="A157" s="15" t="s">
        <v>704</v>
      </c>
      <c r="B157" s="8" t="s">
        <v>197</v>
      </c>
      <c r="C157" s="11">
        <v>0.7</v>
      </c>
      <c r="D157" s="18">
        <v>1500</v>
      </c>
      <c r="E157" s="18" t="s">
        <v>161</v>
      </c>
      <c r="F157" s="23"/>
      <c r="G157" s="9" t="s">
        <v>705</v>
      </c>
      <c r="H157" s="12" t="s">
        <v>161</v>
      </c>
      <c r="I157" s="10"/>
      <c r="J157" s="12"/>
      <c r="K157" s="14"/>
      <c r="L157" s="14" t="s">
        <v>39</v>
      </c>
      <c r="M157" s="12" t="s">
        <v>217</v>
      </c>
      <c r="N157" s="12" t="s">
        <v>671</v>
      </c>
      <c r="O157" s="12"/>
      <c r="P157" s="12"/>
      <c r="Q157" s="30"/>
      <c r="R157" s="29" t="s">
        <v>167</v>
      </c>
      <c r="S157" s="10" t="s">
        <v>177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">
        <f t="shared" si="6"/>
        <v>0</v>
      </c>
      <c r="Z157" s="10"/>
      <c r="AA157" s="10"/>
      <c r="AB157" s="10"/>
      <c r="AC157" s="10"/>
      <c r="AD157" s="10"/>
      <c r="AE157" s="10"/>
      <c r="AF157" s="10"/>
      <c r="AG157" s="38">
        <f t="shared" si="7"/>
        <v>0</v>
      </c>
      <c r="AH157" s="51" t="str">
        <f t="shared" si="8"/>
        <v xml:space="preserve"> </v>
      </c>
      <c r="AI157" s="64"/>
      <c r="AJ157" s="72"/>
      <c r="AK157" s="65">
        <v>0</v>
      </c>
      <c r="AL157" s="1"/>
      <c r="AM157" s="1"/>
      <c r="AN157" s="81"/>
      <c r="AO157" s="81"/>
    </row>
    <row r="158" spans="1:41" s="26" customFormat="1" x14ac:dyDescent="0.25">
      <c r="A158" s="15" t="s">
        <v>706</v>
      </c>
      <c r="B158" s="8" t="s">
        <v>197</v>
      </c>
      <c r="C158" s="11">
        <v>0.7</v>
      </c>
      <c r="D158" s="18">
        <v>1400</v>
      </c>
      <c r="E158" s="18" t="s">
        <v>161</v>
      </c>
      <c r="F158" s="23"/>
      <c r="G158" s="9" t="s">
        <v>707</v>
      </c>
      <c r="H158" s="10" t="s">
        <v>161</v>
      </c>
      <c r="I158" s="10"/>
      <c r="J158" s="10"/>
      <c r="K158" s="11"/>
      <c r="L158" s="11" t="s">
        <v>533</v>
      </c>
      <c r="M158" s="10" t="s">
        <v>378</v>
      </c>
      <c r="N158" s="10" t="s">
        <v>649</v>
      </c>
      <c r="O158" s="12"/>
      <c r="P158" s="10"/>
      <c r="Q158" s="29"/>
      <c r="R158" s="29" t="s">
        <v>167</v>
      </c>
      <c r="S158" s="10" t="s">
        <v>167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">
        <f t="shared" si="6"/>
        <v>0</v>
      </c>
      <c r="Z158" s="10"/>
      <c r="AA158" s="10"/>
      <c r="AB158" s="10"/>
      <c r="AC158" s="10"/>
      <c r="AD158" s="10"/>
      <c r="AE158" s="10"/>
      <c r="AF158" s="10"/>
      <c r="AG158" s="38">
        <f t="shared" si="7"/>
        <v>0</v>
      </c>
      <c r="AH158" s="51" t="str">
        <f t="shared" si="8"/>
        <v xml:space="preserve"> </v>
      </c>
      <c r="AI158" s="64"/>
      <c r="AJ158" s="72"/>
      <c r="AK158" s="65">
        <v>0</v>
      </c>
      <c r="AL158" s="1"/>
      <c r="AM158" s="1"/>
      <c r="AN158" s="81"/>
      <c r="AO158" s="81"/>
    </row>
    <row r="159" spans="1:41" s="26" customFormat="1" x14ac:dyDescent="0.25">
      <c r="A159" s="15" t="s">
        <v>708</v>
      </c>
      <c r="B159" s="8" t="s">
        <v>197</v>
      </c>
      <c r="C159" s="11">
        <v>0.7</v>
      </c>
      <c r="D159" s="18">
        <v>450</v>
      </c>
      <c r="E159" s="18">
        <v>315</v>
      </c>
      <c r="F159" s="77">
        <v>0.04</v>
      </c>
      <c r="G159" s="9" t="s">
        <v>709</v>
      </c>
      <c r="H159" s="12" t="s">
        <v>161</v>
      </c>
      <c r="I159" s="10"/>
      <c r="J159" s="12"/>
      <c r="K159" s="14"/>
      <c r="L159" s="14" t="s">
        <v>533</v>
      </c>
      <c r="M159" s="12" t="s">
        <v>378</v>
      </c>
      <c r="N159" s="12" t="s">
        <v>649</v>
      </c>
      <c r="O159" s="12"/>
      <c r="P159" s="12"/>
      <c r="Q159" s="30"/>
      <c r="R159" s="29" t="s">
        <v>167</v>
      </c>
      <c r="S159" s="10" t="s">
        <v>167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">
        <f t="shared" si="6"/>
        <v>0</v>
      </c>
      <c r="Z159" s="10"/>
      <c r="AA159" s="10"/>
      <c r="AB159" s="10"/>
      <c r="AC159" s="10"/>
      <c r="AD159" s="10"/>
      <c r="AE159" s="10"/>
      <c r="AF159" s="10"/>
      <c r="AG159" s="38">
        <f t="shared" si="7"/>
        <v>0</v>
      </c>
      <c r="AH159" s="51" t="str">
        <f t="shared" si="8"/>
        <v xml:space="preserve"> </v>
      </c>
      <c r="AI159" s="64"/>
      <c r="AJ159" s="72"/>
      <c r="AK159" s="65">
        <v>0</v>
      </c>
      <c r="AL159" s="1"/>
      <c r="AM159" s="1"/>
      <c r="AN159" s="81"/>
      <c r="AO159" s="81"/>
    </row>
    <row r="160" spans="1:41" s="26" customFormat="1" x14ac:dyDescent="0.25">
      <c r="A160" s="15" t="s">
        <v>710</v>
      </c>
      <c r="B160" s="8" t="s">
        <v>197</v>
      </c>
      <c r="C160" s="11">
        <v>0.7</v>
      </c>
      <c r="D160" s="18">
        <v>1300</v>
      </c>
      <c r="E160" s="18" t="s">
        <v>161</v>
      </c>
      <c r="F160" s="23"/>
      <c r="G160" s="9" t="s">
        <v>711</v>
      </c>
      <c r="H160" s="12" t="s">
        <v>161</v>
      </c>
      <c r="I160" s="12"/>
      <c r="J160" s="12"/>
      <c r="K160" s="14"/>
      <c r="L160" s="14" t="s">
        <v>39</v>
      </c>
      <c r="M160" s="12" t="s">
        <v>378</v>
      </c>
      <c r="N160" s="10" t="s">
        <v>680</v>
      </c>
      <c r="O160" s="12"/>
      <c r="P160" s="12"/>
      <c r="Q160" s="30"/>
      <c r="R160" s="29" t="s">
        <v>167</v>
      </c>
      <c r="S160" s="12" t="s">
        <v>167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">
        <f t="shared" si="6"/>
        <v>0</v>
      </c>
      <c r="Z160" s="10"/>
      <c r="AA160" s="10"/>
      <c r="AB160" s="10"/>
      <c r="AC160" s="10"/>
      <c r="AD160" s="10"/>
      <c r="AE160" s="10"/>
      <c r="AF160" s="10"/>
      <c r="AG160" s="38">
        <f t="shared" si="7"/>
        <v>0</v>
      </c>
      <c r="AH160" s="51" t="str">
        <f t="shared" si="8"/>
        <v xml:space="preserve"> </v>
      </c>
      <c r="AI160" s="64"/>
      <c r="AJ160" s="72"/>
      <c r="AK160" s="65">
        <v>0</v>
      </c>
      <c r="AL160" s="1"/>
      <c r="AM160" s="1"/>
      <c r="AN160" s="81"/>
      <c r="AO160" s="81"/>
    </row>
    <row r="161" spans="1:41" s="26" customFormat="1" x14ac:dyDescent="0.25">
      <c r="A161" s="15" t="s">
        <v>712</v>
      </c>
      <c r="B161" s="8" t="s">
        <v>197</v>
      </c>
      <c r="C161" s="11">
        <v>0.8</v>
      </c>
      <c r="D161" s="18">
        <v>1150</v>
      </c>
      <c r="E161" s="18" t="s">
        <v>161</v>
      </c>
      <c r="F161" s="23"/>
      <c r="G161" s="9" t="s">
        <v>713</v>
      </c>
      <c r="H161" s="12" t="s">
        <v>161</v>
      </c>
      <c r="I161" s="12"/>
      <c r="J161" s="12"/>
      <c r="K161" s="14"/>
      <c r="L161" s="14" t="s">
        <v>533</v>
      </c>
      <c r="M161" s="12" t="s">
        <v>378</v>
      </c>
      <c r="N161" s="12" t="s">
        <v>549</v>
      </c>
      <c r="O161" s="12"/>
      <c r="P161" s="12"/>
      <c r="Q161" s="30"/>
      <c r="R161" s="29" t="s">
        <v>167</v>
      </c>
      <c r="S161" s="12" t="s">
        <v>167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">
        <f t="shared" si="6"/>
        <v>0</v>
      </c>
      <c r="Z161" s="10"/>
      <c r="AA161" s="10"/>
      <c r="AB161" s="10"/>
      <c r="AC161" s="10"/>
      <c r="AD161" s="10"/>
      <c r="AE161" s="10"/>
      <c r="AF161" s="10"/>
      <c r="AG161" s="38">
        <f t="shared" si="7"/>
        <v>0</v>
      </c>
      <c r="AH161" s="51" t="str">
        <f t="shared" si="8"/>
        <v xml:space="preserve"> </v>
      </c>
      <c r="AI161" s="64"/>
      <c r="AJ161" s="72"/>
      <c r="AK161" s="65">
        <v>0</v>
      </c>
      <c r="AL161" s="1"/>
      <c r="AM161" s="1"/>
      <c r="AN161" s="81"/>
      <c r="AO161" s="81"/>
    </row>
    <row r="162" spans="1:41" s="26" customFormat="1" x14ac:dyDescent="0.25">
      <c r="A162" s="15" t="s">
        <v>714</v>
      </c>
      <c r="B162" s="8" t="s">
        <v>197</v>
      </c>
      <c r="C162" s="11">
        <v>0.8</v>
      </c>
      <c r="D162" s="18">
        <v>1400</v>
      </c>
      <c r="E162" s="18" t="s">
        <v>161</v>
      </c>
      <c r="F162" s="23"/>
      <c r="G162" s="9" t="s">
        <v>715</v>
      </c>
      <c r="H162" s="10" t="s">
        <v>161</v>
      </c>
      <c r="I162" s="10"/>
      <c r="J162" s="10"/>
      <c r="K162" s="11"/>
      <c r="L162" s="11" t="s">
        <v>39</v>
      </c>
      <c r="M162" s="10" t="s">
        <v>338</v>
      </c>
      <c r="N162" s="10" t="s">
        <v>716</v>
      </c>
      <c r="O162" s="12"/>
      <c r="P162" s="10" t="s">
        <v>167</v>
      </c>
      <c r="Q162" s="29" t="s">
        <v>167</v>
      </c>
      <c r="R162" s="29" t="s">
        <v>167</v>
      </c>
      <c r="S162" s="10" t="s">
        <v>177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">
        <f t="shared" si="6"/>
        <v>0</v>
      </c>
      <c r="Z162" s="10"/>
      <c r="AA162" s="10"/>
      <c r="AB162" s="10"/>
      <c r="AC162" s="10"/>
      <c r="AD162" s="10"/>
      <c r="AE162" s="10"/>
      <c r="AF162" s="10"/>
      <c r="AG162" s="38">
        <f t="shared" si="7"/>
        <v>0</v>
      </c>
      <c r="AH162" s="51" t="str">
        <f t="shared" si="8"/>
        <v xml:space="preserve"> </v>
      </c>
      <c r="AI162" s="64"/>
      <c r="AJ162" s="72"/>
      <c r="AK162" s="65">
        <v>0</v>
      </c>
      <c r="AL162" s="1"/>
      <c r="AM162" s="1"/>
      <c r="AN162" s="81"/>
      <c r="AO162" s="81"/>
    </row>
    <row r="163" spans="1:41" s="26" customFormat="1" x14ac:dyDescent="0.25">
      <c r="A163" s="15" t="s">
        <v>717</v>
      </c>
      <c r="B163" s="8" t="s">
        <v>197</v>
      </c>
      <c r="C163" s="11">
        <v>0.8</v>
      </c>
      <c r="D163" s="18">
        <v>1400</v>
      </c>
      <c r="E163" s="18" t="s">
        <v>161</v>
      </c>
      <c r="F163" s="23"/>
      <c r="G163" s="9" t="s">
        <v>718</v>
      </c>
      <c r="H163" s="12" t="s">
        <v>161</v>
      </c>
      <c r="I163" s="12"/>
      <c r="J163" s="12"/>
      <c r="K163" s="14"/>
      <c r="L163" s="14" t="s">
        <v>533</v>
      </c>
      <c r="M163" s="12" t="s">
        <v>378</v>
      </c>
      <c r="N163" s="12" t="s">
        <v>549</v>
      </c>
      <c r="O163" s="12"/>
      <c r="P163" s="12"/>
      <c r="Q163" s="30"/>
      <c r="R163" s="29" t="s">
        <v>167</v>
      </c>
      <c r="S163" s="12" t="s">
        <v>167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">
        <f t="shared" si="6"/>
        <v>0</v>
      </c>
      <c r="Z163" s="10"/>
      <c r="AA163" s="10"/>
      <c r="AB163" s="10"/>
      <c r="AC163" s="10"/>
      <c r="AD163" s="10"/>
      <c r="AE163" s="10"/>
      <c r="AF163" s="10"/>
      <c r="AG163" s="38">
        <f t="shared" si="7"/>
        <v>0</v>
      </c>
      <c r="AH163" s="51" t="str">
        <f t="shared" si="8"/>
        <v xml:space="preserve"> </v>
      </c>
      <c r="AI163" s="64"/>
      <c r="AJ163" s="72"/>
      <c r="AK163" s="65">
        <v>0</v>
      </c>
      <c r="AL163" s="1"/>
      <c r="AM163" s="1"/>
      <c r="AN163" s="81"/>
      <c r="AO163" s="81"/>
    </row>
    <row r="164" spans="1:41" s="26" customFormat="1" x14ac:dyDescent="0.25">
      <c r="A164" s="15" t="s">
        <v>719</v>
      </c>
      <c r="B164" s="8" t="s">
        <v>197</v>
      </c>
      <c r="C164" s="11">
        <v>0.8</v>
      </c>
      <c r="D164" s="18">
        <v>930</v>
      </c>
      <c r="E164" s="18" t="s">
        <v>161</v>
      </c>
      <c r="F164" s="23"/>
      <c r="G164" s="9" t="s">
        <v>720</v>
      </c>
      <c r="H164" s="12" t="s">
        <v>161</v>
      </c>
      <c r="I164" s="10"/>
      <c r="J164" s="12"/>
      <c r="K164" s="14"/>
      <c r="L164" s="14" t="s">
        <v>533</v>
      </c>
      <c r="M164" s="12" t="s">
        <v>378</v>
      </c>
      <c r="N164" s="12" t="s">
        <v>549</v>
      </c>
      <c r="O164" s="12"/>
      <c r="P164" s="12"/>
      <c r="Q164" s="30"/>
      <c r="R164" s="29" t="s">
        <v>167</v>
      </c>
      <c r="S164" s="10" t="s">
        <v>167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">
        <f t="shared" si="6"/>
        <v>0</v>
      </c>
      <c r="Z164" s="10"/>
      <c r="AA164" s="10"/>
      <c r="AB164" s="10"/>
      <c r="AC164" s="10"/>
      <c r="AD164" s="10"/>
      <c r="AE164" s="10"/>
      <c r="AF164" s="10"/>
      <c r="AG164" s="38">
        <f t="shared" si="7"/>
        <v>0</v>
      </c>
      <c r="AH164" s="51" t="str">
        <f t="shared" si="8"/>
        <v xml:space="preserve"> </v>
      </c>
      <c r="AI164" s="64"/>
      <c r="AJ164" s="72"/>
      <c r="AK164" s="65">
        <v>0</v>
      </c>
      <c r="AL164" s="1"/>
      <c r="AM164" s="1"/>
      <c r="AN164" s="81"/>
      <c r="AO164" s="81"/>
    </row>
    <row r="165" spans="1:41" s="26" customFormat="1" x14ac:dyDescent="0.25">
      <c r="A165" s="15" t="s">
        <v>721</v>
      </c>
      <c r="B165" s="8" t="s">
        <v>197</v>
      </c>
      <c r="C165" s="11">
        <v>1.5</v>
      </c>
      <c r="D165" s="18">
        <v>350</v>
      </c>
      <c r="E165" s="18">
        <v>161</v>
      </c>
      <c r="F165" s="77">
        <v>7.4999999999999997E-2</v>
      </c>
      <c r="G165" s="9" t="s">
        <v>722</v>
      </c>
      <c r="H165" s="10" t="s">
        <v>161</v>
      </c>
      <c r="I165" s="10"/>
      <c r="J165" s="10"/>
      <c r="K165" s="11"/>
      <c r="L165" s="11" t="s">
        <v>533</v>
      </c>
      <c r="M165" s="10" t="s">
        <v>378</v>
      </c>
      <c r="N165" s="10" t="s">
        <v>549</v>
      </c>
      <c r="O165" s="12"/>
      <c r="P165" s="10"/>
      <c r="Q165" s="29"/>
      <c r="R165" s="29" t="s">
        <v>167</v>
      </c>
      <c r="S165" s="10" t="s">
        <v>167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">
        <f t="shared" si="6"/>
        <v>0</v>
      </c>
      <c r="Z165" s="10"/>
      <c r="AA165" s="10"/>
      <c r="AB165" s="10"/>
      <c r="AC165" s="10"/>
      <c r="AD165" s="10"/>
      <c r="AE165" s="10"/>
      <c r="AF165" s="10"/>
      <c r="AG165" s="38">
        <f t="shared" si="7"/>
        <v>0</v>
      </c>
      <c r="AH165" s="51" t="str">
        <f t="shared" si="8"/>
        <v xml:space="preserve"> </v>
      </c>
      <c r="AI165" s="64"/>
      <c r="AJ165" s="72"/>
      <c r="AK165" s="65">
        <v>0</v>
      </c>
      <c r="AL165" s="1"/>
      <c r="AM165" s="1"/>
      <c r="AN165" s="81"/>
      <c r="AO165" s="81"/>
    </row>
    <row r="166" spans="1:41" s="26" customFormat="1" x14ac:dyDescent="0.25">
      <c r="A166" s="15" t="s">
        <v>723</v>
      </c>
      <c r="B166" s="8" t="s">
        <v>197</v>
      </c>
      <c r="C166" s="11">
        <v>2.5</v>
      </c>
      <c r="D166" s="18">
        <v>175</v>
      </c>
      <c r="E166" s="18">
        <v>132</v>
      </c>
      <c r="F166" s="77">
        <v>0.105</v>
      </c>
      <c r="G166" s="9" t="s">
        <v>724</v>
      </c>
      <c r="H166" s="12" t="s">
        <v>161</v>
      </c>
      <c r="I166" s="10"/>
      <c r="J166" s="12"/>
      <c r="K166" s="14"/>
      <c r="L166" s="14" t="s">
        <v>533</v>
      </c>
      <c r="M166" s="12" t="s">
        <v>338</v>
      </c>
      <c r="N166" s="12" t="s">
        <v>654</v>
      </c>
      <c r="O166" s="12"/>
      <c r="P166" s="12"/>
      <c r="Q166" s="30"/>
      <c r="R166" s="29" t="s">
        <v>167</v>
      </c>
      <c r="S166" s="10" t="s">
        <v>167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">
        <f t="shared" si="6"/>
        <v>0</v>
      </c>
      <c r="Z166" s="10"/>
      <c r="AA166" s="10"/>
      <c r="AB166" s="10"/>
      <c r="AC166" s="10"/>
      <c r="AD166" s="10"/>
      <c r="AE166" s="10"/>
      <c r="AF166" s="10"/>
      <c r="AG166" s="38">
        <f t="shared" si="7"/>
        <v>0</v>
      </c>
      <c r="AH166" s="51" t="str">
        <f t="shared" si="8"/>
        <v xml:space="preserve"> </v>
      </c>
      <c r="AI166" s="64"/>
      <c r="AJ166" s="72"/>
      <c r="AK166" s="65">
        <v>0</v>
      </c>
      <c r="AL166" s="1"/>
      <c r="AM166" s="1"/>
      <c r="AN166" s="81"/>
      <c r="AO166" s="81"/>
    </row>
    <row r="167" spans="1:41" s="26" customFormat="1" x14ac:dyDescent="0.25">
      <c r="A167" s="15" t="s">
        <v>725</v>
      </c>
      <c r="B167" s="8" t="s">
        <v>197</v>
      </c>
      <c r="C167" s="11">
        <v>1.5</v>
      </c>
      <c r="D167" s="18">
        <v>350</v>
      </c>
      <c r="E167" s="18">
        <v>151</v>
      </c>
      <c r="F167" s="77">
        <v>5.5E-2</v>
      </c>
      <c r="G167" s="9" t="s">
        <v>726</v>
      </c>
      <c r="H167" s="10" t="s">
        <v>161</v>
      </c>
      <c r="I167" s="10"/>
      <c r="J167" s="10"/>
      <c r="K167" s="11"/>
      <c r="L167" s="11" t="s">
        <v>533</v>
      </c>
      <c r="M167" s="10" t="s">
        <v>378</v>
      </c>
      <c r="N167" s="10" t="s">
        <v>680</v>
      </c>
      <c r="O167" s="12"/>
      <c r="P167" s="10"/>
      <c r="Q167" s="29"/>
      <c r="R167" s="29" t="s">
        <v>167</v>
      </c>
      <c r="S167" s="10" t="s">
        <v>167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">
        <f t="shared" si="6"/>
        <v>0</v>
      </c>
      <c r="Z167" s="10"/>
      <c r="AA167" s="10"/>
      <c r="AB167" s="10"/>
      <c r="AC167" s="10"/>
      <c r="AD167" s="10"/>
      <c r="AE167" s="10"/>
      <c r="AF167" s="10"/>
      <c r="AG167" s="38">
        <f t="shared" si="7"/>
        <v>0</v>
      </c>
      <c r="AH167" s="51" t="str">
        <f t="shared" si="8"/>
        <v xml:space="preserve"> </v>
      </c>
      <c r="AI167" s="64"/>
      <c r="AJ167" s="72"/>
      <c r="AK167" s="65">
        <v>0</v>
      </c>
      <c r="AL167" s="1"/>
      <c r="AM167" s="1"/>
      <c r="AN167" s="81"/>
      <c r="AO167" s="81"/>
    </row>
    <row r="168" spans="1:41" s="26" customFormat="1" x14ac:dyDescent="0.25">
      <c r="A168" s="15" t="s">
        <v>727</v>
      </c>
      <c r="B168" s="8" t="s">
        <v>197</v>
      </c>
      <c r="C168" s="11">
        <v>1.4</v>
      </c>
      <c r="D168" s="18">
        <v>383</v>
      </c>
      <c r="E168" s="18">
        <v>61</v>
      </c>
      <c r="F168" s="77">
        <v>6.5000000000000002E-2</v>
      </c>
      <c r="G168" s="9" t="s">
        <v>728</v>
      </c>
      <c r="H168" s="10" t="s">
        <v>161</v>
      </c>
      <c r="I168" s="10"/>
      <c r="J168" s="10"/>
      <c r="K168" s="11"/>
      <c r="L168" s="11" t="s">
        <v>39</v>
      </c>
      <c r="M168" s="12" t="s">
        <v>217</v>
      </c>
      <c r="N168" s="10" t="s">
        <v>716</v>
      </c>
      <c r="O168" s="12"/>
      <c r="P168" s="10"/>
      <c r="Q168" s="29"/>
      <c r="R168" s="29" t="s">
        <v>167</v>
      </c>
      <c r="S168" s="10" t="s">
        <v>167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">
        <f t="shared" si="6"/>
        <v>0</v>
      </c>
      <c r="Z168" s="10"/>
      <c r="AA168" s="10"/>
      <c r="AB168" s="10"/>
      <c r="AC168" s="10"/>
      <c r="AD168" s="10"/>
      <c r="AE168" s="10"/>
      <c r="AF168" s="10"/>
      <c r="AG168" s="38">
        <f t="shared" si="7"/>
        <v>0</v>
      </c>
      <c r="AH168" s="51" t="str">
        <f t="shared" si="8"/>
        <v xml:space="preserve"> </v>
      </c>
      <c r="AI168" s="64"/>
      <c r="AJ168" s="72"/>
      <c r="AK168" s="65">
        <v>0</v>
      </c>
      <c r="AL168" s="1"/>
      <c r="AM168" s="1"/>
      <c r="AN168" s="81"/>
      <c r="AO168" s="81"/>
    </row>
    <row r="169" spans="1:41" s="26" customFormat="1" x14ac:dyDescent="0.25">
      <c r="A169" s="15" t="s">
        <v>729</v>
      </c>
      <c r="B169" s="8" t="s">
        <v>197</v>
      </c>
      <c r="C169" s="11">
        <v>1.3</v>
      </c>
      <c r="D169" s="18">
        <v>950</v>
      </c>
      <c r="E169" s="18" t="s">
        <v>161</v>
      </c>
      <c r="F169" s="23"/>
      <c r="G169" s="9" t="s">
        <v>730</v>
      </c>
      <c r="H169" s="10" t="s">
        <v>161</v>
      </c>
      <c r="I169" s="10"/>
      <c r="J169" s="10"/>
      <c r="K169" s="11"/>
      <c r="L169" s="11" t="s">
        <v>39</v>
      </c>
      <c r="M169" s="10" t="s">
        <v>338</v>
      </c>
      <c r="N169" s="10" t="s">
        <v>716</v>
      </c>
      <c r="O169" s="12"/>
      <c r="P169" s="10"/>
      <c r="Q169" s="29"/>
      <c r="R169" s="29" t="s">
        <v>167</v>
      </c>
      <c r="S169" s="10" t="s">
        <v>167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">
        <f t="shared" si="6"/>
        <v>0</v>
      </c>
      <c r="Z169" s="10"/>
      <c r="AA169" s="10"/>
      <c r="AB169" s="10"/>
      <c r="AC169" s="10"/>
      <c r="AD169" s="10"/>
      <c r="AE169" s="10"/>
      <c r="AF169" s="10"/>
      <c r="AG169" s="38">
        <f t="shared" si="7"/>
        <v>0</v>
      </c>
      <c r="AH169" s="51" t="str">
        <f t="shared" si="8"/>
        <v xml:space="preserve"> </v>
      </c>
      <c r="AI169" s="64"/>
      <c r="AJ169" s="72"/>
      <c r="AK169" s="65">
        <v>0</v>
      </c>
      <c r="AL169" s="1"/>
      <c r="AM169" s="1"/>
      <c r="AN169" s="81"/>
      <c r="AO169" s="81"/>
    </row>
    <row r="170" spans="1:41" s="26" customFormat="1" x14ac:dyDescent="0.25">
      <c r="A170" s="15" t="s">
        <v>731</v>
      </c>
      <c r="B170" s="8" t="s">
        <v>197</v>
      </c>
      <c r="C170" s="11">
        <v>1.2</v>
      </c>
      <c r="D170" s="18">
        <v>500</v>
      </c>
      <c r="E170" s="18">
        <v>133</v>
      </c>
      <c r="F170" s="77">
        <v>4.4999999999999998E-2</v>
      </c>
      <c r="G170" s="9" t="s">
        <v>732</v>
      </c>
      <c r="H170" s="10" t="s">
        <v>161</v>
      </c>
      <c r="I170" s="10"/>
      <c r="J170" s="10"/>
      <c r="K170" s="11"/>
      <c r="L170" s="11" t="s">
        <v>533</v>
      </c>
      <c r="M170" s="10" t="s">
        <v>378</v>
      </c>
      <c r="N170" s="10" t="s">
        <v>549</v>
      </c>
      <c r="O170" s="12"/>
      <c r="P170" s="10"/>
      <c r="Q170" s="29"/>
      <c r="R170" s="29" t="s">
        <v>167</v>
      </c>
      <c r="S170" s="10" t="s">
        <v>167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">
        <f t="shared" si="6"/>
        <v>0</v>
      </c>
      <c r="Z170" s="10"/>
      <c r="AA170" s="10"/>
      <c r="AB170" s="10"/>
      <c r="AC170" s="10"/>
      <c r="AD170" s="10"/>
      <c r="AE170" s="10"/>
      <c r="AF170" s="10"/>
      <c r="AG170" s="38">
        <f t="shared" si="7"/>
        <v>0</v>
      </c>
      <c r="AH170" s="51" t="str">
        <f t="shared" si="8"/>
        <v xml:space="preserve"> </v>
      </c>
      <c r="AI170" s="64"/>
      <c r="AJ170" s="72"/>
      <c r="AK170" s="65">
        <v>0</v>
      </c>
      <c r="AL170" s="1"/>
      <c r="AM170" s="1"/>
      <c r="AN170" s="81"/>
      <c r="AO170" s="81"/>
    </row>
    <row r="171" spans="1:41" s="26" customFormat="1" x14ac:dyDescent="0.25">
      <c r="A171" s="15" t="s">
        <v>733</v>
      </c>
      <c r="B171" s="8" t="s">
        <v>197</v>
      </c>
      <c r="C171" s="11">
        <v>1</v>
      </c>
      <c r="D171" s="18">
        <v>525</v>
      </c>
      <c r="E171" s="18">
        <v>158</v>
      </c>
      <c r="F171" s="77">
        <v>5.5E-2</v>
      </c>
      <c r="G171" s="9" t="s">
        <v>734</v>
      </c>
      <c r="H171" s="10" t="s">
        <v>161</v>
      </c>
      <c r="I171" s="10"/>
      <c r="J171" s="10"/>
      <c r="K171" s="11"/>
      <c r="L171" s="11" t="s">
        <v>533</v>
      </c>
      <c r="M171" s="10" t="s">
        <v>378</v>
      </c>
      <c r="N171" s="10" t="s">
        <v>680</v>
      </c>
      <c r="O171" s="12"/>
      <c r="P171" s="10"/>
      <c r="Q171" s="29"/>
      <c r="R171" s="29" t="s">
        <v>167</v>
      </c>
      <c r="S171" s="10" t="s">
        <v>167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">
        <f t="shared" si="6"/>
        <v>0</v>
      </c>
      <c r="Z171" s="10"/>
      <c r="AA171" s="10"/>
      <c r="AB171" s="10"/>
      <c r="AC171" s="10"/>
      <c r="AD171" s="10"/>
      <c r="AE171" s="10"/>
      <c r="AF171" s="10"/>
      <c r="AG171" s="38">
        <f t="shared" si="7"/>
        <v>0</v>
      </c>
      <c r="AH171" s="51" t="str">
        <f t="shared" si="8"/>
        <v xml:space="preserve"> </v>
      </c>
      <c r="AI171" s="64"/>
      <c r="AJ171" s="72"/>
      <c r="AK171" s="65">
        <v>0</v>
      </c>
      <c r="AL171" s="1"/>
      <c r="AM171" s="1"/>
      <c r="AN171" s="81"/>
      <c r="AO171" s="81"/>
    </row>
    <row r="172" spans="1:41" s="26" customFormat="1" x14ac:dyDescent="0.25">
      <c r="A172" s="15" t="s">
        <v>735</v>
      </c>
      <c r="B172" s="8" t="s">
        <v>197</v>
      </c>
      <c r="C172" s="11">
        <v>1.5</v>
      </c>
      <c r="D172" s="18">
        <v>1200</v>
      </c>
      <c r="E172" s="18" t="s">
        <v>161</v>
      </c>
      <c r="F172" s="23"/>
      <c r="G172" s="9" t="s">
        <v>736</v>
      </c>
      <c r="H172" s="12" t="s">
        <v>161</v>
      </c>
      <c r="I172" s="12"/>
      <c r="J172" s="12"/>
      <c r="K172" s="14"/>
      <c r="L172" s="14" t="s">
        <v>533</v>
      </c>
      <c r="M172" s="12" t="s">
        <v>378</v>
      </c>
      <c r="N172" s="12" t="s">
        <v>680</v>
      </c>
      <c r="O172" s="12"/>
      <c r="P172" s="12"/>
      <c r="Q172" s="30"/>
      <c r="R172" s="29" t="s">
        <v>167</v>
      </c>
      <c r="S172" s="12" t="s">
        <v>167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">
        <f t="shared" si="6"/>
        <v>0</v>
      </c>
      <c r="Z172" s="10"/>
      <c r="AA172" s="10"/>
      <c r="AB172" s="10"/>
      <c r="AC172" s="10"/>
      <c r="AD172" s="10"/>
      <c r="AE172" s="10"/>
      <c r="AF172" s="10"/>
      <c r="AG172" s="38">
        <f t="shared" si="7"/>
        <v>0</v>
      </c>
      <c r="AH172" s="51" t="str">
        <f t="shared" si="8"/>
        <v xml:space="preserve"> </v>
      </c>
      <c r="AI172" s="64"/>
      <c r="AJ172" s="72"/>
      <c r="AK172" s="65">
        <v>0</v>
      </c>
      <c r="AL172" s="1"/>
      <c r="AM172" s="1"/>
      <c r="AN172" s="81"/>
      <c r="AO172" s="81"/>
    </row>
    <row r="173" spans="1:41" s="26" customFormat="1" x14ac:dyDescent="0.25">
      <c r="A173" s="15" t="s">
        <v>737</v>
      </c>
      <c r="B173" s="8" t="s">
        <v>197</v>
      </c>
      <c r="C173" s="11">
        <v>1.5</v>
      </c>
      <c r="D173" s="18">
        <v>367</v>
      </c>
      <c r="E173" s="18">
        <v>145</v>
      </c>
      <c r="F173" s="77">
        <v>7.4999999999999997E-2</v>
      </c>
      <c r="G173" s="9" t="s">
        <v>738</v>
      </c>
      <c r="H173" s="10" t="s">
        <v>161</v>
      </c>
      <c r="I173" s="10"/>
      <c r="J173" s="10"/>
      <c r="K173" s="11"/>
      <c r="L173" s="11" t="s">
        <v>533</v>
      </c>
      <c r="M173" s="10" t="s">
        <v>378</v>
      </c>
      <c r="N173" s="10" t="s">
        <v>680</v>
      </c>
      <c r="O173" s="12"/>
      <c r="P173" s="10"/>
      <c r="Q173" s="29"/>
      <c r="R173" s="29" t="s">
        <v>167</v>
      </c>
      <c r="S173" s="10" t="s">
        <v>167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">
        <f t="shared" si="6"/>
        <v>0</v>
      </c>
      <c r="Z173" s="10"/>
      <c r="AA173" s="10"/>
      <c r="AB173" s="10"/>
      <c r="AC173" s="10"/>
      <c r="AD173" s="10"/>
      <c r="AE173" s="10"/>
      <c r="AF173" s="10"/>
      <c r="AG173" s="38">
        <f t="shared" si="7"/>
        <v>0</v>
      </c>
      <c r="AH173" s="51" t="str">
        <f t="shared" si="8"/>
        <v xml:space="preserve"> </v>
      </c>
      <c r="AI173" s="64"/>
      <c r="AJ173" s="72"/>
      <c r="AK173" s="65">
        <v>0</v>
      </c>
      <c r="AL173" s="1"/>
      <c r="AM173" s="1"/>
      <c r="AN173" s="81"/>
      <c r="AO173" s="81"/>
    </row>
    <row r="174" spans="1:41" s="26" customFormat="1" x14ac:dyDescent="0.25">
      <c r="A174" s="15" t="s">
        <v>739</v>
      </c>
      <c r="B174" s="8" t="s">
        <v>197</v>
      </c>
      <c r="C174" s="11">
        <v>1.6</v>
      </c>
      <c r="D174" s="18">
        <v>417</v>
      </c>
      <c r="E174" s="18">
        <v>125</v>
      </c>
      <c r="F174" s="77">
        <v>8.5000000000000006E-2</v>
      </c>
      <c r="G174" s="9" t="s">
        <v>740</v>
      </c>
      <c r="H174" s="12" t="s">
        <v>161</v>
      </c>
      <c r="I174" s="10"/>
      <c r="J174" s="12"/>
      <c r="K174" s="14"/>
      <c r="L174" s="14" t="s">
        <v>533</v>
      </c>
      <c r="M174" s="12" t="s">
        <v>378</v>
      </c>
      <c r="N174" s="12" t="s">
        <v>703</v>
      </c>
      <c r="O174" s="12"/>
      <c r="P174" s="12"/>
      <c r="Q174" s="30"/>
      <c r="R174" s="29" t="s">
        <v>167</v>
      </c>
      <c r="S174" s="10" t="s">
        <v>167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">
        <f t="shared" si="6"/>
        <v>0</v>
      </c>
      <c r="Z174" s="10"/>
      <c r="AA174" s="10"/>
      <c r="AB174" s="10"/>
      <c r="AC174" s="10"/>
      <c r="AD174" s="10"/>
      <c r="AE174" s="10"/>
      <c r="AF174" s="10"/>
      <c r="AG174" s="38">
        <f t="shared" si="7"/>
        <v>0</v>
      </c>
      <c r="AH174" s="51" t="str">
        <f t="shared" si="8"/>
        <v xml:space="preserve"> </v>
      </c>
      <c r="AI174" s="64"/>
      <c r="AJ174" s="72"/>
      <c r="AK174" s="65">
        <v>0</v>
      </c>
      <c r="AL174" s="1"/>
      <c r="AM174" s="1"/>
      <c r="AN174" s="81"/>
      <c r="AO174" s="81"/>
    </row>
    <row r="175" spans="1:41" s="26" customFormat="1" x14ac:dyDescent="0.25">
      <c r="A175" s="15" t="s">
        <v>741</v>
      </c>
      <c r="B175" s="8"/>
      <c r="C175" s="11"/>
      <c r="D175" s="18"/>
      <c r="E175" s="18"/>
      <c r="F175" s="23"/>
      <c r="G175" s="9" t="s">
        <v>437</v>
      </c>
      <c r="H175" s="10"/>
      <c r="I175" s="10"/>
      <c r="J175" s="10"/>
      <c r="K175" s="11"/>
      <c r="L175" s="11" t="s">
        <v>363</v>
      </c>
      <c r="M175" s="12"/>
      <c r="N175" s="10"/>
      <c r="O175" s="12"/>
      <c r="P175" s="10"/>
      <c r="Q175" s="29"/>
      <c r="R175" s="29" t="s">
        <v>167</v>
      </c>
      <c r="S175" s="30" t="s">
        <v>177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">
        <f t="shared" si="6"/>
        <v>0</v>
      </c>
      <c r="Z175" s="10"/>
      <c r="AA175" s="10"/>
      <c r="AB175" s="10"/>
      <c r="AC175" s="10"/>
      <c r="AD175" s="10"/>
      <c r="AE175" s="10"/>
      <c r="AF175" s="10"/>
      <c r="AG175" s="38">
        <f t="shared" si="7"/>
        <v>0</v>
      </c>
      <c r="AH175" s="51" t="str">
        <f t="shared" si="8"/>
        <v xml:space="preserve"> </v>
      </c>
      <c r="AI175" s="64"/>
      <c r="AJ175" s="72"/>
      <c r="AK175" s="65">
        <v>0</v>
      </c>
      <c r="AL175" s="1"/>
      <c r="AM175" s="1"/>
      <c r="AN175" s="81"/>
      <c r="AO175" s="81"/>
    </row>
    <row r="176" spans="1:41" s="26" customFormat="1" x14ac:dyDescent="0.25">
      <c r="A176" s="15" t="s">
        <v>742</v>
      </c>
      <c r="B176" s="8" t="s">
        <v>172</v>
      </c>
      <c r="C176" s="11">
        <v>2</v>
      </c>
      <c r="D176" s="18">
        <v>1100</v>
      </c>
      <c r="E176" s="18" t="s">
        <v>161</v>
      </c>
      <c r="F176" s="23"/>
      <c r="G176" s="9" t="s">
        <v>743</v>
      </c>
      <c r="H176" s="12" t="s">
        <v>161</v>
      </c>
      <c r="I176" s="12"/>
      <c r="J176" s="12"/>
      <c r="K176" s="14"/>
      <c r="L176" s="14" t="s">
        <v>533</v>
      </c>
      <c r="M176" s="12" t="s">
        <v>239</v>
      </c>
      <c r="N176" s="12" t="s">
        <v>744</v>
      </c>
      <c r="O176" s="12"/>
      <c r="P176" s="12"/>
      <c r="Q176" s="30"/>
      <c r="R176" s="29" t="s">
        <v>167</v>
      </c>
      <c r="S176" s="10" t="s">
        <v>167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">
        <f t="shared" si="6"/>
        <v>0</v>
      </c>
      <c r="Z176" s="10"/>
      <c r="AA176" s="10"/>
      <c r="AB176" s="10"/>
      <c r="AC176" s="10"/>
      <c r="AD176" s="10"/>
      <c r="AE176" s="10"/>
      <c r="AF176" s="10"/>
      <c r="AG176" s="38">
        <f t="shared" si="7"/>
        <v>0</v>
      </c>
      <c r="AH176" s="51" t="str">
        <f t="shared" si="8"/>
        <v xml:space="preserve"> </v>
      </c>
      <c r="AI176" s="64"/>
      <c r="AJ176" s="72"/>
      <c r="AK176" s="65">
        <v>0</v>
      </c>
      <c r="AL176" s="1"/>
      <c r="AM176" s="1"/>
      <c r="AN176" s="81"/>
      <c r="AO176" s="81"/>
    </row>
    <row r="177" spans="1:41" s="26" customFormat="1" x14ac:dyDescent="0.25">
      <c r="A177" s="15" t="s">
        <v>745</v>
      </c>
      <c r="B177" s="8" t="s">
        <v>172</v>
      </c>
      <c r="C177" s="11">
        <v>2</v>
      </c>
      <c r="D177" s="18">
        <v>1000</v>
      </c>
      <c r="E177" s="18" t="s">
        <v>161</v>
      </c>
      <c r="F177" s="23"/>
      <c r="G177" s="9" t="s">
        <v>746</v>
      </c>
      <c r="H177" s="12" t="s">
        <v>161</v>
      </c>
      <c r="I177" s="12"/>
      <c r="J177" s="12"/>
      <c r="K177" s="14"/>
      <c r="L177" s="14" t="s">
        <v>533</v>
      </c>
      <c r="M177" s="12" t="s">
        <v>338</v>
      </c>
      <c r="N177" s="12"/>
      <c r="O177" s="12"/>
      <c r="P177" s="12"/>
      <c r="Q177" s="30"/>
      <c r="R177" s="29" t="s">
        <v>167</v>
      </c>
      <c r="S177" s="12" t="s">
        <v>167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">
        <f t="shared" si="6"/>
        <v>0</v>
      </c>
      <c r="Z177" s="10"/>
      <c r="AA177" s="10"/>
      <c r="AB177" s="10"/>
      <c r="AC177" s="10"/>
      <c r="AD177" s="10"/>
      <c r="AE177" s="10"/>
      <c r="AF177" s="10"/>
      <c r="AG177" s="38">
        <f t="shared" si="7"/>
        <v>0</v>
      </c>
      <c r="AH177" s="51" t="str">
        <f t="shared" si="8"/>
        <v xml:space="preserve"> </v>
      </c>
      <c r="AI177" s="64"/>
      <c r="AJ177" s="72"/>
      <c r="AK177" s="65">
        <v>0</v>
      </c>
      <c r="AL177" s="1"/>
      <c r="AM177" s="1"/>
      <c r="AN177" s="81"/>
      <c r="AO177" s="81"/>
    </row>
    <row r="178" spans="1:41" s="26" customFormat="1" x14ac:dyDescent="0.25">
      <c r="A178" s="15" t="s">
        <v>747</v>
      </c>
      <c r="B178" s="8" t="s">
        <v>172</v>
      </c>
      <c r="C178" s="11">
        <v>3.75</v>
      </c>
      <c r="D178" s="18">
        <v>1300</v>
      </c>
      <c r="E178" s="18" t="s">
        <v>161</v>
      </c>
      <c r="F178" s="23"/>
      <c r="G178" s="9" t="s">
        <v>183</v>
      </c>
      <c r="H178" s="12" t="s">
        <v>161</v>
      </c>
      <c r="I178" s="12"/>
      <c r="J178" s="12"/>
      <c r="K178" s="14"/>
      <c r="L178" s="14" t="s">
        <v>39</v>
      </c>
      <c r="M178" s="10" t="s">
        <v>210</v>
      </c>
      <c r="N178" s="12" t="s">
        <v>185</v>
      </c>
      <c r="O178" s="12"/>
      <c r="P178" s="12" t="s">
        <v>167</v>
      </c>
      <c r="Q178" s="30" t="s">
        <v>167</v>
      </c>
      <c r="R178" s="29" t="s">
        <v>167</v>
      </c>
      <c r="S178" s="12" t="s">
        <v>177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">
        <f t="shared" si="6"/>
        <v>0</v>
      </c>
      <c r="Z178" s="10"/>
      <c r="AA178" s="10"/>
      <c r="AB178" s="10"/>
      <c r="AC178" s="10"/>
      <c r="AD178" s="10"/>
      <c r="AE178" s="10"/>
      <c r="AF178" s="10"/>
      <c r="AG178" s="38">
        <f t="shared" si="7"/>
        <v>0</v>
      </c>
      <c r="AH178" s="51" t="str">
        <f t="shared" si="8"/>
        <v xml:space="preserve"> </v>
      </c>
      <c r="AI178" s="64"/>
      <c r="AJ178" s="72"/>
      <c r="AK178" s="65">
        <v>0</v>
      </c>
      <c r="AL178" s="1"/>
      <c r="AM178" s="1"/>
      <c r="AN178" s="81"/>
      <c r="AO178" s="81"/>
    </row>
    <row r="179" spans="1:41" s="26" customFormat="1" x14ac:dyDescent="0.25">
      <c r="A179" s="15" t="s">
        <v>748</v>
      </c>
      <c r="B179" s="8" t="s">
        <v>172</v>
      </c>
      <c r="C179" s="11">
        <v>4.5</v>
      </c>
      <c r="D179" s="18">
        <v>1200</v>
      </c>
      <c r="E179" s="18" t="s">
        <v>161</v>
      </c>
      <c r="F179" s="23"/>
      <c r="G179" s="9" t="s">
        <v>749</v>
      </c>
      <c r="H179" s="12" t="s">
        <v>161</v>
      </c>
      <c r="I179" s="10"/>
      <c r="J179" s="12"/>
      <c r="K179" s="14"/>
      <c r="L179" s="14" t="s">
        <v>533</v>
      </c>
      <c r="M179" s="12" t="s">
        <v>525</v>
      </c>
      <c r="N179" s="12" t="s">
        <v>750</v>
      </c>
      <c r="O179" s="12"/>
      <c r="P179" s="12"/>
      <c r="Q179" s="30"/>
      <c r="R179" s="29" t="s">
        <v>167</v>
      </c>
      <c r="S179" s="10" t="s">
        <v>167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">
        <f t="shared" si="6"/>
        <v>0</v>
      </c>
      <c r="Z179" s="10"/>
      <c r="AA179" s="10"/>
      <c r="AB179" s="10"/>
      <c r="AC179" s="10"/>
      <c r="AD179" s="10"/>
      <c r="AE179" s="10"/>
      <c r="AF179" s="10"/>
      <c r="AG179" s="38">
        <f t="shared" si="7"/>
        <v>0</v>
      </c>
      <c r="AH179" s="51" t="str">
        <f t="shared" si="8"/>
        <v xml:space="preserve"> </v>
      </c>
      <c r="AI179" s="64"/>
      <c r="AJ179" s="72"/>
      <c r="AK179" s="65">
        <v>0</v>
      </c>
      <c r="AL179" s="1"/>
      <c r="AM179" s="1"/>
      <c r="AN179" s="81"/>
      <c r="AO179" s="81"/>
    </row>
    <row r="180" spans="1:41" s="26" customFormat="1" hidden="1" x14ac:dyDescent="0.25">
      <c r="A180" s="15" t="s">
        <v>751</v>
      </c>
      <c r="B180" s="8" t="s">
        <v>172</v>
      </c>
      <c r="C180" s="11">
        <v>5.75</v>
      </c>
      <c r="D180" s="18">
        <v>1150</v>
      </c>
      <c r="E180" s="18" t="s">
        <v>161</v>
      </c>
      <c r="F180" s="23" t="s">
        <v>752</v>
      </c>
      <c r="G180" s="9" t="s">
        <v>183</v>
      </c>
      <c r="H180" s="10" t="s">
        <v>161</v>
      </c>
      <c r="I180" s="10"/>
      <c r="J180" s="10"/>
      <c r="K180" s="11"/>
      <c r="L180" s="11" t="s">
        <v>39</v>
      </c>
      <c r="M180" s="10" t="s">
        <v>753</v>
      </c>
      <c r="N180" s="10" t="s">
        <v>185</v>
      </c>
      <c r="O180" s="12"/>
      <c r="P180" s="10" t="s">
        <v>167</v>
      </c>
      <c r="Q180" s="29" t="s">
        <v>167</v>
      </c>
      <c r="R180" s="29" t="s">
        <v>167</v>
      </c>
      <c r="S180" s="10" t="s">
        <v>177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">
        <f t="shared" si="6"/>
        <v>0</v>
      </c>
      <c r="Z180" s="10" t="s">
        <v>168</v>
      </c>
      <c r="AA180" s="10" t="s">
        <v>168</v>
      </c>
      <c r="AB180" s="10" t="s">
        <v>168</v>
      </c>
      <c r="AC180" s="10" t="s">
        <v>168</v>
      </c>
      <c r="AD180" s="10" t="s">
        <v>168</v>
      </c>
      <c r="AE180" s="10" t="s">
        <v>168</v>
      </c>
      <c r="AF180" s="10" t="s">
        <v>168</v>
      </c>
      <c r="AG180" s="38">
        <f t="shared" si="7"/>
        <v>1</v>
      </c>
      <c r="AH180" s="51">
        <f t="shared" si="8"/>
        <v>0</v>
      </c>
      <c r="AI180" s="64">
        <v>2</v>
      </c>
      <c r="AJ180" s="72" t="s">
        <v>754</v>
      </c>
      <c r="AK180" s="65">
        <v>19166.669999999998</v>
      </c>
      <c r="AL180" s="1"/>
      <c r="AM180" s="1" t="s">
        <v>755</v>
      </c>
      <c r="AN180" s="81">
        <v>46204</v>
      </c>
      <c r="AO180" s="81" t="s">
        <v>180</v>
      </c>
    </row>
    <row r="181" spans="1:41" s="26" customFormat="1" hidden="1" x14ac:dyDescent="0.25">
      <c r="A181" s="15" t="s">
        <v>756</v>
      </c>
      <c r="B181" s="8" t="s">
        <v>172</v>
      </c>
      <c r="C181" s="11">
        <v>0.8</v>
      </c>
      <c r="D181" s="18">
        <v>350</v>
      </c>
      <c r="E181" s="18">
        <v>144</v>
      </c>
      <c r="F181" s="77">
        <v>3.5000000000000003E-2</v>
      </c>
      <c r="G181" s="9" t="s">
        <v>757</v>
      </c>
      <c r="H181" s="12" t="s">
        <v>161</v>
      </c>
      <c r="I181" s="10"/>
      <c r="J181" s="12"/>
      <c r="K181" s="14"/>
      <c r="L181" s="14" t="s">
        <v>36</v>
      </c>
      <c r="M181" s="10" t="s">
        <v>758</v>
      </c>
      <c r="N181" s="12" t="s">
        <v>271</v>
      </c>
      <c r="O181" s="12"/>
      <c r="P181" s="12" t="s">
        <v>167</v>
      </c>
      <c r="Q181" s="30" t="s">
        <v>167</v>
      </c>
      <c r="R181" s="29" t="s">
        <v>167</v>
      </c>
      <c r="S181" s="10" t="s">
        <v>177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">
        <f t="shared" si="6"/>
        <v>0</v>
      </c>
      <c r="Z181" s="10" t="s">
        <v>168</v>
      </c>
      <c r="AA181" s="10" t="s">
        <v>168</v>
      </c>
      <c r="AB181" s="10" t="s">
        <v>168</v>
      </c>
      <c r="AC181" s="10" t="s">
        <v>168</v>
      </c>
      <c r="AD181" s="10" t="s">
        <v>168</v>
      </c>
      <c r="AE181" s="10" t="s">
        <v>168</v>
      </c>
      <c r="AF181" s="10" t="s">
        <v>168</v>
      </c>
      <c r="AG181" s="38">
        <f t="shared" si="7"/>
        <v>1</v>
      </c>
      <c r="AH181" s="51">
        <f t="shared" si="8"/>
        <v>0</v>
      </c>
      <c r="AI181" s="64">
        <v>2</v>
      </c>
      <c r="AJ181" s="72" t="s">
        <v>759</v>
      </c>
      <c r="AK181" s="65">
        <v>19616.29</v>
      </c>
      <c r="AL181" s="1"/>
      <c r="AM181" s="1" t="s">
        <v>760</v>
      </c>
      <c r="AN181" s="81">
        <v>46082</v>
      </c>
      <c r="AO181" s="81" t="s">
        <v>180</v>
      </c>
    </row>
    <row r="182" spans="1:41" s="26" customFormat="1" x14ac:dyDescent="0.25">
      <c r="A182" s="15" t="s">
        <v>35</v>
      </c>
      <c r="B182" s="8" t="s">
        <v>172</v>
      </c>
      <c r="C182" s="11">
        <v>8</v>
      </c>
      <c r="D182" s="18">
        <v>1200</v>
      </c>
      <c r="E182" s="18" t="s">
        <v>161</v>
      </c>
      <c r="F182" s="23"/>
      <c r="G182" s="9" t="s">
        <v>761</v>
      </c>
      <c r="H182" s="10" t="s">
        <v>161</v>
      </c>
      <c r="I182" s="10"/>
      <c r="J182" s="10"/>
      <c r="K182" s="11"/>
      <c r="L182" s="11" t="s">
        <v>39</v>
      </c>
      <c r="M182" s="10" t="s">
        <v>325</v>
      </c>
      <c r="N182" s="10" t="s">
        <v>240</v>
      </c>
      <c r="O182" s="12"/>
      <c r="P182" s="10" t="s">
        <v>167</v>
      </c>
      <c r="Q182" s="29" t="s">
        <v>167</v>
      </c>
      <c r="R182" s="29" t="s">
        <v>167</v>
      </c>
      <c r="S182" s="10" t="s">
        <v>177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">
        <f t="shared" si="6"/>
        <v>0</v>
      </c>
      <c r="Z182" s="10"/>
      <c r="AA182" s="10"/>
      <c r="AB182" s="10"/>
      <c r="AC182" s="10"/>
      <c r="AD182" s="10"/>
      <c r="AE182" s="10"/>
      <c r="AF182" s="10"/>
      <c r="AG182" s="38">
        <f t="shared" si="7"/>
        <v>0</v>
      </c>
      <c r="AH182" s="51" t="str">
        <f t="shared" si="8"/>
        <v xml:space="preserve"> </v>
      </c>
      <c r="AI182" s="64"/>
      <c r="AJ182" s="72"/>
      <c r="AK182" s="65">
        <v>0</v>
      </c>
      <c r="AL182" s="1"/>
      <c r="AM182" s="1"/>
      <c r="AN182" s="81"/>
      <c r="AO182" s="81"/>
    </row>
    <row r="183" spans="1:41" s="26" customFormat="1" x14ac:dyDescent="0.25">
      <c r="A183" s="15" t="s">
        <v>762</v>
      </c>
      <c r="B183" s="8" t="s">
        <v>172</v>
      </c>
      <c r="C183" s="11">
        <v>1.8</v>
      </c>
      <c r="D183" s="18">
        <v>190</v>
      </c>
      <c r="E183" s="18">
        <v>115</v>
      </c>
      <c r="F183" s="77">
        <v>6.5000000000000002E-2</v>
      </c>
      <c r="G183" s="9" t="s">
        <v>253</v>
      </c>
      <c r="H183" s="12" t="s">
        <v>161</v>
      </c>
      <c r="I183" s="12"/>
      <c r="J183" s="12"/>
      <c r="K183" s="14"/>
      <c r="L183" s="14" t="s">
        <v>39</v>
      </c>
      <c r="M183" s="12" t="s">
        <v>325</v>
      </c>
      <c r="N183" s="12" t="s">
        <v>240</v>
      </c>
      <c r="O183" s="12"/>
      <c r="P183" s="12"/>
      <c r="Q183" s="30"/>
      <c r="R183" s="29" t="s">
        <v>167</v>
      </c>
      <c r="S183" s="12" t="s">
        <v>177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">
        <f t="shared" si="6"/>
        <v>0</v>
      </c>
      <c r="Z183" s="10"/>
      <c r="AA183" s="10"/>
      <c r="AB183" s="10"/>
      <c r="AC183" s="10"/>
      <c r="AD183" s="10"/>
      <c r="AE183" s="10"/>
      <c r="AF183" s="10"/>
      <c r="AG183" s="38">
        <f t="shared" si="7"/>
        <v>0</v>
      </c>
      <c r="AH183" s="51" t="str">
        <f t="shared" si="8"/>
        <v xml:space="preserve"> </v>
      </c>
      <c r="AI183" s="64"/>
      <c r="AJ183" s="72"/>
      <c r="AK183" s="65">
        <v>0</v>
      </c>
      <c r="AL183" s="1"/>
      <c r="AM183" s="1"/>
      <c r="AN183" s="81"/>
      <c r="AO183" s="81"/>
    </row>
    <row r="184" spans="1:41" s="26" customFormat="1" x14ac:dyDescent="0.25">
      <c r="A184" s="15" t="s">
        <v>763</v>
      </c>
      <c r="B184" s="8" t="s">
        <v>160</v>
      </c>
      <c r="C184" s="11">
        <v>1.2</v>
      </c>
      <c r="D184" s="18">
        <v>316</v>
      </c>
      <c r="E184" s="18">
        <v>145</v>
      </c>
      <c r="F184" s="77">
        <v>4.4999999999999998E-2</v>
      </c>
      <c r="G184" s="9" t="s">
        <v>764</v>
      </c>
      <c r="H184" s="12" t="s">
        <v>161</v>
      </c>
      <c r="I184" s="10"/>
      <c r="J184" s="12"/>
      <c r="K184" s="14"/>
      <c r="L184" s="14" t="s">
        <v>533</v>
      </c>
      <c r="M184" s="12" t="s">
        <v>24</v>
      </c>
      <c r="N184" s="12" t="s">
        <v>671</v>
      </c>
      <c r="O184" s="12"/>
      <c r="P184" s="12"/>
      <c r="Q184" s="30"/>
      <c r="R184" s="29" t="s">
        <v>167</v>
      </c>
      <c r="S184" s="10" t="s">
        <v>167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">
        <f t="shared" si="6"/>
        <v>0</v>
      </c>
      <c r="Z184" s="10"/>
      <c r="AA184" s="10"/>
      <c r="AB184" s="10"/>
      <c r="AC184" s="10"/>
      <c r="AD184" s="10"/>
      <c r="AE184" s="10"/>
      <c r="AF184" s="10"/>
      <c r="AG184" s="38">
        <f t="shared" si="7"/>
        <v>0</v>
      </c>
      <c r="AH184" s="51" t="str">
        <f t="shared" si="8"/>
        <v xml:space="preserve"> </v>
      </c>
      <c r="AI184" s="64"/>
      <c r="AJ184" s="72"/>
      <c r="AK184" s="65">
        <v>0</v>
      </c>
      <c r="AL184" s="1"/>
      <c r="AM184" s="1"/>
      <c r="AN184" s="81"/>
      <c r="AO184" s="81"/>
    </row>
    <row r="185" spans="1:41" s="26" customFormat="1" x14ac:dyDescent="0.25">
      <c r="A185" s="15" t="s">
        <v>765</v>
      </c>
      <c r="B185" s="8" t="s">
        <v>160</v>
      </c>
      <c r="C185" s="11">
        <v>0.6</v>
      </c>
      <c r="D185" s="18">
        <v>1000</v>
      </c>
      <c r="E185" s="18" t="s">
        <v>161</v>
      </c>
      <c r="F185" s="23"/>
      <c r="G185" s="9" t="s">
        <v>766</v>
      </c>
      <c r="H185" s="10" t="s">
        <v>161</v>
      </c>
      <c r="I185" s="10"/>
      <c r="J185" s="10"/>
      <c r="K185" s="11"/>
      <c r="L185" s="11" t="s">
        <v>533</v>
      </c>
      <c r="M185" s="10" t="s">
        <v>378</v>
      </c>
      <c r="N185" s="10" t="s">
        <v>767</v>
      </c>
      <c r="O185" s="12"/>
      <c r="P185" s="10"/>
      <c r="Q185" s="29"/>
      <c r="R185" s="29" t="s">
        <v>167</v>
      </c>
      <c r="S185" s="10" t="s">
        <v>167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">
        <f t="shared" si="6"/>
        <v>0</v>
      </c>
      <c r="Z185" s="10"/>
      <c r="AA185" s="10"/>
      <c r="AB185" s="10"/>
      <c r="AC185" s="10"/>
      <c r="AD185" s="10"/>
      <c r="AE185" s="10"/>
      <c r="AF185" s="10"/>
      <c r="AG185" s="38">
        <f t="shared" si="7"/>
        <v>0</v>
      </c>
      <c r="AH185" s="51" t="str">
        <f t="shared" si="8"/>
        <v xml:space="preserve"> </v>
      </c>
      <c r="AI185" s="64"/>
      <c r="AJ185" s="72"/>
      <c r="AK185" s="65">
        <v>0</v>
      </c>
      <c r="AL185" s="1"/>
      <c r="AM185" s="1"/>
      <c r="AN185" s="81"/>
      <c r="AO185" s="81"/>
    </row>
    <row r="186" spans="1:41" s="26" customFormat="1" x14ac:dyDescent="0.25">
      <c r="A186" s="15" t="s">
        <v>768</v>
      </c>
      <c r="B186" s="8" t="s">
        <v>160</v>
      </c>
      <c r="C186" s="11">
        <v>0.65</v>
      </c>
      <c r="D186" s="18">
        <v>950</v>
      </c>
      <c r="E186" s="18" t="s">
        <v>161</v>
      </c>
      <c r="F186" s="23"/>
      <c r="G186" s="9" t="s">
        <v>769</v>
      </c>
      <c r="H186" s="12" t="s">
        <v>161</v>
      </c>
      <c r="I186" s="10"/>
      <c r="J186" s="12"/>
      <c r="K186" s="14"/>
      <c r="L186" s="14" t="s">
        <v>39</v>
      </c>
      <c r="M186" s="12" t="s">
        <v>338</v>
      </c>
      <c r="N186" s="12" t="s">
        <v>218</v>
      </c>
      <c r="O186" s="12"/>
      <c r="P186" s="12"/>
      <c r="Q186" s="30"/>
      <c r="R186" s="29" t="s">
        <v>167</v>
      </c>
      <c r="S186" s="12" t="s">
        <v>167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">
        <f t="shared" si="6"/>
        <v>0</v>
      </c>
      <c r="Z186" s="10"/>
      <c r="AA186" s="10"/>
      <c r="AB186" s="10"/>
      <c r="AC186" s="10"/>
      <c r="AD186" s="10"/>
      <c r="AE186" s="10"/>
      <c r="AF186" s="10"/>
      <c r="AG186" s="38">
        <f t="shared" si="7"/>
        <v>0</v>
      </c>
      <c r="AH186" s="51" t="str">
        <f t="shared" si="8"/>
        <v xml:space="preserve"> </v>
      </c>
      <c r="AI186" s="64"/>
      <c r="AJ186" s="72"/>
      <c r="AK186" s="65">
        <v>0</v>
      </c>
      <c r="AL186" s="1"/>
      <c r="AM186" s="1"/>
      <c r="AN186" s="81"/>
      <c r="AO186" s="81"/>
    </row>
    <row r="187" spans="1:41" s="26" customFormat="1" x14ac:dyDescent="0.25">
      <c r="A187" s="15" t="s">
        <v>770</v>
      </c>
      <c r="B187" s="8" t="s">
        <v>160</v>
      </c>
      <c r="C187" s="11">
        <v>0.65</v>
      </c>
      <c r="D187" s="18">
        <v>1000</v>
      </c>
      <c r="E187" s="18" t="s">
        <v>161</v>
      </c>
      <c r="F187" s="23"/>
      <c r="G187" s="9" t="s">
        <v>771</v>
      </c>
      <c r="H187" s="12" t="s">
        <v>161</v>
      </c>
      <c r="I187" s="10"/>
      <c r="J187" s="12"/>
      <c r="K187" s="14"/>
      <c r="L187" s="14" t="s">
        <v>39</v>
      </c>
      <c r="M187" s="12" t="s">
        <v>338</v>
      </c>
      <c r="N187" s="12" t="s">
        <v>772</v>
      </c>
      <c r="O187" s="12"/>
      <c r="P187" s="12"/>
      <c r="Q187" s="30"/>
      <c r="R187" s="29" t="s">
        <v>167</v>
      </c>
      <c r="S187" s="10" t="s">
        <v>167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">
        <f t="shared" si="6"/>
        <v>0</v>
      </c>
      <c r="Z187" s="10"/>
      <c r="AA187" s="10"/>
      <c r="AB187" s="10"/>
      <c r="AC187" s="10"/>
      <c r="AD187" s="10"/>
      <c r="AE187" s="10"/>
      <c r="AF187" s="10"/>
      <c r="AG187" s="38">
        <f t="shared" si="7"/>
        <v>0</v>
      </c>
      <c r="AH187" s="51" t="str">
        <f t="shared" si="8"/>
        <v xml:space="preserve"> </v>
      </c>
      <c r="AI187" s="64"/>
      <c r="AJ187" s="72"/>
      <c r="AK187" s="65">
        <v>0</v>
      </c>
      <c r="AL187" s="1"/>
      <c r="AM187" s="1"/>
      <c r="AN187" s="81"/>
      <c r="AO187" s="81"/>
    </row>
    <row r="188" spans="1:41" s="26" customFormat="1" x14ac:dyDescent="0.25">
      <c r="A188" s="15" t="s">
        <v>773</v>
      </c>
      <c r="B188" s="8" t="s">
        <v>160</v>
      </c>
      <c r="C188" s="11">
        <v>0.65</v>
      </c>
      <c r="D188" s="18">
        <v>1150</v>
      </c>
      <c r="E188" s="18" t="s">
        <v>161</v>
      </c>
      <c r="F188" s="23"/>
      <c r="G188" s="9" t="s">
        <v>774</v>
      </c>
      <c r="H188" s="12" t="s">
        <v>161</v>
      </c>
      <c r="I188" s="10"/>
      <c r="J188" s="12"/>
      <c r="K188" s="14"/>
      <c r="L188" s="14" t="s">
        <v>39</v>
      </c>
      <c r="M188" s="12" t="s">
        <v>775</v>
      </c>
      <c r="N188" s="12" t="s">
        <v>218</v>
      </c>
      <c r="O188" s="12"/>
      <c r="P188" s="12"/>
      <c r="Q188" s="30"/>
      <c r="R188" s="29" t="s">
        <v>167</v>
      </c>
      <c r="S188" s="10" t="s">
        <v>167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">
        <f t="shared" si="6"/>
        <v>0</v>
      </c>
      <c r="Z188" s="10"/>
      <c r="AA188" s="10"/>
      <c r="AB188" s="10"/>
      <c r="AC188" s="10"/>
      <c r="AD188" s="10"/>
      <c r="AE188" s="10"/>
      <c r="AF188" s="10"/>
      <c r="AG188" s="38">
        <f t="shared" si="7"/>
        <v>0</v>
      </c>
      <c r="AH188" s="51" t="str">
        <f t="shared" si="8"/>
        <v xml:space="preserve"> </v>
      </c>
      <c r="AI188" s="64"/>
      <c r="AJ188" s="72"/>
      <c r="AK188" s="65">
        <v>0</v>
      </c>
      <c r="AL188" s="1"/>
      <c r="AM188" s="1"/>
      <c r="AN188" s="81"/>
      <c r="AO188" s="81"/>
    </row>
    <row r="189" spans="1:41" s="26" customFormat="1" x14ac:dyDescent="0.25">
      <c r="A189" s="15" t="s">
        <v>776</v>
      </c>
      <c r="B189" s="8" t="s">
        <v>160</v>
      </c>
      <c r="C189" s="11">
        <v>1</v>
      </c>
      <c r="D189" s="18">
        <v>300</v>
      </c>
      <c r="E189" s="18">
        <v>186</v>
      </c>
      <c r="F189" s="77">
        <v>0.04</v>
      </c>
      <c r="G189" s="9" t="s">
        <v>777</v>
      </c>
      <c r="H189" s="10" t="s">
        <v>161</v>
      </c>
      <c r="I189" s="10"/>
      <c r="J189" s="10"/>
      <c r="K189" s="11"/>
      <c r="L189" s="11" t="s">
        <v>39</v>
      </c>
      <c r="M189" s="12" t="s">
        <v>217</v>
      </c>
      <c r="N189" s="10"/>
      <c r="O189" s="12"/>
      <c r="P189" s="10"/>
      <c r="Q189" s="29"/>
      <c r="R189" s="29" t="s">
        <v>167</v>
      </c>
      <c r="S189" s="10" t="s">
        <v>167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">
        <f t="shared" si="6"/>
        <v>0</v>
      </c>
      <c r="Z189" s="10"/>
      <c r="AA189" s="10"/>
      <c r="AB189" s="10"/>
      <c r="AC189" s="10"/>
      <c r="AD189" s="10"/>
      <c r="AE189" s="10"/>
      <c r="AF189" s="10"/>
      <c r="AG189" s="38">
        <f t="shared" si="7"/>
        <v>0</v>
      </c>
      <c r="AH189" s="51" t="str">
        <f t="shared" si="8"/>
        <v xml:space="preserve"> </v>
      </c>
      <c r="AI189" s="64"/>
      <c r="AJ189" s="72"/>
      <c r="AK189" s="65">
        <v>0</v>
      </c>
      <c r="AL189" s="1"/>
      <c r="AM189" s="1"/>
      <c r="AN189" s="81"/>
      <c r="AO189" s="81"/>
    </row>
    <row r="190" spans="1:41" s="26" customFormat="1" x14ac:dyDescent="0.25">
      <c r="A190" s="15" t="s">
        <v>778</v>
      </c>
      <c r="B190" s="8" t="s">
        <v>160</v>
      </c>
      <c r="C190" s="11">
        <v>0.7</v>
      </c>
      <c r="D190" s="18">
        <v>1450</v>
      </c>
      <c r="E190" s="18" t="s">
        <v>161</v>
      </c>
      <c r="F190" s="23"/>
      <c r="G190" s="9" t="s">
        <v>779</v>
      </c>
      <c r="H190" s="12" t="s">
        <v>161</v>
      </c>
      <c r="I190" s="10"/>
      <c r="J190" s="12"/>
      <c r="K190" s="14"/>
      <c r="L190" s="14" t="s">
        <v>39</v>
      </c>
      <c r="M190" s="12" t="s">
        <v>217</v>
      </c>
      <c r="N190" s="12" t="s">
        <v>671</v>
      </c>
      <c r="O190" s="12"/>
      <c r="P190" s="12"/>
      <c r="Q190" s="30"/>
      <c r="R190" s="29" t="s">
        <v>167</v>
      </c>
      <c r="S190" s="10" t="s">
        <v>167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">
        <f t="shared" si="6"/>
        <v>0</v>
      </c>
      <c r="Z190" s="10"/>
      <c r="AA190" s="10"/>
      <c r="AB190" s="10"/>
      <c r="AC190" s="10"/>
      <c r="AD190" s="10"/>
      <c r="AE190" s="10"/>
      <c r="AF190" s="10"/>
      <c r="AG190" s="38">
        <f t="shared" si="7"/>
        <v>0</v>
      </c>
      <c r="AH190" s="51" t="str">
        <f t="shared" si="8"/>
        <v xml:space="preserve"> </v>
      </c>
      <c r="AI190" s="64"/>
      <c r="AJ190" s="72"/>
      <c r="AK190" s="65">
        <v>0</v>
      </c>
      <c r="AL190" s="1"/>
      <c r="AM190" s="1"/>
      <c r="AN190" s="81"/>
      <c r="AO190" s="81"/>
    </row>
    <row r="191" spans="1:41" s="26" customFormat="1" x14ac:dyDescent="0.25">
      <c r="A191" s="15" t="s">
        <v>780</v>
      </c>
      <c r="B191" s="8" t="s">
        <v>160</v>
      </c>
      <c r="C191" s="11">
        <v>1.5</v>
      </c>
      <c r="D191" s="18"/>
      <c r="E191" s="18"/>
      <c r="F191" s="77"/>
      <c r="G191" s="9" t="s">
        <v>781</v>
      </c>
      <c r="H191" s="10" t="s">
        <v>161</v>
      </c>
      <c r="I191" s="10"/>
      <c r="J191" s="10"/>
      <c r="K191" s="11"/>
      <c r="L191" s="11" t="s">
        <v>39</v>
      </c>
      <c r="M191" s="10" t="s">
        <v>338</v>
      </c>
      <c r="N191" s="10"/>
      <c r="O191" s="12"/>
      <c r="P191" s="10"/>
      <c r="Q191" s="29"/>
      <c r="R191" s="29" t="s">
        <v>167</v>
      </c>
      <c r="S191" s="10" t="s">
        <v>167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">
        <f t="shared" si="6"/>
        <v>0</v>
      </c>
      <c r="Z191" s="10"/>
      <c r="AA191" s="10"/>
      <c r="AB191" s="10"/>
      <c r="AC191" s="10"/>
      <c r="AD191" s="10"/>
      <c r="AE191" s="10"/>
      <c r="AF191" s="10"/>
      <c r="AG191" s="38">
        <f t="shared" si="7"/>
        <v>0</v>
      </c>
      <c r="AH191" s="51" t="str">
        <f t="shared" si="8"/>
        <v xml:space="preserve"> </v>
      </c>
      <c r="AI191" s="64"/>
      <c r="AJ191" s="72"/>
      <c r="AK191" s="65">
        <v>0</v>
      </c>
      <c r="AL191" s="1"/>
      <c r="AM191" s="1"/>
      <c r="AN191" s="81"/>
      <c r="AO191" s="81"/>
    </row>
    <row r="192" spans="1:41" s="26" customFormat="1" x14ac:dyDescent="0.25">
      <c r="A192" s="15" t="s">
        <v>782</v>
      </c>
      <c r="B192" s="8" t="s">
        <v>160</v>
      </c>
      <c r="C192" s="11">
        <v>0.75</v>
      </c>
      <c r="D192" s="18">
        <v>1400</v>
      </c>
      <c r="E192" s="18" t="s">
        <v>161</v>
      </c>
      <c r="F192" s="23"/>
      <c r="G192" s="9" t="s">
        <v>783</v>
      </c>
      <c r="H192" s="12" t="s">
        <v>161</v>
      </c>
      <c r="I192" s="10"/>
      <c r="J192" s="12"/>
      <c r="K192" s="14"/>
      <c r="L192" s="14" t="s">
        <v>533</v>
      </c>
      <c r="M192" s="12" t="s">
        <v>378</v>
      </c>
      <c r="N192" s="12" t="s">
        <v>649</v>
      </c>
      <c r="O192" s="12"/>
      <c r="P192" s="12"/>
      <c r="Q192" s="30"/>
      <c r="R192" s="29" t="s">
        <v>167</v>
      </c>
      <c r="S192" s="12" t="s">
        <v>167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">
        <f t="shared" si="6"/>
        <v>0</v>
      </c>
      <c r="Z192" s="10"/>
      <c r="AA192" s="10"/>
      <c r="AB192" s="10"/>
      <c r="AC192" s="10"/>
      <c r="AD192" s="10"/>
      <c r="AE192" s="10"/>
      <c r="AF192" s="10"/>
      <c r="AG192" s="38">
        <f t="shared" si="7"/>
        <v>0</v>
      </c>
      <c r="AH192" s="51" t="str">
        <f t="shared" si="8"/>
        <v xml:space="preserve"> </v>
      </c>
      <c r="AI192" s="64"/>
      <c r="AJ192" s="72"/>
      <c r="AK192" s="65">
        <v>0</v>
      </c>
      <c r="AL192" s="1"/>
      <c r="AM192" s="1"/>
      <c r="AN192" s="81"/>
      <c r="AO192" s="81"/>
    </row>
    <row r="193" spans="1:41" s="26" customFormat="1" x14ac:dyDescent="0.25">
      <c r="A193" s="15" t="s">
        <v>784</v>
      </c>
      <c r="B193" s="8" t="s">
        <v>160</v>
      </c>
      <c r="C193" s="11">
        <v>1</v>
      </c>
      <c r="D193" s="18">
        <v>233</v>
      </c>
      <c r="E193" s="18">
        <v>246</v>
      </c>
      <c r="F193" s="77">
        <v>5.5E-2</v>
      </c>
      <c r="G193" s="9" t="s">
        <v>785</v>
      </c>
      <c r="H193" s="10" t="s">
        <v>161</v>
      </c>
      <c r="I193" s="10"/>
      <c r="J193" s="10"/>
      <c r="K193" s="11"/>
      <c r="L193" s="11" t="s">
        <v>39</v>
      </c>
      <c r="M193" s="10" t="s">
        <v>775</v>
      </c>
      <c r="N193" s="10" t="s">
        <v>786</v>
      </c>
      <c r="O193" s="12"/>
      <c r="P193" s="10"/>
      <c r="Q193" s="29"/>
      <c r="R193" s="29" t="s">
        <v>167</v>
      </c>
      <c r="S193" s="10" t="s">
        <v>167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">
        <f t="shared" si="6"/>
        <v>0</v>
      </c>
      <c r="Z193" s="10"/>
      <c r="AA193" s="10"/>
      <c r="AB193" s="10"/>
      <c r="AC193" s="10"/>
      <c r="AD193" s="10"/>
      <c r="AE193" s="10"/>
      <c r="AF193" s="10"/>
      <c r="AG193" s="38">
        <f t="shared" si="7"/>
        <v>0</v>
      </c>
      <c r="AH193" s="51" t="str">
        <f t="shared" si="8"/>
        <v xml:space="preserve"> </v>
      </c>
      <c r="AI193" s="64"/>
      <c r="AJ193" s="72"/>
      <c r="AK193" s="65">
        <v>0</v>
      </c>
      <c r="AL193" s="1"/>
      <c r="AM193" s="1"/>
      <c r="AN193" s="81"/>
      <c r="AO193" s="81"/>
    </row>
    <row r="194" spans="1:41" s="26" customFormat="1" x14ac:dyDescent="0.25">
      <c r="A194" s="15" t="s">
        <v>787</v>
      </c>
      <c r="B194" s="8" t="s">
        <v>160</v>
      </c>
      <c r="C194" s="11">
        <v>0.9</v>
      </c>
      <c r="D194" s="18">
        <v>1400</v>
      </c>
      <c r="E194" s="18" t="s">
        <v>161</v>
      </c>
      <c r="F194" s="23"/>
      <c r="G194" s="9" t="s">
        <v>788</v>
      </c>
      <c r="H194" s="10" t="s">
        <v>161</v>
      </c>
      <c r="I194" s="10"/>
      <c r="J194" s="10"/>
      <c r="K194" s="11"/>
      <c r="L194" s="11" t="s">
        <v>533</v>
      </c>
      <c r="M194" s="10" t="s">
        <v>378</v>
      </c>
      <c r="N194" s="10" t="s">
        <v>789</v>
      </c>
      <c r="O194" s="12"/>
      <c r="P194" s="10"/>
      <c r="Q194" s="29"/>
      <c r="R194" s="29" t="s">
        <v>167</v>
      </c>
      <c r="S194" s="10" t="s">
        <v>167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">
        <f t="shared" si="6"/>
        <v>0</v>
      </c>
      <c r="Z194" s="10"/>
      <c r="AA194" s="10"/>
      <c r="AB194" s="10"/>
      <c r="AC194" s="10"/>
      <c r="AD194" s="10"/>
      <c r="AE194" s="10"/>
      <c r="AF194" s="10"/>
      <c r="AG194" s="38">
        <f t="shared" si="7"/>
        <v>0</v>
      </c>
      <c r="AH194" s="51" t="str">
        <f t="shared" si="8"/>
        <v xml:space="preserve"> </v>
      </c>
      <c r="AI194" s="64"/>
      <c r="AJ194" s="72"/>
      <c r="AK194" s="65">
        <v>0</v>
      </c>
      <c r="AL194" s="1"/>
      <c r="AM194" s="1"/>
      <c r="AN194" s="81"/>
      <c r="AO194" s="81"/>
    </row>
    <row r="195" spans="1:41" s="26" customFormat="1" x14ac:dyDescent="0.25">
      <c r="A195" s="15" t="s">
        <v>790</v>
      </c>
      <c r="B195" s="8" t="s">
        <v>160</v>
      </c>
      <c r="C195" s="11">
        <v>0.93</v>
      </c>
      <c r="D195" s="18">
        <v>1450</v>
      </c>
      <c r="E195" s="18" t="s">
        <v>161</v>
      </c>
      <c r="F195" s="23"/>
      <c r="G195" s="9" t="s">
        <v>791</v>
      </c>
      <c r="H195" s="10" t="s">
        <v>161</v>
      </c>
      <c r="I195" s="10"/>
      <c r="J195" s="10"/>
      <c r="K195" s="11"/>
      <c r="L195" s="11" t="s">
        <v>533</v>
      </c>
      <c r="M195" s="10" t="s">
        <v>525</v>
      </c>
      <c r="N195" s="10" t="s">
        <v>792</v>
      </c>
      <c r="O195" s="12"/>
      <c r="P195" s="10"/>
      <c r="Q195" s="29"/>
      <c r="R195" s="29" t="s">
        <v>167</v>
      </c>
      <c r="S195" s="10" t="s">
        <v>167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">
        <f t="shared" ref="Y195:Y258" si="9">AVERAGE(T195:X195)</f>
        <v>0</v>
      </c>
      <c r="Z195" s="10"/>
      <c r="AA195" s="10"/>
      <c r="AB195" s="10"/>
      <c r="AC195" s="10"/>
      <c r="AD195" s="10"/>
      <c r="AE195" s="10"/>
      <c r="AF195" s="10"/>
      <c r="AG195" s="38">
        <f t="shared" ref="AG195:AG258" si="10">COUNTIF(Z195:AF195,"X")/7</f>
        <v>0</v>
      </c>
      <c r="AH195" s="51" t="str">
        <f t="shared" ref="AH195:AH258" si="11">IF(AG195=100%,Y195," ")</f>
        <v xml:space="preserve"> </v>
      </c>
      <c r="AI195" s="64"/>
      <c r="AJ195" s="72"/>
      <c r="AK195" s="65">
        <v>0</v>
      </c>
      <c r="AL195" s="1"/>
      <c r="AM195" s="1"/>
      <c r="AN195" s="81"/>
      <c r="AO195" s="81"/>
    </row>
    <row r="196" spans="1:41" s="26" customFormat="1" x14ac:dyDescent="0.25">
      <c r="A196" s="15" t="s">
        <v>793</v>
      </c>
      <c r="B196" s="8" t="s">
        <v>160</v>
      </c>
      <c r="C196" s="11">
        <v>0.6</v>
      </c>
      <c r="D196" s="18">
        <v>312.5</v>
      </c>
      <c r="E196" s="18">
        <v>179</v>
      </c>
      <c r="F196" s="77">
        <v>3.5000000000000003E-2</v>
      </c>
      <c r="G196" s="9" t="s">
        <v>794</v>
      </c>
      <c r="H196" s="10" t="s">
        <v>161</v>
      </c>
      <c r="I196" s="10"/>
      <c r="J196" s="10"/>
      <c r="K196" s="11"/>
      <c r="L196" s="11" t="s">
        <v>533</v>
      </c>
      <c r="M196" s="10" t="s">
        <v>525</v>
      </c>
      <c r="N196" s="10" t="s">
        <v>792</v>
      </c>
      <c r="O196" s="12"/>
      <c r="P196" s="10"/>
      <c r="Q196" s="29"/>
      <c r="R196" s="29" t="s">
        <v>167</v>
      </c>
      <c r="S196" s="10" t="s">
        <v>167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">
        <f t="shared" si="9"/>
        <v>0</v>
      </c>
      <c r="Z196" s="10"/>
      <c r="AA196" s="10"/>
      <c r="AB196" s="10"/>
      <c r="AC196" s="10"/>
      <c r="AD196" s="10"/>
      <c r="AE196" s="10"/>
      <c r="AF196" s="10"/>
      <c r="AG196" s="38">
        <f t="shared" si="10"/>
        <v>0</v>
      </c>
      <c r="AH196" s="51" t="str">
        <f t="shared" si="11"/>
        <v xml:space="preserve"> </v>
      </c>
      <c r="AI196" s="64"/>
      <c r="AJ196" s="72"/>
      <c r="AK196" s="65">
        <v>0</v>
      </c>
      <c r="AL196" s="1"/>
      <c r="AM196" s="1"/>
      <c r="AN196" s="81"/>
      <c r="AO196" s="81"/>
    </row>
    <row r="197" spans="1:41" s="26" customFormat="1" x14ac:dyDescent="0.25">
      <c r="A197" s="15" t="s">
        <v>795</v>
      </c>
      <c r="B197" s="8" t="s">
        <v>160</v>
      </c>
      <c r="C197" s="11">
        <v>2</v>
      </c>
      <c r="D197" s="18">
        <v>190</v>
      </c>
      <c r="E197" s="18">
        <v>48</v>
      </c>
      <c r="F197" s="77">
        <v>7.4999999999999997E-2</v>
      </c>
      <c r="G197" s="9" t="s">
        <v>796</v>
      </c>
      <c r="H197" s="10" t="s">
        <v>161</v>
      </c>
      <c r="I197" s="10"/>
      <c r="J197" s="10"/>
      <c r="K197" s="11"/>
      <c r="L197" s="11" t="s">
        <v>533</v>
      </c>
      <c r="M197" s="10" t="s">
        <v>378</v>
      </c>
      <c r="N197" s="10" t="s">
        <v>680</v>
      </c>
      <c r="O197" s="12"/>
      <c r="P197" s="10"/>
      <c r="Q197" s="29"/>
      <c r="R197" s="29" t="s">
        <v>167</v>
      </c>
      <c r="S197" s="10" t="s">
        <v>167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">
        <f t="shared" si="9"/>
        <v>0</v>
      </c>
      <c r="Z197" s="10"/>
      <c r="AA197" s="10"/>
      <c r="AB197" s="10"/>
      <c r="AC197" s="10"/>
      <c r="AD197" s="10"/>
      <c r="AE197" s="10"/>
      <c r="AF197" s="10"/>
      <c r="AG197" s="38">
        <f t="shared" si="10"/>
        <v>0</v>
      </c>
      <c r="AH197" s="51" t="str">
        <f t="shared" si="11"/>
        <v xml:space="preserve"> </v>
      </c>
      <c r="AI197" s="64"/>
      <c r="AJ197" s="72"/>
      <c r="AK197" s="65">
        <v>0</v>
      </c>
      <c r="AL197" s="1"/>
      <c r="AM197" s="1"/>
      <c r="AN197" s="81"/>
      <c r="AO197" s="81"/>
    </row>
    <row r="198" spans="1:41" s="26" customFormat="1" x14ac:dyDescent="0.25">
      <c r="A198" s="15" t="s">
        <v>797</v>
      </c>
      <c r="B198" s="8" t="s">
        <v>160</v>
      </c>
      <c r="C198" s="11">
        <v>1.2</v>
      </c>
      <c r="D198" s="18">
        <v>280</v>
      </c>
      <c r="E198" s="18">
        <v>90</v>
      </c>
      <c r="F198" s="77">
        <v>0</v>
      </c>
      <c r="G198" s="9" t="s">
        <v>798</v>
      </c>
      <c r="H198" s="12" t="s">
        <v>161</v>
      </c>
      <c r="I198" s="12"/>
      <c r="J198" s="12"/>
      <c r="K198" s="14"/>
      <c r="L198" s="14" t="s">
        <v>533</v>
      </c>
      <c r="M198" s="12" t="s">
        <v>378</v>
      </c>
      <c r="N198" s="12" t="s">
        <v>680</v>
      </c>
      <c r="O198" s="12"/>
      <c r="P198" s="12"/>
      <c r="Q198" s="30"/>
      <c r="R198" s="29" t="s">
        <v>167</v>
      </c>
      <c r="S198" s="12" t="s">
        <v>167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">
        <f t="shared" si="9"/>
        <v>0</v>
      </c>
      <c r="Z198" s="10"/>
      <c r="AA198" s="10"/>
      <c r="AB198" s="10"/>
      <c r="AC198" s="10"/>
      <c r="AD198" s="10"/>
      <c r="AE198" s="10"/>
      <c r="AF198" s="10"/>
      <c r="AG198" s="38">
        <f t="shared" si="10"/>
        <v>0</v>
      </c>
      <c r="AH198" s="51" t="str">
        <f t="shared" si="11"/>
        <v xml:space="preserve"> </v>
      </c>
      <c r="AI198" s="64"/>
      <c r="AJ198" s="72"/>
      <c r="AK198" s="65">
        <v>0</v>
      </c>
      <c r="AL198" s="1"/>
      <c r="AM198" s="1"/>
      <c r="AN198" s="81"/>
      <c r="AO198" s="81"/>
    </row>
    <row r="199" spans="1:41" s="26" customFormat="1" x14ac:dyDescent="0.25">
      <c r="A199" s="15" t="s">
        <v>799</v>
      </c>
      <c r="B199" s="8" t="s">
        <v>160</v>
      </c>
      <c r="C199" s="11">
        <v>1</v>
      </c>
      <c r="D199" s="18">
        <v>1000</v>
      </c>
      <c r="E199" s="18" t="s">
        <v>161</v>
      </c>
      <c r="F199" s="23"/>
      <c r="G199" s="9" t="s">
        <v>800</v>
      </c>
      <c r="H199" s="10" t="s">
        <v>161</v>
      </c>
      <c r="I199" s="10"/>
      <c r="J199" s="10"/>
      <c r="K199" s="11"/>
      <c r="L199" s="11" t="s">
        <v>533</v>
      </c>
      <c r="M199" s="10" t="s">
        <v>378</v>
      </c>
      <c r="N199" s="10" t="s">
        <v>680</v>
      </c>
      <c r="O199" s="12"/>
      <c r="P199" s="10"/>
      <c r="Q199" s="29"/>
      <c r="R199" s="29" t="s">
        <v>167</v>
      </c>
      <c r="S199" s="10" t="s">
        <v>167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">
        <f t="shared" si="9"/>
        <v>0</v>
      </c>
      <c r="Z199" s="10"/>
      <c r="AA199" s="10"/>
      <c r="AB199" s="10"/>
      <c r="AC199" s="10"/>
      <c r="AD199" s="10"/>
      <c r="AE199" s="10"/>
      <c r="AF199" s="10"/>
      <c r="AG199" s="38">
        <f t="shared" si="10"/>
        <v>0</v>
      </c>
      <c r="AH199" s="51" t="str">
        <f t="shared" si="11"/>
        <v xml:space="preserve"> </v>
      </c>
      <c r="AI199" s="64"/>
      <c r="AJ199" s="72"/>
      <c r="AK199" s="65">
        <v>0</v>
      </c>
      <c r="AL199" s="1"/>
      <c r="AM199" s="1"/>
      <c r="AN199" s="81"/>
      <c r="AO199" s="81"/>
    </row>
    <row r="200" spans="1:41" s="26" customFormat="1" x14ac:dyDescent="0.25">
      <c r="A200" s="15" t="s">
        <v>801</v>
      </c>
      <c r="B200" s="8" t="s">
        <v>160</v>
      </c>
      <c r="C200" s="11">
        <v>0.8</v>
      </c>
      <c r="D200" s="18">
        <v>325</v>
      </c>
      <c r="E200" s="18">
        <v>93</v>
      </c>
      <c r="F200" s="77">
        <v>0.04</v>
      </c>
      <c r="G200" s="9" t="s">
        <v>802</v>
      </c>
      <c r="H200" s="10" t="s">
        <v>161</v>
      </c>
      <c r="I200" s="10"/>
      <c r="J200" s="10"/>
      <c r="K200" s="11"/>
      <c r="L200" s="11" t="s">
        <v>533</v>
      </c>
      <c r="M200" s="10" t="s">
        <v>378</v>
      </c>
      <c r="N200" s="10"/>
      <c r="O200" s="12"/>
      <c r="P200" s="10"/>
      <c r="Q200" s="29"/>
      <c r="R200" s="29" t="s">
        <v>167</v>
      </c>
      <c r="S200" s="10" t="s">
        <v>167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">
        <f t="shared" si="9"/>
        <v>0</v>
      </c>
      <c r="Z200" s="10"/>
      <c r="AA200" s="10"/>
      <c r="AB200" s="10"/>
      <c r="AC200" s="10"/>
      <c r="AD200" s="10"/>
      <c r="AE200" s="10"/>
      <c r="AF200" s="10"/>
      <c r="AG200" s="38">
        <f t="shared" si="10"/>
        <v>0</v>
      </c>
      <c r="AH200" s="51" t="str">
        <f t="shared" si="11"/>
        <v xml:space="preserve"> </v>
      </c>
      <c r="AI200" s="64"/>
      <c r="AJ200" s="72"/>
      <c r="AK200" s="65">
        <v>0</v>
      </c>
      <c r="AL200" s="1"/>
      <c r="AM200" s="1"/>
      <c r="AN200" s="81"/>
      <c r="AO200" s="81"/>
    </row>
    <row r="201" spans="1:41" s="26" customFormat="1" x14ac:dyDescent="0.25">
      <c r="A201" s="15" t="s">
        <v>803</v>
      </c>
      <c r="B201" s="8" t="s">
        <v>160</v>
      </c>
      <c r="C201" s="11">
        <v>1</v>
      </c>
      <c r="D201" s="18">
        <v>1050</v>
      </c>
      <c r="E201" s="18" t="s">
        <v>161</v>
      </c>
      <c r="F201" s="23"/>
      <c r="G201" s="9" t="s">
        <v>804</v>
      </c>
      <c r="H201" s="10" t="s">
        <v>161</v>
      </c>
      <c r="I201" s="10"/>
      <c r="J201" s="10"/>
      <c r="K201" s="11"/>
      <c r="L201" s="14" t="s">
        <v>533</v>
      </c>
      <c r="M201" s="10" t="s">
        <v>12</v>
      </c>
      <c r="N201" s="10" t="s">
        <v>12</v>
      </c>
      <c r="O201" s="12"/>
      <c r="P201" s="10"/>
      <c r="Q201" s="29"/>
      <c r="R201" s="29" t="s">
        <v>167</v>
      </c>
      <c r="S201" s="10" t="s">
        <v>167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">
        <f t="shared" si="9"/>
        <v>0</v>
      </c>
      <c r="Z201" s="10"/>
      <c r="AA201" s="10"/>
      <c r="AB201" s="10"/>
      <c r="AC201" s="10"/>
      <c r="AD201" s="10"/>
      <c r="AE201" s="10"/>
      <c r="AF201" s="10"/>
      <c r="AG201" s="38">
        <f t="shared" si="10"/>
        <v>0</v>
      </c>
      <c r="AH201" s="51" t="str">
        <f t="shared" si="11"/>
        <v xml:space="preserve"> </v>
      </c>
      <c r="AI201" s="64"/>
      <c r="AJ201" s="72"/>
      <c r="AK201" s="65">
        <v>0</v>
      </c>
      <c r="AL201" s="1"/>
      <c r="AM201" s="1"/>
      <c r="AN201" s="81"/>
      <c r="AO201" s="81"/>
    </row>
    <row r="202" spans="1:41" s="26" customFormat="1" x14ac:dyDescent="0.25">
      <c r="A202" s="15" t="s">
        <v>805</v>
      </c>
      <c r="B202" s="8" t="s">
        <v>160</v>
      </c>
      <c r="C202" s="11">
        <v>1.3</v>
      </c>
      <c r="D202" s="18">
        <v>1200</v>
      </c>
      <c r="E202" s="18" t="s">
        <v>161</v>
      </c>
      <c r="F202" s="23"/>
      <c r="G202" s="9" t="s">
        <v>450</v>
      </c>
      <c r="H202" s="10" t="s">
        <v>161</v>
      </c>
      <c r="I202" s="10"/>
      <c r="J202" s="10"/>
      <c r="K202" s="11"/>
      <c r="L202" s="11" t="s">
        <v>39</v>
      </c>
      <c r="M202" s="10" t="s">
        <v>338</v>
      </c>
      <c r="N202" s="10" t="s">
        <v>716</v>
      </c>
      <c r="O202" s="12"/>
      <c r="P202" s="10" t="s">
        <v>167</v>
      </c>
      <c r="Q202" s="29" t="s">
        <v>167</v>
      </c>
      <c r="R202" s="29" t="s">
        <v>167</v>
      </c>
      <c r="S202" s="10" t="s">
        <v>177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">
        <f t="shared" si="9"/>
        <v>0</v>
      </c>
      <c r="Z202" s="10"/>
      <c r="AA202" s="10"/>
      <c r="AB202" s="10"/>
      <c r="AC202" s="10"/>
      <c r="AD202" s="10"/>
      <c r="AE202" s="10"/>
      <c r="AF202" s="10"/>
      <c r="AG202" s="38">
        <f t="shared" si="10"/>
        <v>0</v>
      </c>
      <c r="AH202" s="51" t="str">
        <f t="shared" si="11"/>
        <v xml:space="preserve"> </v>
      </c>
      <c r="AI202" s="64"/>
      <c r="AJ202" s="72"/>
      <c r="AK202" s="65">
        <v>0</v>
      </c>
      <c r="AL202" s="1"/>
      <c r="AM202" s="1"/>
      <c r="AN202" s="81"/>
      <c r="AO202" s="81"/>
    </row>
    <row r="203" spans="1:41" s="26" customFormat="1" x14ac:dyDescent="0.25">
      <c r="A203" s="15" t="s">
        <v>806</v>
      </c>
      <c r="B203" s="8" t="s">
        <v>160</v>
      </c>
      <c r="C203" s="11">
        <v>1.4</v>
      </c>
      <c r="D203" s="18">
        <v>1100</v>
      </c>
      <c r="E203" s="18" t="s">
        <v>161</v>
      </c>
      <c r="F203" s="23"/>
      <c r="G203" s="9" t="s">
        <v>774</v>
      </c>
      <c r="H203" s="12" t="s">
        <v>161</v>
      </c>
      <c r="I203" s="12"/>
      <c r="J203" s="12"/>
      <c r="K203" s="14"/>
      <c r="L203" s="14" t="s">
        <v>39</v>
      </c>
      <c r="M203" s="12" t="s">
        <v>775</v>
      </c>
      <c r="N203" s="12" t="s">
        <v>218</v>
      </c>
      <c r="O203" s="12"/>
      <c r="P203" s="12"/>
      <c r="Q203" s="30"/>
      <c r="R203" s="29" t="s">
        <v>167</v>
      </c>
      <c r="S203" s="12" t="s">
        <v>167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">
        <f t="shared" si="9"/>
        <v>0</v>
      </c>
      <c r="Z203" s="10"/>
      <c r="AA203" s="10"/>
      <c r="AB203" s="10"/>
      <c r="AC203" s="10"/>
      <c r="AD203" s="10"/>
      <c r="AE203" s="10"/>
      <c r="AF203" s="10"/>
      <c r="AG203" s="38">
        <f t="shared" si="10"/>
        <v>0</v>
      </c>
      <c r="AH203" s="51" t="str">
        <f t="shared" si="11"/>
        <v xml:space="preserve"> </v>
      </c>
      <c r="AI203" s="64"/>
      <c r="AJ203" s="72"/>
      <c r="AK203" s="65">
        <v>0</v>
      </c>
      <c r="AL203" s="1"/>
      <c r="AM203" s="1"/>
      <c r="AN203" s="81"/>
      <c r="AO203" s="81"/>
    </row>
    <row r="204" spans="1:41" s="26" customFormat="1" x14ac:dyDescent="0.25">
      <c r="A204" s="15" t="s">
        <v>807</v>
      </c>
      <c r="B204" s="8" t="s">
        <v>160</v>
      </c>
      <c r="C204" s="11">
        <v>1.4</v>
      </c>
      <c r="D204" s="18">
        <v>1200</v>
      </c>
      <c r="E204" s="18" t="s">
        <v>161</v>
      </c>
      <c r="F204" s="23"/>
      <c r="G204" s="9" t="s">
        <v>774</v>
      </c>
      <c r="H204" s="10" t="s">
        <v>161</v>
      </c>
      <c r="I204" s="10"/>
      <c r="J204" s="10"/>
      <c r="K204" s="11"/>
      <c r="L204" s="11" t="s">
        <v>39</v>
      </c>
      <c r="M204" s="10" t="s">
        <v>775</v>
      </c>
      <c r="N204" s="10" t="s">
        <v>218</v>
      </c>
      <c r="O204" s="12"/>
      <c r="P204" s="10"/>
      <c r="Q204" s="29"/>
      <c r="R204" s="29" t="s">
        <v>167</v>
      </c>
      <c r="S204" s="10" t="s">
        <v>167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">
        <f t="shared" si="9"/>
        <v>0</v>
      </c>
      <c r="Z204" s="10"/>
      <c r="AA204" s="10"/>
      <c r="AB204" s="10"/>
      <c r="AC204" s="10"/>
      <c r="AD204" s="10"/>
      <c r="AE204" s="10"/>
      <c r="AF204" s="10"/>
      <c r="AG204" s="38">
        <f t="shared" si="10"/>
        <v>0</v>
      </c>
      <c r="AH204" s="51" t="str">
        <f t="shared" si="11"/>
        <v xml:space="preserve"> </v>
      </c>
      <c r="AI204" s="64"/>
      <c r="AJ204" s="72"/>
      <c r="AK204" s="65">
        <v>0</v>
      </c>
      <c r="AL204" s="1"/>
      <c r="AM204" s="1"/>
      <c r="AN204" s="81"/>
      <c r="AO204" s="81"/>
    </row>
    <row r="205" spans="1:41" s="26" customFormat="1" x14ac:dyDescent="0.25">
      <c r="A205" s="15" t="s">
        <v>808</v>
      </c>
      <c r="B205" s="8" t="s">
        <v>160</v>
      </c>
      <c r="C205" s="11">
        <v>1.5</v>
      </c>
      <c r="D205" s="18">
        <v>350</v>
      </c>
      <c r="E205" s="18">
        <v>107</v>
      </c>
      <c r="F205" s="77">
        <v>6.5000000000000002E-2</v>
      </c>
      <c r="G205" s="9" t="s">
        <v>319</v>
      </c>
      <c r="H205" s="10" t="s">
        <v>161</v>
      </c>
      <c r="I205" s="10"/>
      <c r="J205" s="10"/>
      <c r="K205" s="11"/>
      <c r="L205" s="11" t="s">
        <v>39</v>
      </c>
      <c r="M205" s="12" t="s">
        <v>217</v>
      </c>
      <c r="N205" s="10" t="s">
        <v>320</v>
      </c>
      <c r="O205" s="12"/>
      <c r="P205" s="10"/>
      <c r="Q205" s="29"/>
      <c r="R205" s="29" t="s">
        <v>167</v>
      </c>
      <c r="S205" s="10" t="s">
        <v>167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">
        <f t="shared" si="9"/>
        <v>0</v>
      </c>
      <c r="Z205" s="10"/>
      <c r="AA205" s="10"/>
      <c r="AB205" s="10"/>
      <c r="AC205" s="10"/>
      <c r="AD205" s="10"/>
      <c r="AE205" s="10"/>
      <c r="AF205" s="10"/>
      <c r="AG205" s="38">
        <f t="shared" si="10"/>
        <v>0</v>
      </c>
      <c r="AH205" s="51" t="str">
        <f t="shared" si="11"/>
        <v xml:space="preserve"> </v>
      </c>
      <c r="AI205" s="64"/>
      <c r="AJ205" s="72"/>
      <c r="AK205" s="65">
        <v>0</v>
      </c>
      <c r="AL205" s="1"/>
      <c r="AM205" s="1"/>
      <c r="AN205" s="81"/>
      <c r="AO205" s="81"/>
    </row>
    <row r="206" spans="1:41" s="26" customFormat="1" x14ac:dyDescent="0.25">
      <c r="A206" s="15" t="s">
        <v>809</v>
      </c>
      <c r="B206" s="8" t="s">
        <v>160</v>
      </c>
      <c r="C206" s="11">
        <v>1.2</v>
      </c>
      <c r="D206" s="18">
        <v>350</v>
      </c>
      <c r="E206" s="18">
        <v>250</v>
      </c>
      <c r="F206" s="77">
        <v>4.4999999999999998E-2</v>
      </c>
      <c r="G206" s="9" t="s">
        <v>541</v>
      </c>
      <c r="H206" s="12" t="s">
        <v>161</v>
      </c>
      <c r="I206" s="10"/>
      <c r="J206" s="12"/>
      <c r="K206" s="14"/>
      <c r="L206" s="14" t="s">
        <v>524</v>
      </c>
      <c r="M206" s="12" t="s">
        <v>338</v>
      </c>
      <c r="N206" s="12" t="s">
        <v>320</v>
      </c>
      <c r="O206" s="12"/>
      <c r="P206" s="12" t="s">
        <v>167</v>
      </c>
      <c r="Q206" s="30" t="s">
        <v>167</v>
      </c>
      <c r="R206" s="29" t="s">
        <v>167</v>
      </c>
      <c r="S206" s="10" t="s">
        <v>167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">
        <f t="shared" si="9"/>
        <v>0</v>
      </c>
      <c r="Z206" s="10"/>
      <c r="AA206" s="10"/>
      <c r="AB206" s="10"/>
      <c r="AC206" s="10"/>
      <c r="AD206" s="10"/>
      <c r="AE206" s="10"/>
      <c r="AF206" s="10"/>
      <c r="AG206" s="38">
        <f t="shared" si="10"/>
        <v>0</v>
      </c>
      <c r="AH206" s="51" t="str">
        <f t="shared" si="11"/>
        <v xml:space="preserve"> </v>
      </c>
      <c r="AI206" s="64"/>
      <c r="AJ206" s="72"/>
      <c r="AK206" s="65">
        <v>0</v>
      </c>
      <c r="AL206" s="1"/>
      <c r="AM206" s="1"/>
      <c r="AN206" s="81"/>
      <c r="AO206" s="81"/>
    </row>
    <row r="207" spans="1:41" s="26" customFormat="1" x14ac:dyDescent="0.25">
      <c r="A207" s="15" t="s">
        <v>810</v>
      </c>
      <c r="B207" s="8" t="s">
        <v>160</v>
      </c>
      <c r="C207" s="11">
        <v>1.5</v>
      </c>
      <c r="D207" s="18">
        <v>1000</v>
      </c>
      <c r="E207" s="18" t="s">
        <v>161</v>
      </c>
      <c r="F207" s="23"/>
      <c r="G207" s="9" t="s">
        <v>811</v>
      </c>
      <c r="H207" s="12" t="s">
        <v>161</v>
      </c>
      <c r="I207" s="12"/>
      <c r="J207" s="12"/>
      <c r="K207" s="14"/>
      <c r="L207" s="14" t="s">
        <v>191</v>
      </c>
      <c r="M207" s="12" t="s">
        <v>812</v>
      </c>
      <c r="N207" s="12" t="s">
        <v>703</v>
      </c>
      <c r="O207" s="12"/>
      <c r="P207" s="12"/>
      <c r="Q207" s="30"/>
      <c r="R207" s="29" t="s">
        <v>167</v>
      </c>
      <c r="S207" s="12" t="s">
        <v>167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">
        <f t="shared" si="9"/>
        <v>0</v>
      </c>
      <c r="Z207" s="10"/>
      <c r="AA207" s="10"/>
      <c r="AB207" s="10"/>
      <c r="AC207" s="10"/>
      <c r="AD207" s="10"/>
      <c r="AE207" s="10"/>
      <c r="AF207" s="10"/>
      <c r="AG207" s="38">
        <f t="shared" si="10"/>
        <v>0</v>
      </c>
      <c r="AH207" s="51" t="str">
        <f t="shared" si="11"/>
        <v xml:space="preserve"> </v>
      </c>
      <c r="AI207" s="64"/>
      <c r="AJ207" s="72"/>
      <c r="AK207" s="65">
        <v>0</v>
      </c>
      <c r="AL207" s="1"/>
      <c r="AM207" s="1"/>
      <c r="AN207" s="81"/>
      <c r="AO207" s="81"/>
    </row>
    <row r="208" spans="1:41" s="26" customFormat="1" x14ac:dyDescent="0.25">
      <c r="A208" s="15" t="s">
        <v>813</v>
      </c>
      <c r="B208" s="8" t="s">
        <v>160</v>
      </c>
      <c r="C208" s="11">
        <v>1.2</v>
      </c>
      <c r="D208" s="18">
        <v>238</v>
      </c>
      <c r="E208" s="18">
        <v>150</v>
      </c>
      <c r="F208" s="77">
        <v>4.4999999999999998E-2</v>
      </c>
      <c r="G208" s="9" t="s">
        <v>814</v>
      </c>
      <c r="H208" s="10" t="s">
        <v>161</v>
      </c>
      <c r="I208" s="10"/>
      <c r="J208" s="10"/>
      <c r="K208" s="11"/>
      <c r="L208" s="11" t="s">
        <v>39</v>
      </c>
      <c r="M208" s="12" t="s">
        <v>217</v>
      </c>
      <c r="N208" s="10" t="s">
        <v>671</v>
      </c>
      <c r="O208" s="12"/>
      <c r="P208" s="10"/>
      <c r="Q208" s="29"/>
      <c r="R208" s="29" t="s">
        <v>167</v>
      </c>
      <c r="S208" s="10" t="s">
        <v>177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">
        <f t="shared" si="9"/>
        <v>0</v>
      </c>
      <c r="Z208" s="10"/>
      <c r="AA208" s="10"/>
      <c r="AB208" s="10"/>
      <c r="AC208" s="10"/>
      <c r="AD208" s="10"/>
      <c r="AE208" s="10"/>
      <c r="AF208" s="10"/>
      <c r="AG208" s="38">
        <f t="shared" si="10"/>
        <v>0</v>
      </c>
      <c r="AH208" s="51" t="str">
        <f t="shared" si="11"/>
        <v xml:space="preserve"> </v>
      </c>
      <c r="AI208" s="64"/>
      <c r="AJ208" s="72"/>
      <c r="AK208" s="65">
        <v>0</v>
      </c>
      <c r="AL208" s="1"/>
      <c r="AM208" s="1"/>
      <c r="AN208" s="81"/>
      <c r="AO208" s="81"/>
    </row>
    <row r="209" spans="1:41" s="26" customFormat="1" x14ac:dyDescent="0.25">
      <c r="A209" s="15" t="s">
        <v>815</v>
      </c>
      <c r="B209" s="8" t="s">
        <v>160</v>
      </c>
      <c r="C209" s="11">
        <v>1.5</v>
      </c>
      <c r="D209" s="18">
        <v>1300</v>
      </c>
      <c r="E209" s="18" t="s">
        <v>161</v>
      </c>
      <c r="F209" s="23"/>
      <c r="G209" s="9" t="s">
        <v>816</v>
      </c>
      <c r="H209" s="10" t="s">
        <v>161</v>
      </c>
      <c r="I209" s="10"/>
      <c r="J209" s="10"/>
      <c r="K209" s="11"/>
      <c r="L209" s="11" t="s">
        <v>39</v>
      </c>
      <c r="M209" s="12" t="s">
        <v>217</v>
      </c>
      <c r="N209" s="10" t="s">
        <v>218</v>
      </c>
      <c r="O209" s="12"/>
      <c r="P209" s="10"/>
      <c r="Q209" s="29"/>
      <c r="R209" s="29" t="s">
        <v>167</v>
      </c>
      <c r="S209" s="10" t="s">
        <v>177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">
        <f t="shared" si="9"/>
        <v>0</v>
      </c>
      <c r="Z209" s="10"/>
      <c r="AA209" s="10"/>
      <c r="AB209" s="10"/>
      <c r="AC209" s="10"/>
      <c r="AD209" s="10"/>
      <c r="AE209" s="10"/>
      <c r="AF209" s="10"/>
      <c r="AG209" s="38">
        <f t="shared" si="10"/>
        <v>0</v>
      </c>
      <c r="AH209" s="51" t="str">
        <f t="shared" si="11"/>
        <v xml:space="preserve"> </v>
      </c>
      <c r="AI209" s="64"/>
      <c r="AJ209" s="72"/>
      <c r="AK209" s="65">
        <v>0</v>
      </c>
      <c r="AL209" s="1"/>
      <c r="AM209" s="1"/>
      <c r="AN209" s="81"/>
      <c r="AO209" s="81"/>
    </row>
    <row r="210" spans="1:41" s="26" customFormat="1" x14ac:dyDescent="0.25">
      <c r="A210" s="15" t="s">
        <v>817</v>
      </c>
      <c r="B210" s="8" t="s">
        <v>160</v>
      </c>
      <c r="C210" s="11">
        <v>1.5</v>
      </c>
      <c r="D210" s="18">
        <v>1050</v>
      </c>
      <c r="E210" s="18" t="s">
        <v>161</v>
      </c>
      <c r="F210" s="23"/>
      <c r="G210" s="9" t="s">
        <v>818</v>
      </c>
      <c r="H210" s="12" t="s">
        <v>161</v>
      </c>
      <c r="I210" s="12"/>
      <c r="J210" s="12"/>
      <c r="K210" s="14"/>
      <c r="L210" s="14" t="s">
        <v>533</v>
      </c>
      <c r="M210" s="12" t="s">
        <v>378</v>
      </c>
      <c r="N210" s="12" t="s">
        <v>331</v>
      </c>
      <c r="O210" s="12"/>
      <c r="P210" s="12"/>
      <c r="Q210" s="30"/>
      <c r="R210" s="29" t="s">
        <v>167</v>
      </c>
      <c r="S210" s="12" t="s">
        <v>167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">
        <f t="shared" si="9"/>
        <v>0</v>
      </c>
      <c r="Z210" s="10"/>
      <c r="AA210" s="10"/>
      <c r="AB210" s="10"/>
      <c r="AC210" s="10"/>
      <c r="AD210" s="10"/>
      <c r="AE210" s="10"/>
      <c r="AF210" s="10"/>
      <c r="AG210" s="38">
        <f t="shared" si="10"/>
        <v>0</v>
      </c>
      <c r="AH210" s="51" t="str">
        <f t="shared" si="11"/>
        <v xml:space="preserve"> </v>
      </c>
      <c r="AI210" s="64"/>
      <c r="AJ210" s="72"/>
      <c r="AK210" s="65">
        <v>0</v>
      </c>
      <c r="AL210" s="1"/>
      <c r="AM210" s="1"/>
      <c r="AN210" s="81"/>
      <c r="AO210" s="81"/>
    </row>
    <row r="211" spans="1:41" s="26" customFormat="1" x14ac:dyDescent="0.25">
      <c r="A211" s="15" t="s">
        <v>819</v>
      </c>
      <c r="B211" s="8" t="s">
        <v>160</v>
      </c>
      <c r="C211" s="11">
        <v>1.5</v>
      </c>
      <c r="D211" s="18">
        <v>1050</v>
      </c>
      <c r="E211" s="18" t="s">
        <v>161</v>
      </c>
      <c r="F211" s="23"/>
      <c r="G211" s="9" t="s">
        <v>820</v>
      </c>
      <c r="H211" s="12" t="s">
        <v>161</v>
      </c>
      <c r="I211" s="12"/>
      <c r="J211" s="12"/>
      <c r="K211" s="14"/>
      <c r="L211" s="14" t="s">
        <v>39</v>
      </c>
      <c r="M211" s="12" t="s">
        <v>210</v>
      </c>
      <c r="N211" s="12" t="s">
        <v>290</v>
      </c>
      <c r="O211" s="12"/>
      <c r="P211" s="12"/>
      <c r="Q211" s="30"/>
      <c r="R211" s="29" t="s">
        <v>167</v>
      </c>
      <c r="S211" s="12" t="s">
        <v>177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">
        <f t="shared" si="9"/>
        <v>0</v>
      </c>
      <c r="Z211" s="10"/>
      <c r="AA211" s="10"/>
      <c r="AB211" s="10"/>
      <c r="AC211" s="10"/>
      <c r="AD211" s="10"/>
      <c r="AE211" s="10"/>
      <c r="AF211" s="10"/>
      <c r="AG211" s="38">
        <f t="shared" si="10"/>
        <v>0</v>
      </c>
      <c r="AH211" s="51" t="str">
        <f t="shared" si="11"/>
        <v xml:space="preserve"> </v>
      </c>
      <c r="AI211" s="64"/>
      <c r="AJ211" s="72"/>
      <c r="AK211" s="65">
        <v>0</v>
      </c>
      <c r="AL211" s="1"/>
      <c r="AM211" s="1"/>
      <c r="AN211" s="81"/>
      <c r="AO211" s="81"/>
    </row>
    <row r="212" spans="1:41" s="26" customFormat="1" x14ac:dyDescent="0.25">
      <c r="A212" s="15" t="s">
        <v>821</v>
      </c>
      <c r="B212" s="8" t="s">
        <v>160</v>
      </c>
      <c r="C212" s="11">
        <v>0.7</v>
      </c>
      <c r="D212" s="18">
        <v>270</v>
      </c>
      <c r="E212" s="18">
        <v>131</v>
      </c>
      <c r="F212" s="77">
        <v>0.04</v>
      </c>
      <c r="G212" s="9" t="s">
        <v>822</v>
      </c>
      <c r="H212" s="12" t="s">
        <v>161</v>
      </c>
      <c r="I212" s="12"/>
      <c r="J212" s="12"/>
      <c r="K212" s="14"/>
      <c r="L212" s="14" t="s">
        <v>533</v>
      </c>
      <c r="M212" s="12" t="s">
        <v>378</v>
      </c>
      <c r="N212" s="12" t="s">
        <v>680</v>
      </c>
      <c r="O212" s="12"/>
      <c r="P212" s="12"/>
      <c r="Q212" s="30"/>
      <c r="R212" s="29" t="s">
        <v>167</v>
      </c>
      <c r="S212" s="12" t="s">
        <v>167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">
        <f t="shared" si="9"/>
        <v>0</v>
      </c>
      <c r="Z212" s="10"/>
      <c r="AA212" s="10"/>
      <c r="AB212" s="10"/>
      <c r="AC212" s="10"/>
      <c r="AD212" s="10"/>
      <c r="AE212" s="10"/>
      <c r="AF212" s="10"/>
      <c r="AG212" s="38">
        <f t="shared" si="10"/>
        <v>0</v>
      </c>
      <c r="AH212" s="51" t="str">
        <f t="shared" si="11"/>
        <v xml:space="preserve"> </v>
      </c>
      <c r="AI212" s="64"/>
      <c r="AJ212" s="72"/>
      <c r="AK212" s="65">
        <v>0</v>
      </c>
      <c r="AL212" s="1"/>
      <c r="AM212" s="1"/>
      <c r="AN212" s="81"/>
      <c r="AO212" s="81"/>
    </row>
    <row r="213" spans="1:41" s="26" customFormat="1" x14ac:dyDescent="0.25">
      <c r="A213" s="15" t="s">
        <v>823</v>
      </c>
      <c r="B213" s="8" t="s">
        <v>203</v>
      </c>
      <c r="C213" s="11">
        <v>0.9</v>
      </c>
      <c r="D213" s="18">
        <v>1100</v>
      </c>
      <c r="E213" s="18">
        <v>246</v>
      </c>
      <c r="F213" s="23"/>
      <c r="G213" s="9" t="s">
        <v>824</v>
      </c>
      <c r="H213" s="12" t="s">
        <v>161</v>
      </c>
      <c r="I213" s="10"/>
      <c r="J213" s="12"/>
      <c r="K213" s="14"/>
      <c r="L213" s="14" t="s">
        <v>191</v>
      </c>
      <c r="M213" s="12" t="s">
        <v>378</v>
      </c>
      <c r="N213" s="12" t="s">
        <v>649</v>
      </c>
      <c r="O213" s="12"/>
      <c r="P213" s="12"/>
      <c r="Q213" s="30"/>
      <c r="R213" s="29" t="s">
        <v>167</v>
      </c>
      <c r="S213" s="10" t="s">
        <v>167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">
        <f t="shared" si="9"/>
        <v>0</v>
      </c>
      <c r="Z213" s="10"/>
      <c r="AA213" s="10"/>
      <c r="AB213" s="10"/>
      <c r="AC213" s="10"/>
      <c r="AD213" s="10"/>
      <c r="AE213" s="10"/>
      <c r="AF213" s="10"/>
      <c r="AG213" s="38">
        <f t="shared" si="10"/>
        <v>0</v>
      </c>
      <c r="AH213" s="51" t="str">
        <f t="shared" si="11"/>
        <v xml:space="preserve"> </v>
      </c>
      <c r="AI213" s="64"/>
      <c r="AJ213" s="72"/>
      <c r="AK213" s="65">
        <v>0</v>
      </c>
      <c r="AL213" s="1"/>
      <c r="AM213" s="1"/>
      <c r="AN213" s="81"/>
      <c r="AO213" s="81"/>
    </row>
    <row r="214" spans="1:41" s="26" customFormat="1" x14ac:dyDescent="0.25">
      <c r="A214" s="15" t="s">
        <v>825</v>
      </c>
      <c r="B214" s="8" t="s">
        <v>203</v>
      </c>
      <c r="C214" s="11">
        <v>1.2</v>
      </c>
      <c r="D214" s="18">
        <v>300</v>
      </c>
      <c r="E214" s="18">
        <v>188</v>
      </c>
      <c r="F214" s="23"/>
      <c r="G214" s="9" t="s">
        <v>826</v>
      </c>
      <c r="H214" s="12" t="s">
        <v>161</v>
      </c>
      <c r="I214" s="12"/>
      <c r="J214" s="12"/>
      <c r="K214" s="14"/>
      <c r="L214" s="14" t="s">
        <v>191</v>
      </c>
      <c r="M214" s="12" t="s">
        <v>812</v>
      </c>
      <c r="N214" s="12" t="s">
        <v>703</v>
      </c>
      <c r="O214" s="12"/>
      <c r="P214" s="12"/>
      <c r="Q214" s="30"/>
      <c r="R214" s="29" t="s">
        <v>167</v>
      </c>
      <c r="S214" s="12" t="s">
        <v>167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">
        <f t="shared" si="9"/>
        <v>0</v>
      </c>
      <c r="Z214" s="10"/>
      <c r="AA214" s="10"/>
      <c r="AB214" s="10"/>
      <c r="AC214" s="10"/>
      <c r="AD214" s="10"/>
      <c r="AE214" s="10"/>
      <c r="AF214" s="10"/>
      <c r="AG214" s="38">
        <f t="shared" si="10"/>
        <v>0</v>
      </c>
      <c r="AH214" s="51" t="str">
        <f t="shared" si="11"/>
        <v xml:space="preserve"> </v>
      </c>
      <c r="AI214" s="64"/>
      <c r="AJ214" s="72"/>
      <c r="AK214" s="65">
        <v>0</v>
      </c>
      <c r="AL214" s="1"/>
      <c r="AM214" s="1"/>
      <c r="AN214" s="81"/>
      <c r="AO214" s="81"/>
    </row>
    <row r="215" spans="1:41" s="26" customFormat="1" x14ac:dyDescent="0.25">
      <c r="A215" s="15" t="s">
        <v>827</v>
      </c>
      <c r="B215" s="8" t="s">
        <v>203</v>
      </c>
      <c r="C215" s="11">
        <v>1.5</v>
      </c>
      <c r="D215" s="18">
        <v>1200</v>
      </c>
      <c r="E215" s="18">
        <v>9295</v>
      </c>
      <c r="F215" s="23"/>
      <c r="G215" s="9" t="s">
        <v>828</v>
      </c>
      <c r="H215" s="10" t="s">
        <v>161</v>
      </c>
      <c r="I215" s="10"/>
      <c r="J215" s="10"/>
      <c r="K215" s="11"/>
      <c r="L215" s="11" t="s">
        <v>533</v>
      </c>
      <c r="M215" s="10" t="s">
        <v>829</v>
      </c>
      <c r="N215" s="10"/>
      <c r="O215" s="12"/>
      <c r="P215" s="10" t="s">
        <v>167</v>
      </c>
      <c r="Q215" s="29" t="s">
        <v>167</v>
      </c>
      <c r="R215" s="29" t="s">
        <v>167</v>
      </c>
      <c r="S215" s="10" t="s">
        <v>167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">
        <f t="shared" si="9"/>
        <v>0</v>
      </c>
      <c r="Z215" s="10"/>
      <c r="AA215" s="10"/>
      <c r="AB215" s="10"/>
      <c r="AC215" s="10"/>
      <c r="AD215" s="10"/>
      <c r="AE215" s="10"/>
      <c r="AF215" s="10"/>
      <c r="AG215" s="38">
        <f t="shared" si="10"/>
        <v>0</v>
      </c>
      <c r="AH215" s="51" t="str">
        <f t="shared" si="11"/>
        <v xml:space="preserve"> </v>
      </c>
      <c r="AI215" s="64"/>
      <c r="AJ215" s="72"/>
      <c r="AK215" s="65">
        <v>0</v>
      </c>
      <c r="AL215" s="1"/>
      <c r="AM215" s="1"/>
      <c r="AN215" s="81"/>
      <c r="AO215" s="81"/>
    </row>
    <row r="216" spans="1:41" s="26" customFormat="1" x14ac:dyDescent="0.25">
      <c r="A216" s="15" t="s">
        <v>830</v>
      </c>
      <c r="B216" s="8" t="s">
        <v>203</v>
      </c>
      <c r="C216" s="11">
        <v>2</v>
      </c>
      <c r="D216" s="18">
        <v>1000</v>
      </c>
      <c r="E216" s="18">
        <v>2720</v>
      </c>
      <c r="F216" s="23"/>
      <c r="G216" s="9" t="s">
        <v>831</v>
      </c>
      <c r="H216" s="12" t="s">
        <v>161</v>
      </c>
      <c r="I216" s="12"/>
      <c r="J216" s="12"/>
      <c r="K216" s="14"/>
      <c r="L216" s="14" t="s">
        <v>27</v>
      </c>
      <c r="M216" s="12" t="s">
        <v>260</v>
      </c>
      <c r="N216" s="12"/>
      <c r="O216" s="12"/>
      <c r="P216" s="12"/>
      <c r="Q216" s="30"/>
      <c r="R216" s="29" t="s">
        <v>167</v>
      </c>
      <c r="S216" s="10" t="s">
        <v>167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">
        <f t="shared" si="9"/>
        <v>0</v>
      </c>
      <c r="Z216" s="10"/>
      <c r="AA216" s="10"/>
      <c r="AB216" s="10"/>
      <c r="AC216" s="10"/>
      <c r="AD216" s="10"/>
      <c r="AE216" s="10"/>
      <c r="AF216" s="10"/>
      <c r="AG216" s="38">
        <f t="shared" si="10"/>
        <v>0</v>
      </c>
      <c r="AH216" s="51" t="str">
        <f t="shared" si="11"/>
        <v xml:space="preserve"> </v>
      </c>
      <c r="AI216" s="64"/>
      <c r="AJ216" s="72"/>
      <c r="AK216" s="65">
        <v>0</v>
      </c>
      <c r="AL216" s="1"/>
      <c r="AM216" s="1"/>
      <c r="AN216" s="81"/>
      <c r="AO216" s="81"/>
    </row>
    <row r="217" spans="1:41" s="26" customFormat="1" x14ac:dyDescent="0.25">
      <c r="A217" s="15" t="s">
        <v>832</v>
      </c>
      <c r="B217" s="8" t="s">
        <v>203</v>
      </c>
      <c r="C217" s="11">
        <v>2</v>
      </c>
      <c r="D217" s="18">
        <v>1200</v>
      </c>
      <c r="E217" s="18">
        <v>2000</v>
      </c>
      <c r="F217" s="23"/>
      <c r="G217" s="9" t="s">
        <v>833</v>
      </c>
      <c r="H217" s="10" t="s">
        <v>161</v>
      </c>
      <c r="I217" s="10"/>
      <c r="J217" s="10"/>
      <c r="K217" s="11"/>
      <c r="L217" s="11" t="s">
        <v>533</v>
      </c>
      <c r="M217" s="10" t="s">
        <v>239</v>
      </c>
      <c r="N217" s="10" t="s">
        <v>834</v>
      </c>
      <c r="O217" s="12"/>
      <c r="P217" s="10"/>
      <c r="Q217" s="29"/>
      <c r="R217" s="29" t="s">
        <v>167</v>
      </c>
      <c r="S217" s="10" t="s">
        <v>167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">
        <f t="shared" si="9"/>
        <v>0</v>
      </c>
      <c r="Z217" s="10"/>
      <c r="AA217" s="10"/>
      <c r="AB217" s="10"/>
      <c r="AC217" s="10"/>
      <c r="AD217" s="10"/>
      <c r="AE217" s="10"/>
      <c r="AF217" s="10"/>
      <c r="AG217" s="38">
        <f t="shared" si="10"/>
        <v>0</v>
      </c>
      <c r="AH217" s="51" t="str">
        <f t="shared" si="11"/>
        <v xml:space="preserve"> </v>
      </c>
      <c r="AI217" s="64"/>
      <c r="AJ217" s="72"/>
      <c r="AK217" s="65">
        <v>0</v>
      </c>
      <c r="AL217" s="1"/>
      <c r="AM217" s="1"/>
      <c r="AN217" s="81"/>
      <c r="AO217" s="81"/>
    </row>
    <row r="218" spans="1:41" s="26" customFormat="1" x14ac:dyDescent="0.25">
      <c r="A218" s="15" t="s">
        <v>835</v>
      </c>
      <c r="B218" s="8" t="s">
        <v>431</v>
      </c>
      <c r="C218" s="11">
        <v>2</v>
      </c>
      <c r="D218" s="18">
        <v>1200</v>
      </c>
      <c r="E218" s="18">
        <v>2000</v>
      </c>
      <c r="F218" s="23"/>
      <c r="G218" s="9" t="s">
        <v>836</v>
      </c>
      <c r="H218" s="10" t="s">
        <v>161</v>
      </c>
      <c r="I218" s="10"/>
      <c r="J218" s="10"/>
      <c r="K218" s="11"/>
      <c r="L218" s="11" t="s">
        <v>533</v>
      </c>
      <c r="M218" s="10" t="s">
        <v>239</v>
      </c>
      <c r="N218" s="10"/>
      <c r="O218" s="12"/>
      <c r="P218" s="10"/>
      <c r="Q218" s="29"/>
      <c r="R218" s="29" t="s">
        <v>167</v>
      </c>
      <c r="S218" s="10" t="s">
        <v>167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">
        <f t="shared" si="9"/>
        <v>0</v>
      </c>
      <c r="Z218" s="10"/>
      <c r="AA218" s="10"/>
      <c r="AB218" s="10"/>
      <c r="AC218" s="10"/>
      <c r="AD218" s="10"/>
      <c r="AE218" s="10"/>
      <c r="AF218" s="10"/>
      <c r="AG218" s="38">
        <f t="shared" si="10"/>
        <v>0</v>
      </c>
      <c r="AH218" s="51" t="str">
        <f t="shared" si="11"/>
        <v xml:space="preserve"> </v>
      </c>
      <c r="AI218" s="64"/>
      <c r="AJ218" s="72"/>
      <c r="AK218" s="65">
        <v>0</v>
      </c>
      <c r="AL218" s="1"/>
      <c r="AM218" s="1"/>
      <c r="AN218" s="81"/>
      <c r="AO218" s="81"/>
    </row>
    <row r="219" spans="1:41" s="26" customFormat="1" x14ac:dyDescent="0.25">
      <c r="A219" s="15" t="s">
        <v>837</v>
      </c>
      <c r="B219" s="8" t="s">
        <v>431</v>
      </c>
      <c r="C219" s="11">
        <v>2</v>
      </c>
      <c r="D219" s="18">
        <v>1100</v>
      </c>
      <c r="E219" s="18">
        <v>1775</v>
      </c>
      <c r="F219" s="23"/>
      <c r="G219" s="9" t="s">
        <v>838</v>
      </c>
      <c r="H219" s="10">
        <v>34015160</v>
      </c>
      <c r="I219" s="10"/>
      <c r="J219" s="10"/>
      <c r="K219" s="11"/>
      <c r="L219" s="11" t="s">
        <v>191</v>
      </c>
      <c r="M219" s="10" t="s">
        <v>338</v>
      </c>
      <c r="N219" s="10"/>
      <c r="O219" s="12"/>
      <c r="P219" s="10"/>
      <c r="Q219" s="29"/>
      <c r="R219" s="29" t="s">
        <v>167</v>
      </c>
      <c r="S219" s="10" t="s">
        <v>167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">
        <f t="shared" si="9"/>
        <v>0</v>
      </c>
      <c r="Z219" s="10"/>
      <c r="AA219" s="10"/>
      <c r="AB219" s="10"/>
      <c r="AC219" s="10"/>
      <c r="AD219" s="10"/>
      <c r="AE219" s="10"/>
      <c r="AF219" s="10"/>
      <c r="AG219" s="38">
        <f t="shared" si="10"/>
        <v>0</v>
      </c>
      <c r="AH219" s="51" t="str">
        <f t="shared" si="11"/>
        <v xml:space="preserve"> </v>
      </c>
      <c r="AI219" s="64"/>
      <c r="AJ219" s="72"/>
      <c r="AK219" s="65">
        <v>0</v>
      </c>
      <c r="AL219" s="1"/>
      <c r="AM219" s="1"/>
      <c r="AN219" s="81"/>
      <c r="AO219" s="81"/>
    </row>
    <row r="220" spans="1:41" s="26" customFormat="1" x14ac:dyDescent="0.25">
      <c r="A220" s="15" t="s">
        <v>839</v>
      </c>
      <c r="B220" s="8" t="s">
        <v>431</v>
      </c>
      <c r="C220" s="11">
        <v>2</v>
      </c>
      <c r="D220" s="18">
        <v>1100</v>
      </c>
      <c r="E220" s="18">
        <v>1925</v>
      </c>
      <c r="F220" s="23"/>
      <c r="G220" s="9"/>
      <c r="H220" s="12">
        <v>34015373</v>
      </c>
      <c r="I220" s="12"/>
      <c r="J220" s="12"/>
      <c r="K220" s="14"/>
      <c r="L220" s="14" t="s">
        <v>191</v>
      </c>
      <c r="M220" s="12"/>
      <c r="N220" s="12"/>
      <c r="O220" s="12"/>
      <c r="P220" s="12"/>
      <c r="Q220" s="30"/>
      <c r="R220" s="29" t="s">
        <v>167</v>
      </c>
      <c r="S220" s="17" t="s">
        <v>167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">
        <f t="shared" si="9"/>
        <v>0</v>
      </c>
      <c r="Z220" s="10"/>
      <c r="AA220" s="10"/>
      <c r="AB220" s="10"/>
      <c r="AC220" s="10"/>
      <c r="AD220" s="10"/>
      <c r="AE220" s="10"/>
      <c r="AF220" s="10"/>
      <c r="AG220" s="38">
        <f t="shared" si="10"/>
        <v>0</v>
      </c>
      <c r="AH220" s="51" t="str">
        <f t="shared" si="11"/>
        <v xml:space="preserve"> </v>
      </c>
      <c r="AI220" s="64"/>
      <c r="AJ220" s="72"/>
      <c r="AK220" s="65">
        <v>0</v>
      </c>
      <c r="AL220" s="1"/>
      <c r="AM220" s="1"/>
      <c r="AN220" s="81"/>
      <c r="AO220" s="81"/>
    </row>
    <row r="221" spans="1:41" s="26" customFormat="1" x14ac:dyDescent="0.25">
      <c r="A221" s="15" t="s">
        <v>840</v>
      </c>
      <c r="B221" s="8" t="s">
        <v>431</v>
      </c>
      <c r="C221" s="11">
        <v>2</v>
      </c>
      <c r="D221" s="18">
        <v>1200</v>
      </c>
      <c r="E221" s="18">
        <v>1950</v>
      </c>
      <c r="F221" s="23"/>
      <c r="G221" s="9" t="s">
        <v>841</v>
      </c>
      <c r="H221" s="10" t="s">
        <v>161</v>
      </c>
      <c r="I221" s="10"/>
      <c r="J221" s="10"/>
      <c r="K221" s="11"/>
      <c r="L221" s="11" t="s">
        <v>533</v>
      </c>
      <c r="M221" s="10" t="s">
        <v>842</v>
      </c>
      <c r="N221" s="10"/>
      <c r="O221" s="12"/>
      <c r="P221" s="10"/>
      <c r="Q221" s="29"/>
      <c r="R221" s="29" t="s">
        <v>167</v>
      </c>
      <c r="S221" s="10" t="s">
        <v>167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">
        <f t="shared" si="9"/>
        <v>0</v>
      </c>
      <c r="Z221" s="10"/>
      <c r="AA221" s="10"/>
      <c r="AB221" s="10"/>
      <c r="AC221" s="10"/>
      <c r="AD221" s="10"/>
      <c r="AE221" s="10"/>
      <c r="AF221" s="10"/>
      <c r="AG221" s="38">
        <f t="shared" si="10"/>
        <v>0</v>
      </c>
      <c r="AH221" s="51" t="str">
        <f t="shared" si="11"/>
        <v xml:space="preserve"> </v>
      </c>
      <c r="AI221" s="64"/>
      <c r="AJ221" s="72"/>
      <c r="AK221" s="65">
        <v>0</v>
      </c>
      <c r="AL221" s="1"/>
      <c r="AM221" s="1"/>
      <c r="AN221" s="81"/>
      <c r="AO221" s="81"/>
    </row>
    <row r="222" spans="1:41" s="26" customFormat="1" x14ac:dyDescent="0.25">
      <c r="A222" s="15" t="s">
        <v>843</v>
      </c>
      <c r="B222" s="8" t="s">
        <v>431</v>
      </c>
      <c r="C222" s="10" t="s">
        <v>844</v>
      </c>
      <c r="D222" s="18">
        <v>1250</v>
      </c>
      <c r="E222" s="18">
        <v>1720</v>
      </c>
      <c r="F222" s="23"/>
      <c r="G222" s="9" t="s">
        <v>845</v>
      </c>
      <c r="H222" s="10" t="s">
        <v>161</v>
      </c>
      <c r="I222" s="10"/>
      <c r="J222" s="10"/>
      <c r="K222" s="11"/>
      <c r="L222" s="11" t="s">
        <v>191</v>
      </c>
      <c r="M222" s="10" t="s">
        <v>338</v>
      </c>
      <c r="N222" s="10"/>
      <c r="O222" s="12"/>
      <c r="P222" s="10"/>
      <c r="Q222" s="29"/>
      <c r="R222" s="29" t="s">
        <v>167</v>
      </c>
      <c r="S222" s="10" t="s">
        <v>167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">
        <f t="shared" si="9"/>
        <v>0</v>
      </c>
      <c r="Z222" s="10"/>
      <c r="AA222" s="10"/>
      <c r="AB222" s="10"/>
      <c r="AC222" s="10"/>
      <c r="AD222" s="10"/>
      <c r="AE222" s="10"/>
      <c r="AF222" s="10"/>
      <c r="AG222" s="38">
        <f t="shared" si="10"/>
        <v>0</v>
      </c>
      <c r="AH222" s="51" t="str">
        <f t="shared" si="11"/>
        <v xml:space="preserve"> </v>
      </c>
      <c r="AI222" s="64"/>
      <c r="AJ222" s="72"/>
      <c r="AK222" s="65">
        <v>0</v>
      </c>
      <c r="AL222" s="1"/>
      <c r="AM222" s="1"/>
      <c r="AN222" s="81"/>
      <c r="AO222" s="81"/>
    </row>
    <row r="223" spans="1:41" s="26" customFormat="1" x14ac:dyDescent="0.25">
      <c r="A223" s="15" t="s">
        <v>846</v>
      </c>
      <c r="B223" s="8" t="s">
        <v>431</v>
      </c>
      <c r="C223" s="11">
        <v>3</v>
      </c>
      <c r="D223" s="18">
        <v>1150</v>
      </c>
      <c r="E223" s="18">
        <v>2000</v>
      </c>
      <c r="F223" s="23"/>
      <c r="G223" s="9" t="s">
        <v>847</v>
      </c>
      <c r="H223" s="10" t="s">
        <v>161</v>
      </c>
      <c r="I223" s="10"/>
      <c r="J223" s="10"/>
      <c r="K223" s="11"/>
      <c r="L223" s="11" t="s">
        <v>27</v>
      </c>
      <c r="M223" s="10" t="s">
        <v>534</v>
      </c>
      <c r="N223" s="10"/>
      <c r="O223" s="12"/>
      <c r="P223" s="10"/>
      <c r="Q223" s="29"/>
      <c r="R223" s="29" t="s">
        <v>167</v>
      </c>
      <c r="S223" s="10" t="s">
        <v>167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">
        <f t="shared" si="9"/>
        <v>0</v>
      </c>
      <c r="Z223" s="10"/>
      <c r="AA223" s="10"/>
      <c r="AB223" s="10"/>
      <c r="AC223" s="10"/>
      <c r="AD223" s="10"/>
      <c r="AE223" s="10"/>
      <c r="AF223" s="10"/>
      <c r="AG223" s="38">
        <f t="shared" si="10"/>
        <v>0</v>
      </c>
      <c r="AH223" s="51" t="str">
        <f t="shared" si="11"/>
        <v xml:space="preserve"> </v>
      </c>
      <c r="AI223" s="64"/>
      <c r="AJ223" s="72"/>
      <c r="AK223" s="65">
        <v>0</v>
      </c>
      <c r="AL223" s="1"/>
      <c r="AM223" s="1"/>
      <c r="AN223" s="81"/>
      <c r="AO223" s="81"/>
    </row>
    <row r="224" spans="1:41" s="26" customFormat="1" x14ac:dyDescent="0.25">
      <c r="A224" s="15" t="s">
        <v>848</v>
      </c>
      <c r="B224" s="8" t="s">
        <v>431</v>
      </c>
      <c r="C224" s="11">
        <v>3</v>
      </c>
      <c r="D224" s="18">
        <v>1200</v>
      </c>
      <c r="E224" s="18">
        <v>2000</v>
      </c>
      <c r="F224" s="23"/>
      <c r="G224" s="9" t="s">
        <v>849</v>
      </c>
      <c r="H224" s="10" t="s">
        <v>161</v>
      </c>
      <c r="I224" s="10"/>
      <c r="J224" s="10"/>
      <c r="K224" s="11"/>
      <c r="L224" s="11" t="s">
        <v>27</v>
      </c>
      <c r="M224" s="10" t="s">
        <v>239</v>
      </c>
      <c r="N224" s="10"/>
      <c r="O224" s="12"/>
      <c r="P224" s="12" t="s">
        <v>167</v>
      </c>
      <c r="Q224" s="12" t="s">
        <v>167</v>
      </c>
      <c r="R224" s="29" t="s">
        <v>167</v>
      </c>
      <c r="S224" s="10" t="s">
        <v>167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">
        <f t="shared" si="9"/>
        <v>0</v>
      </c>
      <c r="Z224" s="10"/>
      <c r="AA224" s="10"/>
      <c r="AB224" s="10"/>
      <c r="AC224" s="10"/>
      <c r="AD224" s="10"/>
      <c r="AE224" s="10"/>
      <c r="AF224" s="10"/>
      <c r="AG224" s="38">
        <f t="shared" si="10"/>
        <v>0</v>
      </c>
      <c r="AH224" s="51" t="str">
        <f t="shared" si="11"/>
        <v xml:space="preserve"> </v>
      </c>
      <c r="AI224" s="64"/>
      <c r="AJ224" s="72"/>
      <c r="AK224" s="65">
        <v>0</v>
      </c>
      <c r="AL224" s="1"/>
      <c r="AM224" s="1"/>
      <c r="AN224" s="81"/>
      <c r="AO224" s="81"/>
    </row>
    <row r="225" spans="1:41" s="26" customFormat="1" x14ac:dyDescent="0.25">
      <c r="A225" s="15" t="s">
        <v>850</v>
      </c>
      <c r="B225" s="8" t="s">
        <v>431</v>
      </c>
      <c r="C225" s="11">
        <v>3</v>
      </c>
      <c r="D225" s="18">
        <v>1220</v>
      </c>
      <c r="E225" s="18">
        <v>1400</v>
      </c>
      <c r="F225" s="23"/>
      <c r="G225" s="9" t="s">
        <v>851</v>
      </c>
      <c r="H225" s="12" t="s">
        <v>161</v>
      </c>
      <c r="I225" s="12"/>
      <c r="J225" s="12"/>
      <c r="K225" s="14"/>
      <c r="L225" s="14" t="s">
        <v>27</v>
      </c>
      <c r="M225" s="12"/>
      <c r="N225" s="12"/>
      <c r="O225" s="12"/>
      <c r="P225" s="12"/>
      <c r="Q225" s="30"/>
      <c r="R225" s="29" t="s">
        <v>167</v>
      </c>
      <c r="S225" s="10" t="s">
        <v>167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">
        <f t="shared" si="9"/>
        <v>0</v>
      </c>
      <c r="Z225" s="10"/>
      <c r="AA225" s="10"/>
      <c r="AB225" s="10"/>
      <c r="AC225" s="10"/>
      <c r="AD225" s="10"/>
      <c r="AE225" s="10"/>
      <c r="AF225" s="10"/>
      <c r="AG225" s="38">
        <f t="shared" si="10"/>
        <v>0</v>
      </c>
      <c r="AH225" s="51" t="str">
        <f t="shared" si="11"/>
        <v xml:space="preserve"> </v>
      </c>
      <c r="AI225" s="64"/>
      <c r="AJ225" s="72"/>
      <c r="AK225" s="65">
        <v>0</v>
      </c>
      <c r="AL225" s="1"/>
      <c r="AM225" s="1"/>
      <c r="AN225" s="81"/>
      <c r="AO225" s="81"/>
    </row>
    <row r="226" spans="1:41" s="26" customFormat="1" x14ac:dyDescent="0.25">
      <c r="A226" s="15" t="s">
        <v>852</v>
      </c>
      <c r="B226" s="8" t="s">
        <v>431</v>
      </c>
      <c r="C226" s="11">
        <v>4</v>
      </c>
      <c r="D226" s="18">
        <v>1250</v>
      </c>
      <c r="E226" s="18">
        <v>3000</v>
      </c>
      <c r="F226" s="23"/>
      <c r="G226" s="9" t="s">
        <v>853</v>
      </c>
      <c r="H226" s="10" t="s">
        <v>161</v>
      </c>
      <c r="I226" s="10"/>
      <c r="J226" s="10"/>
      <c r="K226" s="11"/>
      <c r="L226" s="11" t="s">
        <v>533</v>
      </c>
      <c r="M226" s="10" t="s">
        <v>239</v>
      </c>
      <c r="N226" s="10" t="s">
        <v>583</v>
      </c>
      <c r="O226" s="12"/>
      <c r="P226" s="10"/>
      <c r="Q226" s="29"/>
      <c r="R226" s="29" t="s">
        <v>167</v>
      </c>
      <c r="S226" s="10" t="s">
        <v>167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">
        <f t="shared" si="9"/>
        <v>0</v>
      </c>
      <c r="Z226" s="10"/>
      <c r="AA226" s="10"/>
      <c r="AB226" s="10"/>
      <c r="AC226" s="10"/>
      <c r="AD226" s="10"/>
      <c r="AE226" s="10"/>
      <c r="AF226" s="10"/>
      <c r="AG226" s="38">
        <f t="shared" si="10"/>
        <v>0</v>
      </c>
      <c r="AH226" s="51" t="str">
        <f t="shared" si="11"/>
        <v xml:space="preserve"> </v>
      </c>
      <c r="AI226" s="64"/>
      <c r="AJ226" s="72"/>
      <c r="AK226" s="65">
        <v>0</v>
      </c>
      <c r="AL226" s="1"/>
      <c r="AM226" s="1"/>
      <c r="AN226" s="81"/>
      <c r="AO226" s="81"/>
    </row>
    <row r="227" spans="1:41" s="26" customFormat="1" x14ac:dyDescent="0.25">
      <c r="A227" s="15" t="s">
        <v>854</v>
      </c>
      <c r="B227" s="8" t="s">
        <v>431</v>
      </c>
      <c r="C227" s="11">
        <v>4</v>
      </c>
      <c r="D227" s="18">
        <v>1200</v>
      </c>
      <c r="E227" s="18">
        <v>1950</v>
      </c>
      <c r="F227" s="23"/>
      <c r="G227" s="9" t="s">
        <v>855</v>
      </c>
      <c r="H227" s="10" t="s">
        <v>161</v>
      </c>
      <c r="I227" s="10"/>
      <c r="J227" s="10"/>
      <c r="K227" s="11"/>
      <c r="L227" s="11" t="s">
        <v>533</v>
      </c>
      <c r="M227" s="10" t="s">
        <v>239</v>
      </c>
      <c r="N227" s="10" t="s">
        <v>856</v>
      </c>
      <c r="O227" s="12"/>
      <c r="P227" s="10"/>
      <c r="Q227" s="29"/>
      <c r="R227" s="29" t="s">
        <v>167</v>
      </c>
      <c r="S227" s="10" t="s">
        <v>167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">
        <f t="shared" si="9"/>
        <v>0</v>
      </c>
      <c r="Z227" s="10"/>
      <c r="AA227" s="10"/>
      <c r="AB227" s="10"/>
      <c r="AC227" s="10"/>
      <c r="AD227" s="10"/>
      <c r="AE227" s="10"/>
      <c r="AF227" s="10"/>
      <c r="AG227" s="38">
        <f t="shared" si="10"/>
        <v>0</v>
      </c>
      <c r="AH227" s="51" t="str">
        <f t="shared" si="11"/>
        <v xml:space="preserve"> </v>
      </c>
      <c r="AI227" s="64"/>
      <c r="AJ227" s="72"/>
      <c r="AK227" s="65">
        <v>0</v>
      </c>
      <c r="AL227" s="1"/>
      <c r="AM227" s="1"/>
      <c r="AN227" s="81"/>
      <c r="AO227" s="81"/>
    </row>
    <row r="228" spans="1:41" s="26" customFormat="1" x14ac:dyDescent="0.25">
      <c r="A228" s="15" t="s">
        <v>857</v>
      </c>
      <c r="B228" s="8" t="s">
        <v>431</v>
      </c>
      <c r="C228" s="11">
        <v>4</v>
      </c>
      <c r="D228" s="18">
        <v>1200</v>
      </c>
      <c r="E228" s="18">
        <v>2100</v>
      </c>
      <c r="F228" s="23"/>
      <c r="G228" s="9" t="s">
        <v>858</v>
      </c>
      <c r="H228" s="12" t="s">
        <v>161</v>
      </c>
      <c r="I228" s="12"/>
      <c r="J228" s="12"/>
      <c r="K228" s="14"/>
      <c r="L228" s="14" t="s">
        <v>533</v>
      </c>
      <c r="M228" s="12" t="s">
        <v>240</v>
      </c>
      <c r="N228" s="12"/>
      <c r="O228" s="12"/>
      <c r="P228" s="12"/>
      <c r="Q228" s="30"/>
      <c r="R228" s="29" t="s">
        <v>167</v>
      </c>
      <c r="S228" s="10" t="s">
        <v>167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">
        <f t="shared" si="9"/>
        <v>0</v>
      </c>
      <c r="Z228" s="10"/>
      <c r="AA228" s="10"/>
      <c r="AB228" s="10"/>
      <c r="AC228" s="10"/>
      <c r="AD228" s="10"/>
      <c r="AE228" s="10"/>
      <c r="AF228" s="10"/>
      <c r="AG228" s="38">
        <f t="shared" si="10"/>
        <v>0</v>
      </c>
      <c r="AH228" s="51" t="str">
        <f t="shared" si="11"/>
        <v xml:space="preserve"> </v>
      </c>
      <c r="AI228" s="64"/>
      <c r="AJ228" s="72"/>
      <c r="AK228" s="65">
        <v>0</v>
      </c>
      <c r="AL228" s="1"/>
      <c r="AM228" s="1"/>
      <c r="AN228" s="81"/>
      <c r="AO228" s="81"/>
    </row>
    <row r="229" spans="1:41" s="26" customFormat="1" x14ac:dyDescent="0.25">
      <c r="A229" s="15" t="s">
        <v>859</v>
      </c>
      <c r="B229" s="8" t="s">
        <v>431</v>
      </c>
      <c r="C229" s="11">
        <v>4</v>
      </c>
      <c r="D229" s="18">
        <v>1250</v>
      </c>
      <c r="E229" s="18">
        <v>235</v>
      </c>
      <c r="F229" s="23"/>
      <c r="G229" s="9"/>
      <c r="H229" s="10" t="s">
        <v>161</v>
      </c>
      <c r="I229" s="10"/>
      <c r="J229" s="10"/>
      <c r="K229" s="11"/>
      <c r="L229" s="11" t="s">
        <v>533</v>
      </c>
      <c r="M229" s="10" t="s">
        <v>534</v>
      </c>
      <c r="N229" s="10"/>
      <c r="O229" s="12"/>
      <c r="P229" s="10"/>
      <c r="Q229" s="29"/>
      <c r="R229" s="29" t="s">
        <v>167</v>
      </c>
      <c r="S229" s="10" t="s">
        <v>167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">
        <f t="shared" si="9"/>
        <v>0</v>
      </c>
      <c r="Z229" s="10"/>
      <c r="AA229" s="10"/>
      <c r="AB229" s="10"/>
      <c r="AC229" s="10"/>
      <c r="AD229" s="10"/>
      <c r="AE229" s="10"/>
      <c r="AF229" s="10"/>
      <c r="AG229" s="38">
        <f t="shared" si="10"/>
        <v>0</v>
      </c>
      <c r="AH229" s="51" t="str">
        <f t="shared" si="11"/>
        <v xml:space="preserve"> </v>
      </c>
      <c r="AI229" s="64"/>
      <c r="AJ229" s="72"/>
      <c r="AK229" s="65">
        <v>0</v>
      </c>
      <c r="AL229" s="1"/>
      <c r="AM229" s="1"/>
      <c r="AN229" s="81"/>
      <c r="AO229" s="81"/>
    </row>
    <row r="230" spans="1:41" s="26" customFormat="1" x14ac:dyDescent="0.25">
      <c r="A230" s="15" t="s">
        <v>860</v>
      </c>
      <c r="B230" s="8" t="s">
        <v>431</v>
      </c>
      <c r="C230" s="11">
        <v>4.75</v>
      </c>
      <c r="D230" s="18">
        <v>1300</v>
      </c>
      <c r="E230" s="18">
        <v>2805</v>
      </c>
      <c r="F230" s="23"/>
      <c r="G230" s="9" t="s">
        <v>861</v>
      </c>
      <c r="H230" s="10" t="s">
        <v>161</v>
      </c>
      <c r="I230" s="10"/>
      <c r="J230" s="10"/>
      <c r="K230" s="11"/>
      <c r="L230" s="11" t="s">
        <v>533</v>
      </c>
      <c r="M230" s="10" t="s">
        <v>239</v>
      </c>
      <c r="N230" s="10"/>
      <c r="O230" s="12"/>
      <c r="P230" s="10"/>
      <c r="Q230" s="29"/>
      <c r="R230" s="29" t="s">
        <v>167</v>
      </c>
      <c r="S230" s="10" t="s">
        <v>167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">
        <f t="shared" si="9"/>
        <v>0</v>
      </c>
      <c r="Z230" s="10"/>
      <c r="AA230" s="10"/>
      <c r="AB230" s="10"/>
      <c r="AC230" s="10"/>
      <c r="AD230" s="10"/>
      <c r="AE230" s="10"/>
      <c r="AF230" s="10"/>
      <c r="AG230" s="38">
        <f t="shared" si="10"/>
        <v>0</v>
      </c>
      <c r="AH230" s="51" t="str">
        <f t="shared" si="11"/>
        <v xml:space="preserve"> </v>
      </c>
      <c r="AI230" s="64"/>
      <c r="AJ230" s="72"/>
      <c r="AK230" s="65">
        <v>0</v>
      </c>
      <c r="AL230" s="1"/>
      <c r="AM230" s="1"/>
      <c r="AN230" s="81"/>
      <c r="AO230" s="81"/>
    </row>
    <row r="231" spans="1:41" s="26" customFormat="1" x14ac:dyDescent="0.25">
      <c r="A231" s="15" t="s">
        <v>862</v>
      </c>
      <c r="B231" s="8" t="s">
        <v>431</v>
      </c>
      <c r="C231" s="11">
        <v>4.75</v>
      </c>
      <c r="D231" s="18">
        <v>1100</v>
      </c>
      <c r="E231" s="18">
        <v>2000</v>
      </c>
      <c r="F231" s="23"/>
      <c r="G231" s="9" t="s">
        <v>863</v>
      </c>
      <c r="H231" s="10" t="s">
        <v>161</v>
      </c>
      <c r="I231" s="10"/>
      <c r="J231" s="10"/>
      <c r="K231" s="11"/>
      <c r="L231" s="11" t="s">
        <v>533</v>
      </c>
      <c r="M231" s="10" t="s">
        <v>534</v>
      </c>
      <c r="N231" s="10"/>
      <c r="O231" s="12"/>
      <c r="P231" s="10"/>
      <c r="Q231" s="29"/>
      <c r="R231" s="29" t="s">
        <v>167</v>
      </c>
      <c r="S231" s="10" t="s">
        <v>167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">
        <f t="shared" si="9"/>
        <v>0</v>
      </c>
      <c r="Z231" s="10"/>
      <c r="AA231" s="10"/>
      <c r="AB231" s="10"/>
      <c r="AC231" s="10"/>
      <c r="AD231" s="10"/>
      <c r="AE231" s="10"/>
      <c r="AF231" s="10"/>
      <c r="AG231" s="38">
        <f t="shared" si="10"/>
        <v>0</v>
      </c>
      <c r="AH231" s="51" t="str">
        <f t="shared" si="11"/>
        <v xml:space="preserve"> </v>
      </c>
      <c r="AI231" s="64"/>
      <c r="AJ231" s="72"/>
      <c r="AK231" s="65">
        <v>0</v>
      </c>
      <c r="AL231" s="1"/>
      <c r="AM231" s="1"/>
      <c r="AN231" s="81"/>
      <c r="AO231" s="81"/>
    </row>
    <row r="232" spans="1:41" s="26" customFormat="1" x14ac:dyDescent="0.25">
      <c r="A232" s="15" t="s">
        <v>864</v>
      </c>
      <c r="B232" s="8" t="s">
        <v>431</v>
      </c>
      <c r="C232" s="11">
        <v>5</v>
      </c>
      <c r="D232" s="18">
        <v>1100</v>
      </c>
      <c r="E232" s="18">
        <v>2200</v>
      </c>
      <c r="F232" s="23"/>
      <c r="G232" s="9"/>
      <c r="H232" s="12" t="s">
        <v>161</v>
      </c>
      <c r="I232" s="12"/>
      <c r="J232" s="12"/>
      <c r="K232" s="14"/>
      <c r="L232" s="11" t="s">
        <v>533</v>
      </c>
      <c r="M232" s="12"/>
      <c r="N232" s="12"/>
      <c r="O232" s="12"/>
      <c r="P232" s="12"/>
      <c r="Q232" s="30"/>
      <c r="R232" s="29" t="s">
        <v>167</v>
      </c>
      <c r="S232" s="10" t="s">
        <v>167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">
        <f t="shared" si="9"/>
        <v>0</v>
      </c>
      <c r="Z232" s="10"/>
      <c r="AA232" s="10"/>
      <c r="AB232" s="10"/>
      <c r="AC232" s="10"/>
      <c r="AD232" s="10"/>
      <c r="AE232" s="10"/>
      <c r="AF232" s="10"/>
      <c r="AG232" s="38">
        <f t="shared" si="10"/>
        <v>0</v>
      </c>
      <c r="AH232" s="51" t="str">
        <f t="shared" si="11"/>
        <v xml:space="preserve"> </v>
      </c>
      <c r="AI232" s="64"/>
      <c r="AJ232" s="72"/>
      <c r="AK232" s="65">
        <v>0</v>
      </c>
      <c r="AL232" s="1"/>
      <c r="AM232" s="1"/>
      <c r="AN232" s="81"/>
      <c r="AO232" s="81"/>
    </row>
    <row r="233" spans="1:41" s="26" customFormat="1" x14ac:dyDescent="0.25">
      <c r="A233" s="15" t="s">
        <v>865</v>
      </c>
      <c r="B233" s="8" t="s">
        <v>431</v>
      </c>
      <c r="C233" s="11">
        <v>5</v>
      </c>
      <c r="D233" s="18">
        <v>1000</v>
      </c>
      <c r="E233" s="18">
        <v>1200</v>
      </c>
      <c r="F233" s="23"/>
      <c r="G233" s="9" t="s">
        <v>866</v>
      </c>
      <c r="H233" s="10" t="s">
        <v>161</v>
      </c>
      <c r="I233" s="10"/>
      <c r="J233" s="10"/>
      <c r="K233" s="11"/>
      <c r="L233" s="11" t="s">
        <v>533</v>
      </c>
      <c r="M233" s="10" t="s">
        <v>260</v>
      </c>
      <c r="N233" s="10"/>
      <c r="O233" s="12"/>
      <c r="P233" s="10"/>
      <c r="Q233" s="29"/>
      <c r="R233" s="29" t="s">
        <v>167</v>
      </c>
      <c r="S233" s="10" t="s">
        <v>167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">
        <f t="shared" si="9"/>
        <v>0</v>
      </c>
      <c r="Z233" s="10"/>
      <c r="AA233" s="10"/>
      <c r="AB233" s="10"/>
      <c r="AC233" s="10"/>
      <c r="AD233" s="10"/>
      <c r="AE233" s="10"/>
      <c r="AF233" s="10"/>
      <c r="AG233" s="38">
        <f t="shared" si="10"/>
        <v>0</v>
      </c>
      <c r="AH233" s="51" t="str">
        <f t="shared" si="11"/>
        <v xml:space="preserve"> </v>
      </c>
      <c r="AI233" s="64"/>
      <c r="AJ233" s="72"/>
      <c r="AK233" s="65">
        <v>0</v>
      </c>
      <c r="AL233" s="1"/>
      <c r="AM233" s="1"/>
      <c r="AN233" s="81"/>
      <c r="AO233" s="81"/>
    </row>
    <row r="234" spans="1:41" s="26" customFormat="1" x14ac:dyDescent="0.25">
      <c r="A234" s="15" t="s">
        <v>867</v>
      </c>
      <c r="B234" s="8" t="s">
        <v>431</v>
      </c>
      <c r="C234" s="11">
        <v>1</v>
      </c>
      <c r="D234" s="18">
        <v>574</v>
      </c>
      <c r="E234" s="18">
        <v>200</v>
      </c>
      <c r="F234" s="77">
        <v>4.4999999999999998E-2</v>
      </c>
      <c r="G234" s="9" t="s">
        <v>238</v>
      </c>
      <c r="H234" s="12" t="s">
        <v>161</v>
      </c>
      <c r="I234" s="12"/>
      <c r="J234" s="12"/>
      <c r="K234" s="14"/>
      <c r="L234" s="14" t="s">
        <v>533</v>
      </c>
      <c r="M234" s="12" t="s">
        <v>240</v>
      </c>
      <c r="N234" s="12" t="s">
        <v>240</v>
      </c>
      <c r="O234" s="12"/>
      <c r="P234" s="12"/>
      <c r="Q234" s="30"/>
      <c r="R234" s="29" t="s">
        <v>167</v>
      </c>
      <c r="S234" s="12" t="s">
        <v>167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">
        <f t="shared" si="9"/>
        <v>0</v>
      </c>
      <c r="Z234" s="10"/>
      <c r="AA234" s="10"/>
      <c r="AB234" s="10"/>
      <c r="AC234" s="10"/>
      <c r="AD234" s="10"/>
      <c r="AE234" s="10"/>
      <c r="AF234" s="10"/>
      <c r="AG234" s="38">
        <f t="shared" si="10"/>
        <v>0</v>
      </c>
      <c r="AH234" s="51" t="str">
        <f t="shared" si="11"/>
        <v xml:space="preserve"> </v>
      </c>
      <c r="AI234" s="64"/>
      <c r="AJ234" s="72"/>
      <c r="AK234" s="65">
        <v>0</v>
      </c>
      <c r="AL234" s="1"/>
      <c r="AM234" s="1"/>
      <c r="AN234" s="81"/>
      <c r="AO234" s="81"/>
    </row>
    <row r="235" spans="1:41" s="26" customFormat="1" x14ac:dyDescent="0.25">
      <c r="A235" s="15" t="s">
        <v>868</v>
      </c>
      <c r="B235" s="8" t="s">
        <v>312</v>
      </c>
      <c r="C235" s="11">
        <v>0.75</v>
      </c>
      <c r="D235" s="18">
        <v>450</v>
      </c>
      <c r="E235" s="18">
        <v>700</v>
      </c>
      <c r="F235" s="23"/>
      <c r="G235" s="9" t="s">
        <v>869</v>
      </c>
      <c r="H235" s="10">
        <v>34025702</v>
      </c>
      <c r="I235" s="10"/>
      <c r="J235" s="10"/>
      <c r="K235" s="11"/>
      <c r="L235" s="11" t="s">
        <v>191</v>
      </c>
      <c r="M235" s="10" t="s">
        <v>525</v>
      </c>
      <c r="N235" s="10" t="s">
        <v>703</v>
      </c>
      <c r="O235" s="12"/>
      <c r="P235" s="10"/>
      <c r="Q235" s="29"/>
      <c r="R235" s="29" t="s">
        <v>167</v>
      </c>
      <c r="S235" s="10" t="s">
        <v>167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">
        <f t="shared" si="9"/>
        <v>0</v>
      </c>
      <c r="Z235" s="10"/>
      <c r="AA235" s="10"/>
      <c r="AB235" s="10"/>
      <c r="AC235" s="10"/>
      <c r="AD235" s="10"/>
      <c r="AE235" s="10"/>
      <c r="AF235" s="10"/>
      <c r="AG235" s="38">
        <f t="shared" si="10"/>
        <v>0</v>
      </c>
      <c r="AH235" s="51" t="str">
        <f t="shared" si="11"/>
        <v xml:space="preserve"> </v>
      </c>
      <c r="AI235" s="64"/>
      <c r="AJ235" s="72"/>
      <c r="AK235" s="65">
        <v>0</v>
      </c>
      <c r="AL235" s="1"/>
      <c r="AM235" s="1"/>
      <c r="AN235" s="81"/>
      <c r="AO235" s="81"/>
    </row>
    <row r="236" spans="1:41" s="26" customFormat="1" x14ac:dyDescent="0.25">
      <c r="A236" s="15" t="s">
        <v>870</v>
      </c>
      <c r="B236" s="8" t="s">
        <v>312</v>
      </c>
      <c r="C236" s="11">
        <v>0.85</v>
      </c>
      <c r="D236" s="18">
        <v>170</v>
      </c>
      <c r="E236" s="18">
        <v>210</v>
      </c>
      <c r="F236" s="23"/>
      <c r="G236" s="9" t="s">
        <v>871</v>
      </c>
      <c r="H236" s="10" t="s">
        <v>161</v>
      </c>
      <c r="I236" s="10"/>
      <c r="J236" s="10"/>
      <c r="K236" s="11"/>
      <c r="L236" s="11" t="s">
        <v>533</v>
      </c>
      <c r="M236" s="10" t="s">
        <v>378</v>
      </c>
      <c r="N236" s="10" t="s">
        <v>789</v>
      </c>
      <c r="O236" s="12"/>
      <c r="P236" s="10"/>
      <c r="Q236" s="29"/>
      <c r="R236" s="29" t="s">
        <v>167</v>
      </c>
      <c r="S236" s="10" t="s">
        <v>167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">
        <f t="shared" si="9"/>
        <v>0</v>
      </c>
      <c r="Z236" s="10"/>
      <c r="AA236" s="10"/>
      <c r="AB236" s="10"/>
      <c r="AC236" s="10"/>
      <c r="AD236" s="10"/>
      <c r="AE236" s="10"/>
      <c r="AF236" s="10"/>
      <c r="AG236" s="38">
        <f t="shared" si="10"/>
        <v>0</v>
      </c>
      <c r="AH236" s="51" t="str">
        <f t="shared" si="11"/>
        <v xml:space="preserve"> </v>
      </c>
      <c r="AI236" s="64"/>
      <c r="AJ236" s="72"/>
      <c r="AK236" s="65">
        <v>0</v>
      </c>
      <c r="AL236" s="1"/>
      <c r="AM236" s="1"/>
      <c r="AN236" s="81"/>
      <c r="AO236" s="81"/>
    </row>
    <row r="237" spans="1:41" s="26" customFormat="1" x14ac:dyDescent="0.25">
      <c r="A237" s="15" t="s">
        <v>872</v>
      </c>
      <c r="B237" s="8" t="s">
        <v>873</v>
      </c>
      <c r="C237" s="11">
        <v>1</v>
      </c>
      <c r="D237" s="18">
        <v>140</v>
      </c>
      <c r="E237" s="18">
        <v>93</v>
      </c>
      <c r="F237" s="23"/>
      <c r="G237" s="9" t="s">
        <v>874</v>
      </c>
      <c r="H237" s="10" t="s">
        <v>161</v>
      </c>
      <c r="I237" s="10"/>
      <c r="J237" s="10"/>
      <c r="K237" s="11"/>
      <c r="L237" s="11" t="s">
        <v>378</v>
      </c>
      <c r="M237" s="10" t="s">
        <v>164</v>
      </c>
      <c r="N237" s="37" t="s">
        <v>165</v>
      </c>
      <c r="O237" s="12"/>
      <c r="P237" s="10"/>
      <c r="Q237" s="29"/>
      <c r="R237" s="29" t="s">
        <v>167</v>
      </c>
      <c r="S237" s="10" t="s">
        <v>167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">
        <f t="shared" si="9"/>
        <v>0</v>
      </c>
      <c r="Z237" s="10"/>
      <c r="AA237" s="10"/>
      <c r="AB237" s="10"/>
      <c r="AC237" s="10"/>
      <c r="AD237" s="10"/>
      <c r="AE237" s="10"/>
      <c r="AF237" s="10"/>
      <c r="AG237" s="38">
        <f t="shared" si="10"/>
        <v>0</v>
      </c>
      <c r="AH237" s="51" t="str">
        <f t="shared" si="11"/>
        <v xml:space="preserve"> </v>
      </c>
      <c r="AI237" s="64"/>
      <c r="AJ237" s="72"/>
      <c r="AK237" s="65">
        <v>0</v>
      </c>
      <c r="AL237" s="1"/>
      <c r="AM237" s="1"/>
      <c r="AN237" s="81"/>
      <c r="AO237" s="81"/>
    </row>
    <row r="238" spans="1:41" s="26" customFormat="1" x14ac:dyDescent="0.25">
      <c r="A238" s="15" t="s">
        <v>875</v>
      </c>
      <c r="B238" s="8" t="s">
        <v>329</v>
      </c>
      <c r="C238" s="11">
        <v>0.75</v>
      </c>
      <c r="D238" s="18">
        <v>170</v>
      </c>
      <c r="E238" s="18" t="s">
        <v>161</v>
      </c>
      <c r="F238" s="23"/>
      <c r="G238" s="9" t="s">
        <v>876</v>
      </c>
      <c r="H238" s="10" t="s">
        <v>161</v>
      </c>
      <c r="I238" s="10"/>
      <c r="J238" s="10"/>
      <c r="K238" s="11"/>
      <c r="L238" s="11" t="s">
        <v>533</v>
      </c>
      <c r="M238" s="10" t="s">
        <v>338</v>
      </c>
      <c r="N238" s="10" t="s">
        <v>877</v>
      </c>
      <c r="O238" s="12"/>
      <c r="P238" s="10" t="s">
        <v>167</v>
      </c>
      <c r="Q238" s="29" t="s">
        <v>167</v>
      </c>
      <c r="R238" s="29" t="s">
        <v>167</v>
      </c>
      <c r="S238" s="10" t="s">
        <v>167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">
        <f t="shared" si="9"/>
        <v>0</v>
      </c>
      <c r="Z238" s="10"/>
      <c r="AA238" s="10"/>
      <c r="AB238" s="10"/>
      <c r="AC238" s="10"/>
      <c r="AD238" s="10"/>
      <c r="AE238" s="10"/>
      <c r="AF238" s="10"/>
      <c r="AG238" s="38">
        <f t="shared" si="10"/>
        <v>0</v>
      </c>
      <c r="AH238" s="51" t="str">
        <f t="shared" si="11"/>
        <v xml:space="preserve"> </v>
      </c>
      <c r="AI238" s="64"/>
      <c r="AJ238" s="72"/>
      <c r="AK238" s="65">
        <v>0</v>
      </c>
      <c r="AL238" s="1"/>
      <c r="AM238" s="1"/>
      <c r="AN238" s="81"/>
      <c r="AO238" s="81"/>
    </row>
    <row r="239" spans="1:41" s="26" customFormat="1" x14ac:dyDescent="0.25">
      <c r="A239" s="15" t="s">
        <v>878</v>
      </c>
      <c r="B239" s="8" t="s">
        <v>329</v>
      </c>
      <c r="C239" s="11">
        <v>0.75</v>
      </c>
      <c r="D239" s="18">
        <v>199</v>
      </c>
      <c r="E239" s="18" t="s">
        <v>161</v>
      </c>
      <c r="F239" s="23"/>
      <c r="G239" s="9" t="s">
        <v>879</v>
      </c>
      <c r="H239" s="10" t="s">
        <v>161</v>
      </c>
      <c r="I239" s="10"/>
      <c r="J239" s="10"/>
      <c r="K239" s="11"/>
      <c r="L239" s="11" t="s">
        <v>533</v>
      </c>
      <c r="M239" s="10" t="s">
        <v>338</v>
      </c>
      <c r="N239" s="10" t="s">
        <v>877</v>
      </c>
      <c r="O239" s="12"/>
      <c r="P239" s="10" t="s">
        <v>167</v>
      </c>
      <c r="Q239" s="29" t="s">
        <v>167</v>
      </c>
      <c r="R239" s="29" t="s">
        <v>167</v>
      </c>
      <c r="S239" s="10" t="s">
        <v>167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">
        <f t="shared" si="9"/>
        <v>0</v>
      </c>
      <c r="Z239" s="10"/>
      <c r="AA239" s="10"/>
      <c r="AB239" s="10"/>
      <c r="AC239" s="10"/>
      <c r="AD239" s="10"/>
      <c r="AE239" s="10"/>
      <c r="AF239" s="10"/>
      <c r="AG239" s="38">
        <f t="shared" si="10"/>
        <v>0</v>
      </c>
      <c r="AH239" s="51" t="str">
        <f t="shared" si="11"/>
        <v xml:space="preserve"> </v>
      </c>
      <c r="AI239" s="64"/>
      <c r="AJ239" s="72"/>
      <c r="AK239" s="65">
        <v>0</v>
      </c>
      <c r="AL239" s="1"/>
      <c r="AM239" s="1"/>
      <c r="AN239" s="81"/>
      <c r="AO239" s="81"/>
    </row>
    <row r="240" spans="1:41" s="26" customFormat="1" x14ac:dyDescent="0.25">
      <c r="A240" s="15" t="s">
        <v>880</v>
      </c>
      <c r="B240" s="8" t="s">
        <v>329</v>
      </c>
      <c r="C240" s="11">
        <v>0.75</v>
      </c>
      <c r="D240" s="18">
        <v>234</v>
      </c>
      <c r="E240" s="18" t="s">
        <v>161</v>
      </c>
      <c r="F240" s="23"/>
      <c r="G240" s="9" t="s">
        <v>881</v>
      </c>
      <c r="H240" s="12" t="s">
        <v>161</v>
      </c>
      <c r="I240" s="12"/>
      <c r="J240" s="12"/>
      <c r="K240" s="14"/>
      <c r="L240" s="14" t="s">
        <v>533</v>
      </c>
      <c r="M240" s="12" t="s">
        <v>338</v>
      </c>
      <c r="N240" s="12" t="s">
        <v>877</v>
      </c>
      <c r="O240" s="12"/>
      <c r="P240" s="12" t="s">
        <v>167</v>
      </c>
      <c r="Q240" s="30" t="s">
        <v>167</v>
      </c>
      <c r="R240" s="29" t="s">
        <v>167</v>
      </c>
      <c r="S240" s="12" t="s">
        <v>167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">
        <f t="shared" si="9"/>
        <v>0</v>
      </c>
      <c r="Z240" s="10"/>
      <c r="AA240" s="10"/>
      <c r="AB240" s="10"/>
      <c r="AC240" s="10"/>
      <c r="AD240" s="10"/>
      <c r="AE240" s="10"/>
      <c r="AF240" s="10"/>
      <c r="AG240" s="38">
        <f t="shared" si="10"/>
        <v>0</v>
      </c>
      <c r="AH240" s="51" t="str">
        <f t="shared" si="11"/>
        <v xml:space="preserve"> </v>
      </c>
      <c r="AI240" s="64"/>
      <c r="AJ240" s="72"/>
      <c r="AK240" s="65">
        <v>0</v>
      </c>
      <c r="AL240" s="1"/>
      <c r="AM240" s="1"/>
      <c r="AN240" s="81"/>
      <c r="AO240" s="81"/>
    </row>
    <row r="241" spans="1:41" s="26" customFormat="1" x14ac:dyDescent="0.25">
      <c r="A241" s="15" t="s">
        <v>882</v>
      </c>
      <c r="B241" s="8" t="s">
        <v>329</v>
      </c>
      <c r="C241" s="11">
        <v>0.8</v>
      </c>
      <c r="D241" s="18">
        <v>337.5</v>
      </c>
      <c r="E241" s="18">
        <v>58</v>
      </c>
      <c r="F241" s="77">
        <v>4.4999999999999998E-2</v>
      </c>
      <c r="G241" s="9" t="s">
        <v>883</v>
      </c>
      <c r="H241" s="10" t="s">
        <v>161</v>
      </c>
      <c r="I241" s="10"/>
      <c r="J241" s="10"/>
      <c r="K241" s="11"/>
      <c r="L241" s="11" t="s">
        <v>533</v>
      </c>
      <c r="M241" s="10" t="s">
        <v>24</v>
      </c>
      <c r="N241" s="10" t="s">
        <v>671</v>
      </c>
      <c r="O241" s="12"/>
      <c r="P241" s="10"/>
      <c r="Q241" s="29"/>
      <c r="R241" s="29" t="s">
        <v>167</v>
      </c>
      <c r="S241" s="10" t="s">
        <v>167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">
        <f t="shared" si="9"/>
        <v>0</v>
      </c>
      <c r="Z241" s="10"/>
      <c r="AA241" s="10"/>
      <c r="AB241" s="10"/>
      <c r="AC241" s="10"/>
      <c r="AD241" s="10"/>
      <c r="AE241" s="10"/>
      <c r="AF241" s="10"/>
      <c r="AG241" s="38">
        <f t="shared" si="10"/>
        <v>0</v>
      </c>
      <c r="AH241" s="51" t="str">
        <f t="shared" si="11"/>
        <v xml:space="preserve"> </v>
      </c>
      <c r="AI241" s="64"/>
      <c r="AJ241" s="72"/>
      <c r="AK241" s="65">
        <v>0</v>
      </c>
      <c r="AL241" s="1"/>
      <c r="AM241" s="1"/>
      <c r="AN241" s="81"/>
      <c r="AO241" s="81"/>
    </row>
    <row r="242" spans="1:41" s="26" customFormat="1" x14ac:dyDescent="0.25">
      <c r="A242" s="15" t="s">
        <v>884</v>
      </c>
      <c r="B242" s="8" t="s">
        <v>329</v>
      </c>
      <c r="C242" s="11">
        <v>0.8</v>
      </c>
      <c r="D242" s="18">
        <v>935</v>
      </c>
      <c r="E242" s="18" t="s">
        <v>161</v>
      </c>
      <c r="F242" s="23"/>
      <c r="G242" s="9" t="s">
        <v>885</v>
      </c>
      <c r="H242" s="12" t="s">
        <v>161</v>
      </c>
      <c r="I242" s="10"/>
      <c r="J242" s="12"/>
      <c r="K242" s="14"/>
      <c r="L242" s="14" t="s">
        <v>533</v>
      </c>
      <c r="M242" s="12" t="s">
        <v>24</v>
      </c>
      <c r="N242" s="12" t="s">
        <v>671</v>
      </c>
      <c r="O242" s="12"/>
      <c r="P242" s="12"/>
      <c r="Q242" s="30"/>
      <c r="R242" s="29" t="s">
        <v>167</v>
      </c>
      <c r="S242" s="10" t="s">
        <v>167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">
        <f t="shared" si="9"/>
        <v>0</v>
      </c>
      <c r="Z242" s="10"/>
      <c r="AA242" s="10"/>
      <c r="AB242" s="10"/>
      <c r="AC242" s="10"/>
      <c r="AD242" s="10"/>
      <c r="AE242" s="10"/>
      <c r="AF242" s="10"/>
      <c r="AG242" s="38">
        <f t="shared" si="10"/>
        <v>0</v>
      </c>
      <c r="AH242" s="51" t="str">
        <f t="shared" si="11"/>
        <v xml:space="preserve"> </v>
      </c>
      <c r="AI242" s="64"/>
      <c r="AJ242" s="72"/>
      <c r="AK242" s="65">
        <v>0</v>
      </c>
      <c r="AL242" s="1"/>
      <c r="AM242" s="1"/>
      <c r="AN242" s="81"/>
      <c r="AO242" s="81"/>
    </row>
    <row r="243" spans="1:41" s="26" customFormat="1" x14ac:dyDescent="0.25">
      <c r="A243" s="15" t="s">
        <v>886</v>
      </c>
      <c r="B243" s="8" t="s">
        <v>329</v>
      </c>
      <c r="C243" s="11">
        <v>1</v>
      </c>
      <c r="D243" s="18">
        <v>86</v>
      </c>
      <c r="E243" s="18">
        <v>146</v>
      </c>
      <c r="F243" s="77">
        <v>0.04</v>
      </c>
      <c r="G243" s="9" t="s">
        <v>887</v>
      </c>
      <c r="H243" s="10" t="s">
        <v>161</v>
      </c>
      <c r="I243" s="10"/>
      <c r="J243" s="10"/>
      <c r="K243" s="11"/>
      <c r="L243" s="11" t="s">
        <v>533</v>
      </c>
      <c r="M243" s="10" t="s">
        <v>338</v>
      </c>
      <c r="N243" s="10" t="s">
        <v>877</v>
      </c>
      <c r="O243" s="12"/>
      <c r="P243" s="10" t="s">
        <v>167</v>
      </c>
      <c r="Q243" s="29" t="s">
        <v>167</v>
      </c>
      <c r="R243" s="29" t="s">
        <v>167</v>
      </c>
      <c r="S243" s="10" t="s">
        <v>167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">
        <f t="shared" si="9"/>
        <v>0</v>
      </c>
      <c r="Z243" s="10"/>
      <c r="AA243" s="10"/>
      <c r="AB243" s="10"/>
      <c r="AC243" s="10"/>
      <c r="AD243" s="10"/>
      <c r="AE243" s="10"/>
      <c r="AF243" s="10"/>
      <c r="AG243" s="38">
        <f t="shared" si="10"/>
        <v>0</v>
      </c>
      <c r="AH243" s="51" t="str">
        <f t="shared" si="11"/>
        <v xml:space="preserve"> </v>
      </c>
      <c r="AI243" s="64"/>
      <c r="AJ243" s="72"/>
      <c r="AK243" s="65">
        <v>0</v>
      </c>
      <c r="AL243" s="1"/>
      <c r="AM243" s="1"/>
      <c r="AN243" s="81"/>
      <c r="AO243" s="81"/>
    </row>
    <row r="244" spans="1:41" s="26" customFormat="1" x14ac:dyDescent="0.25">
      <c r="A244" s="15" t="s">
        <v>888</v>
      </c>
      <c r="B244" s="8" t="s">
        <v>329</v>
      </c>
      <c r="C244" s="11">
        <v>1.2</v>
      </c>
      <c r="D244" s="18">
        <v>147</v>
      </c>
      <c r="E244" s="18" t="s">
        <v>161</v>
      </c>
      <c r="F244" s="23"/>
      <c r="G244" s="9" t="s">
        <v>889</v>
      </c>
      <c r="H244" s="10" t="s">
        <v>161</v>
      </c>
      <c r="I244" s="10"/>
      <c r="J244" s="10"/>
      <c r="K244" s="11"/>
      <c r="L244" s="11" t="s">
        <v>533</v>
      </c>
      <c r="M244" s="10" t="s">
        <v>378</v>
      </c>
      <c r="N244" s="10" t="s">
        <v>680</v>
      </c>
      <c r="O244" s="12"/>
      <c r="P244" s="10"/>
      <c r="Q244" s="29"/>
      <c r="R244" s="29" t="s">
        <v>167</v>
      </c>
      <c r="S244" s="10" t="s">
        <v>167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">
        <f t="shared" si="9"/>
        <v>0</v>
      </c>
      <c r="Z244" s="10"/>
      <c r="AA244" s="10"/>
      <c r="AB244" s="10"/>
      <c r="AC244" s="10"/>
      <c r="AD244" s="10"/>
      <c r="AE244" s="10"/>
      <c r="AF244" s="10"/>
      <c r="AG244" s="38">
        <f t="shared" si="10"/>
        <v>0</v>
      </c>
      <c r="AH244" s="51" t="str">
        <f t="shared" si="11"/>
        <v xml:space="preserve"> </v>
      </c>
      <c r="AI244" s="64"/>
      <c r="AJ244" s="72"/>
      <c r="AK244" s="65">
        <v>0</v>
      </c>
      <c r="AL244" s="1"/>
      <c r="AM244" s="1"/>
      <c r="AN244" s="81"/>
      <c r="AO244" s="81"/>
    </row>
    <row r="245" spans="1:41" s="26" customFormat="1" x14ac:dyDescent="0.25">
      <c r="A245" s="15" t="s">
        <v>890</v>
      </c>
      <c r="B245" s="8" t="s">
        <v>329</v>
      </c>
      <c r="C245" s="11">
        <v>1.2</v>
      </c>
      <c r="D245" s="18">
        <v>525</v>
      </c>
      <c r="E245" s="18" t="s">
        <v>161</v>
      </c>
      <c r="F245" s="23"/>
      <c r="G245" s="9" t="s">
        <v>891</v>
      </c>
      <c r="H245" s="10" t="s">
        <v>161</v>
      </c>
      <c r="I245" s="10"/>
      <c r="J245" s="10"/>
      <c r="K245" s="11"/>
      <c r="L245" s="11" t="s">
        <v>533</v>
      </c>
      <c r="M245" s="10" t="s">
        <v>488</v>
      </c>
      <c r="N245" s="10"/>
      <c r="O245" s="12"/>
      <c r="P245" s="10"/>
      <c r="Q245" s="29"/>
      <c r="R245" s="29" t="s">
        <v>167</v>
      </c>
      <c r="S245" s="10" t="s">
        <v>167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">
        <f t="shared" si="9"/>
        <v>0</v>
      </c>
      <c r="Z245" s="10"/>
      <c r="AA245" s="10"/>
      <c r="AB245" s="10"/>
      <c r="AC245" s="10"/>
      <c r="AD245" s="10"/>
      <c r="AE245" s="10"/>
      <c r="AF245" s="10"/>
      <c r="AG245" s="38">
        <f t="shared" si="10"/>
        <v>0</v>
      </c>
      <c r="AH245" s="51" t="str">
        <f t="shared" si="11"/>
        <v xml:space="preserve"> </v>
      </c>
      <c r="AI245" s="64"/>
      <c r="AJ245" s="72"/>
      <c r="AK245" s="65">
        <v>0</v>
      </c>
      <c r="AL245" s="1"/>
      <c r="AM245" s="1"/>
      <c r="AN245" s="81"/>
      <c r="AO245" s="81"/>
    </row>
    <row r="246" spans="1:41" s="26" customFormat="1" x14ac:dyDescent="0.25">
      <c r="A246" s="15" t="s">
        <v>892</v>
      </c>
      <c r="B246" s="8" t="s">
        <v>329</v>
      </c>
      <c r="C246" s="11">
        <v>1.4</v>
      </c>
      <c r="D246" s="18">
        <v>45</v>
      </c>
      <c r="E246" s="18" t="s">
        <v>161</v>
      </c>
      <c r="F246" s="23"/>
      <c r="G246" s="9" t="s">
        <v>893</v>
      </c>
      <c r="H246" s="10" t="s">
        <v>161</v>
      </c>
      <c r="I246" s="10"/>
      <c r="J246" s="10"/>
      <c r="K246" s="11"/>
      <c r="L246" s="11" t="s">
        <v>533</v>
      </c>
      <c r="M246" s="12" t="s">
        <v>338</v>
      </c>
      <c r="N246" s="10" t="s">
        <v>320</v>
      </c>
      <c r="O246" s="12"/>
      <c r="P246" s="10"/>
      <c r="Q246" s="29"/>
      <c r="R246" s="29" t="s">
        <v>167</v>
      </c>
      <c r="S246" s="10" t="s">
        <v>167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">
        <f t="shared" si="9"/>
        <v>0</v>
      </c>
      <c r="Z246" s="10"/>
      <c r="AA246" s="10"/>
      <c r="AB246" s="10"/>
      <c r="AC246" s="10"/>
      <c r="AD246" s="10"/>
      <c r="AE246" s="10"/>
      <c r="AF246" s="10"/>
      <c r="AG246" s="38">
        <f t="shared" si="10"/>
        <v>0</v>
      </c>
      <c r="AH246" s="51" t="str">
        <f t="shared" si="11"/>
        <v xml:space="preserve"> </v>
      </c>
      <c r="AI246" s="64"/>
      <c r="AJ246" s="72"/>
      <c r="AK246" s="65">
        <v>0</v>
      </c>
      <c r="AL246" s="1"/>
      <c r="AM246" s="1"/>
      <c r="AN246" s="81"/>
      <c r="AO246" s="81"/>
    </row>
    <row r="247" spans="1:41" s="26" customFormat="1" x14ac:dyDescent="0.25">
      <c r="A247" s="15" t="s">
        <v>894</v>
      </c>
      <c r="B247" s="8" t="s">
        <v>329</v>
      </c>
      <c r="C247" s="11">
        <v>1.5</v>
      </c>
      <c r="D247" s="18">
        <v>430</v>
      </c>
      <c r="E247" s="18" t="s">
        <v>161</v>
      </c>
      <c r="F247" s="23"/>
      <c r="G247" s="9" t="s">
        <v>895</v>
      </c>
      <c r="H247" s="10" t="s">
        <v>161</v>
      </c>
      <c r="I247" s="10"/>
      <c r="J247" s="10"/>
      <c r="K247" s="11"/>
      <c r="L247" s="11" t="s">
        <v>533</v>
      </c>
      <c r="M247" s="10" t="s">
        <v>24</v>
      </c>
      <c r="N247" s="10" t="s">
        <v>671</v>
      </c>
      <c r="O247" s="12"/>
      <c r="P247" s="10"/>
      <c r="Q247" s="29"/>
      <c r="R247" s="29" t="s">
        <v>167</v>
      </c>
      <c r="S247" s="10" t="s">
        <v>167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">
        <f t="shared" si="9"/>
        <v>0</v>
      </c>
      <c r="Z247" s="10"/>
      <c r="AA247" s="10"/>
      <c r="AB247" s="10"/>
      <c r="AC247" s="10"/>
      <c r="AD247" s="10"/>
      <c r="AE247" s="10"/>
      <c r="AF247" s="10"/>
      <c r="AG247" s="38">
        <f t="shared" si="10"/>
        <v>0</v>
      </c>
      <c r="AH247" s="51" t="str">
        <f t="shared" si="11"/>
        <v xml:space="preserve"> </v>
      </c>
      <c r="AI247" s="64"/>
      <c r="AJ247" s="72"/>
      <c r="AK247" s="65">
        <v>0</v>
      </c>
      <c r="AL247" s="1"/>
      <c r="AM247" s="1"/>
      <c r="AN247" s="81"/>
      <c r="AO247" s="81"/>
    </row>
    <row r="248" spans="1:41" s="26" customFormat="1" x14ac:dyDescent="0.25">
      <c r="A248" s="15" t="s">
        <v>896</v>
      </c>
      <c r="B248" s="8" t="s">
        <v>329</v>
      </c>
      <c r="C248" s="11">
        <v>1.5</v>
      </c>
      <c r="D248" s="18">
        <v>560</v>
      </c>
      <c r="E248" s="18" t="s">
        <v>161</v>
      </c>
      <c r="F248" s="23"/>
      <c r="G248" s="9" t="s">
        <v>897</v>
      </c>
      <c r="H248" s="10" t="s">
        <v>161</v>
      </c>
      <c r="I248" s="10"/>
      <c r="J248" s="10"/>
      <c r="K248" s="11"/>
      <c r="L248" s="11" t="s">
        <v>533</v>
      </c>
      <c r="M248" s="10" t="s">
        <v>24</v>
      </c>
      <c r="N248" s="10" t="s">
        <v>671</v>
      </c>
      <c r="O248" s="12"/>
      <c r="P248" s="10"/>
      <c r="Q248" s="29"/>
      <c r="R248" s="29" t="s">
        <v>167</v>
      </c>
      <c r="S248" s="10" t="s">
        <v>167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">
        <f t="shared" si="9"/>
        <v>0</v>
      </c>
      <c r="Z248" s="10"/>
      <c r="AA248" s="10"/>
      <c r="AB248" s="10"/>
      <c r="AC248" s="10"/>
      <c r="AD248" s="10"/>
      <c r="AE248" s="10"/>
      <c r="AF248" s="10"/>
      <c r="AG248" s="38">
        <f t="shared" si="10"/>
        <v>0</v>
      </c>
      <c r="AH248" s="51" t="str">
        <f t="shared" si="11"/>
        <v xml:space="preserve"> </v>
      </c>
      <c r="AI248" s="64"/>
      <c r="AJ248" s="72"/>
      <c r="AK248" s="65">
        <v>0</v>
      </c>
      <c r="AL248" s="1"/>
      <c r="AM248" s="1"/>
      <c r="AN248" s="81"/>
      <c r="AO248" s="81"/>
    </row>
    <row r="249" spans="1:41" s="26" customFormat="1" x14ac:dyDescent="0.25">
      <c r="A249" s="15" t="s">
        <v>898</v>
      </c>
      <c r="B249" s="8" t="s">
        <v>329</v>
      </c>
      <c r="C249" s="11">
        <v>1.5</v>
      </c>
      <c r="D249" s="18">
        <v>210</v>
      </c>
      <c r="E249" s="18" t="s">
        <v>161</v>
      </c>
      <c r="F249" s="23"/>
      <c r="G249" s="9" t="s">
        <v>899</v>
      </c>
      <c r="H249" s="10" t="s">
        <v>161</v>
      </c>
      <c r="I249" s="10"/>
      <c r="J249" s="10"/>
      <c r="K249" s="11"/>
      <c r="L249" s="11" t="s">
        <v>533</v>
      </c>
      <c r="M249" s="10" t="s">
        <v>338</v>
      </c>
      <c r="N249" s="10" t="s">
        <v>320</v>
      </c>
      <c r="O249" s="12"/>
      <c r="P249" s="10"/>
      <c r="Q249" s="29"/>
      <c r="R249" s="29" t="s">
        <v>167</v>
      </c>
      <c r="S249" s="10" t="s">
        <v>167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">
        <f t="shared" si="9"/>
        <v>0</v>
      </c>
      <c r="Z249" s="10"/>
      <c r="AA249" s="10"/>
      <c r="AB249" s="10"/>
      <c r="AC249" s="10"/>
      <c r="AD249" s="10"/>
      <c r="AE249" s="10"/>
      <c r="AF249" s="10"/>
      <c r="AG249" s="38">
        <f t="shared" si="10"/>
        <v>0</v>
      </c>
      <c r="AH249" s="51" t="str">
        <f t="shared" si="11"/>
        <v xml:space="preserve"> </v>
      </c>
      <c r="AI249" s="64"/>
      <c r="AJ249" s="72"/>
      <c r="AK249" s="65">
        <v>0</v>
      </c>
      <c r="AL249" s="1"/>
      <c r="AM249" s="1"/>
      <c r="AN249" s="81"/>
      <c r="AO249" s="81"/>
    </row>
    <row r="250" spans="1:41" s="26" customFormat="1" x14ac:dyDescent="0.25">
      <c r="A250" s="15" t="s">
        <v>900</v>
      </c>
      <c r="B250" s="8" t="s">
        <v>329</v>
      </c>
      <c r="C250" s="11">
        <v>0.65</v>
      </c>
      <c r="D250" s="18">
        <v>288</v>
      </c>
      <c r="E250" s="18">
        <v>120</v>
      </c>
      <c r="F250" s="77">
        <v>3.5000000000000003E-2</v>
      </c>
      <c r="G250" s="9" t="s">
        <v>899</v>
      </c>
      <c r="H250" s="12" t="s">
        <v>161</v>
      </c>
      <c r="I250" s="10"/>
      <c r="J250" s="12"/>
      <c r="K250" s="14"/>
      <c r="L250" s="14" t="s">
        <v>533</v>
      </c>
      <c r="M250" s="12" t="s">
        <v>338</v>
      </c>
      <c r="N250" s="12" t="s">
        <v>671</v>
      </c>
      <c r="O250" s="12"/>
      <c r="P250" s="12"/>
      <c r="Q250" s="30"/>
      <c r="R250" s="29" t="s">
        <v>167</v>
      </c>
      <c r="S250" s="10" t="s">
        <v>167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">
        <f t="shared" si="9"/>
        <v>0</v>
      </c>
      <c r="Z250" s="10"/>
      <c r="AA250" s="10"/>
      <c r="AB250" s="10"/>
      <c r="AC250" s="10"/>
      <c r="AD250" s="10"/>
      <c r="AE250" s="10"/>
      <c r="AF250" s="10"/>
      <c r="AG250" s="38">
        <f t="shared" si="10"/>
        <v>0</v>
      </c>
      <c r="AH250" s="51" t="str">
        <f t="shared" si="11"/>
        <v xml:space="preserve"> </v>
      </c>
      <c r="AI250" s="64"/>
      <c r="AJ250" s="72"/>
      <c r="AK250" s="65">
        <v>0</v>
      </c>
      <c r="AL250" s="1"/>
      <c r="AM250" s="1"/>
      <c r="AN250" s="81"/>
      <c r="AO250" s="81"/>
    </row>
    <row r="251" spans="1:41" s="26" customFormat="1" x14ac:dyDescent="0.25">
      <c r="A251" s="15" t="s">
        <v>901</v>
      </c>
      <c r="B251" s="8" t="s">
        <v>329</v>
      </c>
      <c r="C251" s="11">
        <v>1.7</v>
      </c>
      <c r="D251" s="18">
        <v>800</v>
      </c>
      <c r="E251" s="18" t="s">
        <v>161</v>
      </c>
      <c r="F251" s="23"/>
      <c r="G251" s="9" t="s">
        <v>902</v>
      </c>
      <c r="H251" s="10" t="s">
        <v>161</v>
      </c>
      <c r="I251" s="10"/>
      <c r="J251" s="10"/>
      <c r="K251" s="11"/>
      <c r="L251" s="11" t="s">
        <v>533</v>
      </c>
      <c r="M251" s="10" t="s">
        <v>338</v>
      </c>
      <c r="N251" s="10"/>
      <c r="O251" s="12"/>
      <c r="P251" s="10"/>
      <c r="Q251" s="29"/>
      <c r="R251" s="29" t="s">
        <v>167</v>
      </c>
      <c r="S251" s="10" t="s">
        <v>167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">
        <f t="shared" si="9"/>
        <v>0</v>
      </c>
      <c r="Z251" s="10"/>
      <c r="AA251" s="10"/>
      <c r="AB251" s="10"/>
      <c r="AC251" s="10"/>
      <c r="AD251" s="10"/>
      <c r="AE251" s="10"/>
      <c r="AF251" s="10"/>
      <c r="AG251" s="38">
        <f t="shared" si="10"/>
        <v>0</v>
      </c>
      <c r="AH251" s="51" t="str">
        <f t="shared" si="11"/>
        <v xml:space="preserve"> </v>
      </c>
      <c r="AI251" s="64"/>
      <c r="AJ251" s="72"/>
      <c r="AK251" s="65">
        <v>0</v>
      </c>
      <c r="AL251" s="1"/>
      <c r="AM251" s="1"/>
      <c r="AN251" s="81"/>
      <c r="AO251" s="81"/>
    </row>
    <row r="252" spans="1:41" s="26" customFormat="1" x14ac:dyDescent="0.25">
      <c r="A252" s="15" t="s">
        <v>903</v>
      </c>
      <c r="B252" s="8" t="s">
        <v>307</v>
      </c>
      <c r="C252" s="11">
        <v>2</v>
      </c>
      <c r="D252" s="18">
        <v>130</v>
      </c>
      <c r="E252" s="18" t="s">
        <v>161</v>
      </c>
      <c r="F252" s="23"/>
      <c r="G252" s="9" t="s">
        <v>904</v>
      </c>
      <c r="H252" s="12" t="s">
        <v>161</v>
      </c>
      <c r="I252" s="10"/>
      <c r="J252" s="12"/>
      <c r="K252" s="14"/>
      <c r="L252" s="14" t="s">
        <v>533</v>
      </c>
      <c r="M252" s="12" t="s">
        <v>534</v>
      </c>
      <c r="N252" s="12"/>
      <c r="O252" s="12"/>
      <c r="P252" s="12"/>
      <c r="Q252" s="30"/>
      <c r="R252" s="29" t="s">
        <v>167</v>
      </c>
      <c r="S252" s="10" t="s">
        <v>167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">
        <f t="shared" si="9"/>
        <v>0</v>
      </c>
      <c r="Z252" s="10"/>
      <c r="AA252" s="10"/>
      <c r="AB252" s="10"/>
      <c r="AC252" s="10"/>
      <c r="AD252" s="10"/>
      <c r="AE252" s="10"/>
      <c r="AF252" s="10"/>
      <c r="AG252" s="38">
        <f t="shared" si="10"/>
        <v>0</v>
      </c>
      <c r="AH252" s="51" t="str">
        <f t="shared" si="11"/>
        <v xml:space="preserve"> </v>
      </c>
      <c r="AI252" s="64"/>
      <c r="AJ252" s="72"/>
      <c r="AK252" s="65">
        <v>0</v>
      </c>
      <c r="AL252" s="1"/>
      <c r="AM252" s="1"/>
      <c r="AN252" s="81"/>
      <c r="AO252" s="81"/>
    </row>
    <row r="253" spans="1:41" s="26" customFormat="1" x14ac:dyDescent="0.25">
      <c r="A253" s="15" t="s">
        <v>905</v>
      </c>
      <c r="B253" s="8" t="s">
        <v>307</v>
      </c>
      <c r="C253" s="11">
        <v>2.5</v>
      </c>
      <c r="D253" s="18">
        <v>150</v>
      </c>
      <c r="E253" s="18" t="s">
        <v>161</v>
      </c>
      <c r="F253" s="23"/>
      <c r="G253" s="9" t="s">
        <v>906</v>
      </c>
      <c r="H253" s="10" t="s">
        <v>161</v>
      </c>
      <c r="I253" s="10"/>
      <c r="J253" s="10"/>
      <c r="K253" s="11"/>
      <c r="L253" s="11" t="s">
        <v>533</v>
      </c>
      <c r="M253" s="10" t="s">
        <v>378</v>
      </c>
      <c r="N253" s="10"/>
      <c r="O253" s="12"/>
      <c r="P253" s="10"/>
      <c r="Q253" s="29"/>
      <c r="R253" s="29" t="s">
        <v>167</v>
      </c>
      <c r="S253" s="10" t="s">
        <v>167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">
        <f t="shared" si="9"/>
        <v>0</v>
      </c>
      <c r="Z253" s="10"/>
      <c r="AA253" s="10"/>
      <c r="AB253" s="10"/>
      <c r="AC253" s="10"/>
      <c r="AD253" s="10"/>
      <c r="AE253" s="10"/>
      <c r="AF253" s="10"/>
      <c r="AG253" s="38">
        <f t="shared" si="10"/>
        <v>0</v>
      </c>
      <c r="AH253" s="51" t="str">
        <f t="shared" si="11"/>
        <v xml:space="preserve"> </v>
      </c>
      <c r="AI253" s="64"/>
      <c r="AJ253" s="72"/>
      <c r="AK253" s="65">
        <v>0</v>
      </c>
      <c r="AL253" s="1"/>
      <c r="AM253" s="1"/>
      <c r="AN253" s="81"/>
      <c r="AO253" s="81"/>
    </row>
    <row r="254" spans="1:41" s="26" customFormat="1" x14ac:dyDescent="0.25">
      <c r="A254" s="15" t="s">
        <v>907</v>
      </c>
      <c r="B254" s="8" t="s">
        <v>307</v>
      </c>
      <c r="C254" s="11">
        <v>5.8</v>
      </c>
      <c r="D254" s="18">
        <v>111</v>
      </c>
      <c r="E254" s="18" t="s">
        <v>161</v>
      </c>
      <c r="F254" s="23"/>
      <c r="G254" s="9" t="s">
        <v>908</v>
      </c>
      <c r="H254" s="10" t="s">
        <v>161</v>
      </c>
      <c r="I254" s="10"/>
      <c r="J254" s="10"/>
      <c r="K254" s="11"/>
      <c r="L254" s="11" t="s">
        <v>533</v>
      </c>
      <c r="M254" s="10" t="s">
        <v>27</v>
      </c>
      <c r="N254" s="10"/>
      <c r="O254" s="12"/>
      <c r="P254" s="10"/>
      <c r="Q254" s="29"/>
      <c r="R254" s="29" t="s">
        <v>167</v>
      </c>
      <c r="S254" s="10" t="s">
        <v>167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">
        <f t="shared" si="9"/>
        <v>0</v>
      </c>
      <c r="Z254" s="10"/>
      <c r="AA254" s="10"/>
      <c r="AB254" s="10"/>
      <c r="AC254" s="10"/>
      <c r="AD254" s="10"/>
      <c r="AE254" s="10"/>
      <c r="AF254" s="10"/>
      <c r="AG254" s="38">
        <f t="shared" si="10"/>
        <v>0</v>
      </c>
      <c r="AH254" s="51" t="str">
        <f t="shared" si="11"/>
        <v xml:space="preserve"> </v>
      </c>
      <c r="AI254" s="64"/>
      <c r="AJ254" s="72"/>
      <c r="AK254" s="65">
        <v>0</v>
      </c>
      <c r="AL254" s="1"/>
      <c r="AM254" s="1"/>
      <c r="AN254" s="81"/>
      <c r="AO254" s="81"/>
    </row>
    <row r="255" spans="1:41" s="26" customFormat="1" x14ac:dyDescent="0.25">
      <c r="A255" s="15" t="s">
        <v>909</v>
      </c>
      <c r="B255" s="8" t="s">
        <v>189</v>
      </c>
      <c r="C255" s="11">
        <v>0.6</v>
      </c>
      <c r="D255" s="18">
        <v>137</v>
      </c>
      <c r="E255" s="18" t="s">
        <v>161</v>
      </c>
      <c r="F255" s="23"/>
      <c r="G255" s="9" t="s">
        <v>910</v>
      </c>
      <c r="H255" s="10" t="s">
        <v>161</v>
      </c>
      <c r="I255" s="10"/>
      <c r="J255" s="10"/>
      <c r="K255" s="11"/>
      <c r="L255" s="11" t="s">
        <v>533</v>
      </c>
      <c r="M255" s="10" t="s">
        <v>378</v>
      </c>
      <c r="N255" s="10" t="s">
        <v>680</v>
      </c>
      <c r="O255" s="12"/>
      <c r="P255" s="10"/>
      <c r="Q255" s="29"/>
      <c r="R255" s="29" t="s">
        <v>167</v>
      </c>
      <c r="S255" s="10" t="s">
        <v>167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">
        <f t="shared" si="9"/>
        <v>0</v>
      </c>
      <c r="Z255" s="10"/>
      <c r="AA255" s="10"/>
      <c r="AB255" s="10"/>
      <c r="AC255" s="10"/>
      <c r="AD255" s="10"/>
      <c r="AE255" s="10"/>
      <c r="AF255" s="10"/>
      <c r="AG255" s="38">
        <f t="shared" si="10"/>
        <v>0</v>
      </c>
      <c r="AH255" s="51" t="str">
        <f t="shared" si="11"/>
        <v xml:space="preserve"> </v>
      </c>
      <c r="AI255" s="64"/>
      <c r="AJ255" s="72"/>
      <c r="AK255" s="65">
        <v>0</v>
      </c>
      <c r="AL255" s="1"/>
      <c r="AM255" s="1"/>
      <c r="AN255" s="81"/>
      <c r="AO255" s="81"/>
    </row>
    <row r="256" spans="1:41" s="26" customFormat="1" x14ac:dyDescent="0.25">
      <c r="A256" s="15" t="s">
        <v>911</v>
      </c>
      <c r="B256" s="8" t="s">
        <v>189</v>
      </c>
      <c r="C256" s="11">
        <v>1.5</v>
      </c>
      <c r="D256" s="18">
        <v>263</v>
      </c>
      <c r="E256" s="18">
        <v>104</v>
      </c>
      <c r="F256" s="77">
        <v>7.4999999999999997E-2</v>
      </c>
      <c r="G256" s="9" t="s">
        <v>912</v>
      </c>
      <c r="H256" s="12">
        <v>34025394</v>
      </c>
      <c r="I256" s="12"/>
      <c r="J256" s="12"/>
      <c r="K256" s="14"/>
      <c r="L256" s="14" t="s">
        <v>191</v>
      </c>
      <c r="M256" s="12" t="s">
        <v>24</v>
      </c>
      <c r="N256" s="12" t="s">
        <v>331</v>
      </c>
      <c r="O256" s="12"/>
      <c r="P256" s="12"/>
      <c r="Q256" s="30"/>
      <c r="R256" s="29" t="s">
        <v>167</v>
      </c>
      <c r="S256" s="12" t="s">
        <v>167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">
        <f t="shared" si="9"/>
        <v>0</v>
      </c>
      <c r="Z256" s="10"/>
      <c r="AA256" s="10"/>
      <c r="AB256" s="10"/>
      <c r="AC256" s="10"/>
      <c r="AD256" s="10"/>
      <c r="AE256" s="10"/>
      <c r="AF256" s="10"/>
      <c r="AG256" s="38">
        <f t="shared" si="10"/>
        <v>0</v>
      </c>
      <c r="AH256" s="51" t="str">
        <f t="shared" si="11"/>
        <v xml:space="preserve"> </v>
      </c>
      <c r="AI256" s="64"/>
      <c r="AJ256" s="72"/>
      <c r="AK256" s="65">
        <v>0</v>
      </c>
      <c r="AL256" s="1"/>
      <c r="AM256" s="1"/>
      <c r="AN256" s="81"/>
      <c r="AO256" s="81"/>
    </row>
    <row r="257" spans="1:41" s="26" customFormat="1" x14ac:dyDescent="0.25">
      <c r="A257" s="15" t="s">
        <v>913</v>
      </c>
      <c r="B257" s="8" t="s">
        <v>189</v>
      </c>
      <c r="C257" s="11">
        <v>1</v>
      </c>
      <c r="D257" s="18">
        <v>120</v>
      </c>
      <c r="E257" s="18" t="s">
        <v>161</v>
      </c>
      <c r="F257" s="23"/>
      <c r="G257" s="9" t="s">
        <v>914</v>
      </c>
      <c r="H257" s="10" t="s">
        <v>161</v>
      </c>
      <c r="I257" s="10"/>
      <c r="J257" s="10"/>
      <c r="K257" s="11"/>
      <c r="L257" s="11" t="s">
        <v>533</v>
      </c>
      <c r="M257" s="10" t="s">
        <v>24</v>
      </c>
      <c r="N257" s="10" t="s">
        <v>671</v>
      </c>
      <c r="O257" s="12"/>
      <c r="P257" s="10"/>
      <c r="Q257" s="29"/>
      <c r="R257" s="29" t="s">
        <v>167</v>
      </c>
      <c r="S257" s="10" t="s">
        <v>167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">
        <f t="shared" si="9"/>
        <v>0</v>
      </c>
      <c r="Z257" s="10"/>
      <c r="AA257" s="10"/>
      <c r="AB257" s="10"/>
      <c r="AC257" s="10"/>
      <c r="AD257" s="10"/>
      <c r="AE257" s="10"/>
      <c r="AF257" s="10"/>
      <c r="AG257" s="38">
        <f t="shared" si="10"/>
        <v>0</v>
      </c>
      <c r="AH257" s="51" t="str">
        <f t="shared" si="11"/>
        <v xml:space="preserve"> </v>
      </c>
      <c r="AI257" s="64"/>
      <c r="AJ257" s="72"/>
      <c r="AK257" s="65">
        <v>0</v>
      </c>
      <c r="AL257" s="1"/>
      <c r="AM257" s="1"/>
      <c r="AN257" s="81"/>
      <c r="AO257" s="81"/>
    </row>
    <row r="258" spans="1:41" s="26" customFormat="1" x14ac:dyDescent="0.25">
      <c r="A258" s="15" t="s">
        <v>915</v>
      </c>
      <c r="B258" s="8" t="s">
        <v>189</v>
      </c>
      <c r="C258" s="11">
        <v>1.2</v>
      </c>
      <c r="D258" s="18">
        <v>550</v>
      </c>
      <c r="E258" s="18" t="s">
        <v>161</v>
      </c>
      <c r="F258" s="23"/>
      <c r="G258" s="9" t="s">
        <v>916</v>
      </c>
      <c r="H258" s="10">
        <v>34025386</v>
      </c>
      <c r="I258" s="10"/>
      <c r="J258" s="10"/>
      <c r="K258" s="11"/>
      <c r="L258" s="11" t="s">
        <v>191</v>
      </c>
      <c r="M258" s="12" t="s">
        <v>24</v>
      </c>
      <c r="N258" s="10" t="s">
        <v>331</v>
      </c>
      <c r="O258" s="12"/>
      <c r="P258" s="10"/>
      <c r="Q258" s="29"/>
      <c r="R258" s="29" t="s">
        <v>167</v>
      </c>
      <c r="S258" s="10" t="s">
        <v>167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">
        <f t="shared" si="9"/>
        <v>0</v>
      </c>
      <c r="Z258" s="10"/>
      <c r="AA258" s="10"/>
      <c r="AB258" s="10"/>
      <c r="AC258" s="10"/>
      <c r="AD258" s="10"/>
      <c r="AE258" s="10"/>
      <c r="AF258" s="10"/>
      <c r="AG258" s="38">
        <f t="shared" si="10"/>
        <v>0</v>
      </c>
      <c r="AH258" s="51" t="str">
        <f t="shared" si="11"/>
        <v xml:space="preserve"> </v>
      </c>
      <c r="AI258" s="64"/>
      <c r="AJ258" s="72"/>
      <c r="AK258" s="65">
        <v>0</v>
      </c>
      <c r="AL258" s="1"/>
      <c r="AM258" s="1"/>
      <c r="AN258" s="81"/>
      <c r="AO258" s="81"/>
    </row>
    <row r="259" spans="1:41" s="26" customFormat="1" x14ac:dyDescent="0.25">
      <c r="A259" s="15" t="s">
        <v>917</v>
      </c>
      <c r="B259" s="8" t="s">
        <v>189</v>
      </c>
      <c r="C259" s="11">
        <v>2</v>
      </c>
      <c r="D259" s="18">
        <v>61</v>
      </c>
      <c r="E259" s="18" t="s">
        <v>161</v>
      </c>
      <c r="F259" s="23"/>
      <c r="G259" s="9" t="s">
        <v>918</v>
      </c>
      <c r="H259" s="10">
        <v>34025666</v>
      </c>
      <c r="I259" s="10"/>
      <c r="J259" s="10"/>
      <c r="K259" s="11"/>
      <c r="L259" s="11" t="s">
        <v>191</v>
      </c>
      <c r="M259" s="10" t="s">
        <v>164</v>
      </c>
      <c r="N259" s="37" t="s">
        <v>545</v>
      </c>
      <c r="O259" s="12"/>
      <c r="P259" s="10"/>
      <c r="Q259" s="29"/>
      <c r="R259" s="29" t="s">
        <v>167</v>
      </c>
      <c r="S259" s="10" t="s">
        <v>167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">
        <f t="shared" ref="Y259:Y278" si="12">AVERAGE(T259:X259)</f>
        <v>0</v>
      </c>
      <c r="Z259" s="10"/>
      <c r="AA259" s="10"/>
      <c r="AB259" s="10"/>
      <c r="AC259" s="10"/>
      <c r="AD259" s="10"/>
      <c r="AE259" s="10"/>
      <c r="AF259" s="10"/>
      <c r="AG259" s="38">
        <f t="shared" ref="AG259:AG278" si="13">COUNTIF(Z259:AF259,"X")/7</f>
        <v>0</v>
      </c>
      <c r="AH259" s="51" t="str">
        <f t="shared" ref="AH259:AH278" si="14">IF(AG259=100%,Y259," ")</f>
        <v xml:space="preserve"> </v>
      </c>
      <c r="AI259" s="64"/>
      <c r="AJ259" s="72"/>
      <c r="AK259" s="65">
        <v>0</v>
      </c>
      <c r="AL259" s="1"/>
      <c r="AM259" s="1"/>
      <c r="AN259" s="81"/>
      <c r="AO259" s="81"/>
    </row>
    <row r="260" spans="1:41" s="26" customFormat="1" x14ac:dyDescent="0.25">
      <c r="A260" s="15" t="s">
        <v>919</v>
      </c>
      <c r="B260" s="8" t="s">
        <v>197</v>
      </c>
      <c r="C260" s="11">
        <v>1.2</v>
      </c>
      <c r="D260" s="18">
        <v>1050</v>
      </c>
      <c r="E260" s="18" t="s">
        <v>161</v>
      </c>
      <c r="F260" s="23"/>
      <c r="G260" s="9"/>
      <c r="H260" s="12" t="s">
        <v>161</v>
      </c>
      <c r="I260" s="12"/>
      <c r="J260" s="12"/>
      <c r="K260" s="14"/>
      <c r="L260" s="11" t="s">
        <v>533</v>
      </c>
      <c r="M260" s="12"/>
      <c r="N260" s="12"/>
      <c r="O260" s="12"/>
      <c r="P260" s="16" t="s">
        <v>167</v>
      </c>
      <c r="Q260" s="30" t="s">
        <v>167</v>
      </c>
      <c r="R260" s="29" t="s">
        <v>167</v>
      </c>
      <c r="S260" s="10" t="s">
        <v>167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">
        <f t="shared" si="12"/>
        <v>0</v>
      </c>
      <c r="Z260" s="10"/>
      <c r="AA260" s="10"/>
      <c r="AB260" s="10"/>
      <c r="AC260" s="10"/>
      <c r="AD260" s="10"/>
      <c r="AE260" s="10"/>
      <c r="AF260" s="10"/>
      <c r="AG260" s="38">
        <f t="shared" si="13"/>
        <v>0</v>
      </c>
      <c r="AH260" s="51" t="str">
        <f t="shared" si="14"/>
        <v xml:space="preserve"> </v>
      </c>
      <c r="AI260" s="64"/>
      <c r="AJ260" s="72"/>
      <c r="AK260" s="65">
        <v>0</v>
      </c>
      <c r="AL260" s="1"/>
      <c r="AM260" s="1"/>
      <c r="AN260" s="81"/>
      <c r="AO260" s="81"/>
    </row>
    <row r="261" spans="1:41" s="26" customFormat="1" x14ac:dyDescent="0.25">
      <c r="A261" s="15" t="s">
        <v>920</v>
      </c>
      <c r="B261" s="8" t="s">
        <v>197</v>
      </c>
      <c r="C261" s="11">
        <v>2</v>
      </c>
      <c r="D261" s="18">
        <v>1000</v>
      </c>
      <c r="E261" s="18" t="s">
        <v>161</v>
      </c>
      <c r="F261" s="23"/>
      <c r="G261" s="9"/>
      <c r="H261" s="12" t="s">
        <v>161</v>
      </c>
      <c r="I261" s="12"/>
      <c r="J261" s="12"/>
      <c r="K261" s="14"/>
      <c r="L261" s="11" t="s">
        <v>533</v>
      </c>
      <c r="M261" s="12"/>
      <c r="N261" s="12"/>
      <c r="O261" s="12"/>
      <c r="P261" s="16"/>
      <c r="Q261" s="30"/>
      <c r="R261" s="29" t="s">
        <v>167</v>
      </c>
      <c r="S261" s="10" t="s">
        <v>167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">
        <f t="shared" si="12"/>
        <v>0</v>
      </c>
      <c r="Z261" s="10"/>
      <c r="AA261" s="10"/>
      <c r="AB261" s="10"/>
      <c r="AC261" s="10"/>
      <c r="AD261" s="10"/>
      <c r="AE261" s="10"/>
      <c r="AF261" s="10"/>
      <c r="AG261" s="38">
        <f t="shared" si="13"/>
        <v>0</v>
      </c>
      <c r="AH261" s="51" t="str">
        <f t="shared" si="14"/>
        <v xml:space="preserve"> </v>
      </c>
      <c r="AI261" s="64"/>
      <c r="AJ261" s="72"/>
      <c r="AK261" s="65">
        <v>0</v>
      </c>
      <c r="AL261" s="1"/>
      <c r="AM261" s="1"/>
      <c r="AN261" s="81"/>
      <c r="AO261" s="81"/>
    </row>
    <row r="262" spans="1:41" s="26" customFormat="1" x14ac:dyDescent="0.25">
      <c r="A262" s="15" t="s">
        <v>921</v>
      </c>
      <c r="B262" s="8" t="s">
        <v>197</v>
      </c>
      <c r="C262" s="11">
        <v>2</v>
      </c>
      <c r="D262" s="18">
        <v>1450</v>
      </c>
      <c r="E262" s="18" t="s">
        <v>161</v>
      </c>
      <c r="F262" s="23"/>
      <c r="G262" s="9"/>
      <c r="H262" s="12" t="s">
        <v>161</v>
      </c>
      <c r="I262" s="12"/>
      <c r="J262" s="12"/>
      <c r="K262" s="14"/>
      <c r="L262" s="11" t="s">
        <v>533</v>
      </c>
      <c r="M262" s="12"/>
      <c r="N262" s="12"/>
      <c r="O262" s="12"/>
      <c r="P262" s="16"/>
      <c r="Q262" s="30"/>
      <c r="R262" s="29" t="s">
        <v>167</v>
      </c>
      <c r="S262" s="10" t="s">
        <v>167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">
        <f t="shared" si="12"/>
        <v>0</v>
      </c>
      <c r="Z262" s="10"/>
      <c r="AA262" s="10"/>
      <c r="AB262" s="10"/>
      <c r="AC262" s="10"/>
      <c r="AD262" s="10"/>
      <c r="AE262" s="10"/>
      <c r="AF262" s="10"/>
      <c r="AG262" s="38">
        <f t="shared" si="13"/>
        <v>0</v>
      </c>
      <c r="AH262" s="51" t="str">
        <f t="shared" si="14"/>
        <v xml:space="preserve"> </v>
      </c>
      <c r="AI262" s="64"/>
      <c r="AJ262" s="72"/>
      <c r="AK262" s="65">
        <v>0</v>
      </c>
      <c r="AL262" s="1"/>
      <c r="AM262" s="1"/>
      <c r="AN262" s="81"/>
      <c r="AO262" s="81"/>
    </row>
    <row r="263" spans="1:41" s="26" customFormat="1" x14ac:dyDescent="0.25">
      <c r="A263" s="15" t="s">
        <v>922</v>
      </c>
      <c r="B263" s="8" t="s">
        <v>923</v>
      </c>
      <c r="C263" s="11"/>
      <c r="D263" s="18"/>
      <c r="E263" s="18" t="s">
        <v>161</v>
      </c>
      <c r="F263" s="23"/>
      <c r="G263" s="9"/>
      <c r="H263" s="12" t="s">
        <v>161</v>
      </c>
      <c r="I263" s="12"/>
      <c r="J263" s="12"/>
      <c r="K263" s="14"/>
      <c r="L263" s="11" t="s">
        <v>533</v>
      </c>
      <c r="M263" s="12"/>
      <c r="N263" s="12"/>
      <c r="O263" s="12"/>
      <c r="P263" s="16"/>
      <c r="Q263" s="30"/>
      <c r="R263" s="29" t="s">
        <v>167</v>
      </c>
      <c r="S263" s="10" t="s">
        <v>167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">
        <f t="shared" si="12"/>
        <v>0</v>
      </c>
      <c r="Z263" s="10"/>
      <c r="AA263" s="10"/>
      <c r="AB263" s="10"/>
      <c r="AC263" s="10"/>
      <c r="AD263" s="10"/>
      <c r="AE263" s="10"/>
      <c r="AF263" s="10"/>
      <c r="AG263" s="38">
        <f t="shared" si="13"/>
        <v>0</v>
      </c>
      <c r="AH263" s="51" t="str">
        <f t="shared" si="14"/>
        <v xml:space="preserve"> </v>
      </c>
      <c r="AI263" s="64"/>
      <c r="AJ263" s="72"/>
      <c r="AK263" s="65">
        <v>0</v>
      </c>
      <c r="AL263" s="1"/>
      <c r="AM263" s="1"/>
      <c r="AN263" s="81"/>
      <c r="AO263" s="81"/>
    </row>
    <row r="264" spans="1:41" s="26" customFormat="1" x14ac:dyDescent="0.25">
      <c r="A264" s="15" t="s">
        <v>924</v>
      </c>
      <c r="B264" s="8" t="s">
        <v>197</v>
      </c>
      <c r="C264" s="11">
        <v>1.5</v>
      </c>
      <c r="D264" s="18">
        <v>1300</v>
      </c>
      <c r="E264" s="18" t="s">
        <v>161</v>
      </c>
      <c r="F264" s="23"/>
      <c r="G264" s="9"/>
      <c r="H264" s="12" t="s">
        <v>161</v>
      </c>
      <c r="I264" s="12"/>
      <c r="J264" s="12"/>
      <c r="K264" s="14"/>
      <c r="L264" s="11" t="s">
        <v>533</v>
      </c>
      <c r="M264" s="12"/>
      <c r="N264" s="12"/>
      <c r="O264" s="12"/>
      <c r="P264" s="16"/>
      <c r="Q264" s="30"/>
      <c r="R264" s="29" t="s">
        <v>167</v>
      </c>
      <c r="S264" s="10" t="s">
        <v>167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">
        <f t="shared" si="12"/>
        <v>0</v>
      </c>
      <c r="Z264" s="10"/>
      <c r="AA264" s="10"/>
      <c r="AB264" s="10"/>
      <c r="AC264" s="10"/>
      <c r="AD264" s="10"/>
      <c r="AE264" s="10"/>
      <c r="AF264" s="10"/>
      <c r="AG264" s="38">
        <f t="shared" si="13"/>
        <v>0</v>
      </c>
      <c r="AH264" s="51" t="str">
        <f t="shared" si="14"/>
        <v xml:space="preserve"> </v>
      </c>
      <c r="AI264" s="64"/>
      <c r="AJ264" s="72"/>
      <c r="AK264" s="65">
        <v>0</v>
      </c>
      <c r="AL264" s="1"/>
      <c r="AM264" s="1"/>
      <c r="AN264" s="81"/>
      <c r="AO264" s="81"/>
    </row>
    <row r="265" spans="1:41" s="26" customFormat="1" x14ac:dyDescent="0.25">
      <c r="A265" s="15" t="s">
        <v>925</v>
      </c>
      <c r="B265" s="8" t="s">
        <v>203</v>
      </c>
      <c r="C265" s="11">
        <v>0.65</v>
      </c>
      <c r="D265" s="18"/>
      <c r="E265" s="18"/>
      <c r="F265" s="77"/>
      <c r="G265" s="9"/>
      <c r="H265" s="12" t="s">
        <v>161</v>
      </c>
      <c r="I265" s="12"/>
      <c r="J265" s="12"/>
      <c r="K265" s="14"/>
      <c r="L265" s="11" t="s">
        <v>533</v>
      </c>
      <c r="M265" s="12"/>
      <c r="N265" s="12"/>
      <c r="O265" s="12"/>
      <c r="P265" s="16"/>
      <c r="Q265" s="30"/>
      <c r="R265" s="29" t="s">
        <v>167</v>
      </c>
      <c r="S265" s="10" t="s">
        <v>167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">
        <f t="shared" si="12"/>
        <v>0</v>
      </c>
      <c r="Z265" s="10"/>
      <c r="AA265" s="10"/>
      <c r="AB265" s="10"/>
      <c r="AC265" s="10"/>
      <c r="AD265" s="10"/>
      <c r="AE265" s="10"/>
      <c r="AF265" s="10"/>
      <c r="AG265" s="38">
        <f t="shared" si="13"/>
        <v>0</v>
      </c>
      <c r="AH265" s="51" t="str">
        <f t="shared" si="14"/>
        <v xml:space="preserve"> </v>
      </c>
      <c r="AI265" s="64"/>
      <c r="AJ265" s="72"/>
      <c r="AK265" s="65">
        <v>0</v>
      </c>
      <c r="AL265" s="1"/>
      <c r="AM265" s="1"/>
      <c r="AN265" s="81"/>
      <c r="AO265" s="81"/>
    </row>
    <row r="266" spans="1:41" s="26" customFormat="1" x14ac:dyDescent="0.25">
      <c r="A266" s="15" t="s">
        <v>926</v>
      </c>
      <c r="B266" s="8" t="s">
        <v>197</v>
      </c>
      <c r="C266" s="11">
        <v>0.75</v>
      </c>
      <c r="D266" s="18">
        <v>1000</v>
      </c>
      <c r="E266" s="18" t="s">
        <v>161</v>
      </c>
      <c r="F266" s="23"/>
      <c r="G266" s="9"/>
      <c r="H266" s="12" t="s">
        <v>161</v>
      </c>
      <c r="I266" s="12"/>
      <c r="J266" s="12"/>
      <c r="K266" s="14"/>
      <c r="L266" s="11" t="s">
        <v>533</v>
      </c>
      <c r="M266" s="12"/>
      <c r="N266" s="12"/>
      <c r="O266" s="12"/>
      <c r="P266" s="16"/>
      <c r="Q266" s="30"/>
      <c r="R266" s="29" t="s">
        <v>167</v>
      </c>
      <c r="S266" s="10" t="s">
        <v>167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">
        <f t="shared" si="12"/>
        <v>0</v>
      </c>
      <c r="Z266" s="10"/>
      <c r="AA266" s="10"/>
      <c r="AB266" s="10"/>
      <c r="AC266" s="10"/>
      <c r="AD266" s="10"/>
      <c r="AE266" s="10"/>
      <c r="AF266" s="10"/>
      <c r="AG266" s="38">
        <f t="shared" si="13"/>
        <v>0</v>
      </c>
      <c r="AH266" s="51" t="str">
        <f t="shared" si="14"/>
        <v xml:space="preserve"> </v>
      </c>
      <c r="AI266" s="64"/>
      <c r="AJ266" s="72"/>
      <c r="AK266" s="65">
        <v>0</v>
      </c>
      <c r="AL266" s="1"/>
      <c r="AM266" s="1"/>
      <c r="AN266" s="81"/>
      <c r="AO266" s="81"/>
    </row>
    <row r="267" spans="1:41" s="26" customFormat="1" x14ac:dyDescent="0.25">
      <c r="A267" s="15" t="s">
        <v>927</v>
      </c>
      <c r="B267" s="8" t="s">
        <v>329</v>
      </c>
      <c r="C267" s="11">
        <v>1.5</v>
      </c>
      <c r="D267" s="18">
        <v>157</v>
      </c>
      <c r="E267" s="18">
        <v>44</v>
      </c>
      <c r="F267" s="77">
        <v>6.5000000000000002E-2</v>
      </c>
      <c r="G267" s="9"/>
      <c r="H267" s="12" t="s">
        <v>161</v>
      </c>
      <c r="I267" s="12"/>
      <c r="J267" s="12"/>
      <c r="K267" s="14"/>
      <c r="L267" s="11" t="s">
        <v>533</v>
      </c>
      <c r="M267" s="12"/>
      <c r="N267" s="12"/>
      <c r="O267" s="12"/>
      <c r="P267" s="16"/>
      <c r="Q267" s="30"/>
      <c r="R267" s="29" t="s">
        <v>167</v>
      </c>
      <c r="S267" s="10" t="s">
        <v>167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">
        <f t="shared" si="12"/>
        <v>0</v>
      </c>
      <c r="Z267" s="10"/>
      <c r="AA267" s="10"/>
      <c r="AB267" s="10"/>
      <c r="AC267" s="10"/>
      <c r="AD267" s="10"/>
      <c r="AE267" s="10"/>
      <c r="AF267" s="10"/>
      <c r="AG267" s="38">
        <f t="shared" si="13"/>
        <v>0</v>
      </c>
      <c r="AH267" s="51" t="str">
        <f t="shared" si="14"/>
        <v xml:space="preserve"> </v>
      </c>
      <c r="AI267" s="64"/>
      <c r="AJ267" s="72"/>
      <c r="AK267" s="65">
        <v>0</v>
      </c>
      <c r="AL267" s="1"/>
      <c r="AM267" s="1"/>
      <c r="AN267" s="81"/>
      <c r="AO267" s="81"/>
    </row>
    <row r="268" spans="1:41" s="26" customFormat="1" x14ac:dyDescent="0.25">
      <c r="A268" s="15" t="s">
        <v>928</v>
      </c>
      <c r="B268" s="8" t="s">
        <v>929</v>
      </c>
      <c r="C268" s="11">
        <v>0.6</v>
      </c>
      <c r="D268" s="18">
        <v>285</v>
      </c>
      <c r="E268" s="18">
        <v>1220</v>
      </c>
      <c r="F268" s="23"/>
      <c r="G268" s="9"/>
      <c r="H268" s="12" t="s">
        <v>161</v>
      </c>
      <c r="I268" s="12"/>
      <c r="J268" s="12"/>
      <c r="K268" s="14"/>
      <c r="L268" s="11" t="s">
        <v>533</v>
      </c>
      <c r="M268" s="12"/>
      <c r="N268" s="12"/>
      <c r="O268" s="12"/>
      <c r="P268" s="16"/>
      <c r="Q268" s="30"/>
      <c r="R268" s="29" t="s">
        <v>167</v>
      </c>
      <c r="S268" s="10" t="s">
        <v>167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">
        <f t="shared" si="12"/>
        <v>0</v>
      </c>
      <c r="Z268" s="10"/>
      <c r="AA268" s="10"/>
      <c r="AB268" s="10"/>
      <c r="AC268" s="10"/>
      <c r="AD268" s="10"/>
      <c r="AE268" s="10"/>
      <c r="AF268" s="10"/>
      <c r="AG268" s="38">
        <f t="shared" si="13"/>
        <v>0</v>
      </c>
      <c r="AH268" s="51" t="str">
        <f t="shared" si="14"/>
        <v xml:space="preserve"> </v>
      </c>
      <c r="AI268" s="64"/>
      <c r="AJ268" s="72"/>
      <c r="AK268" s="65">
        <v>0</v>
      </c>
      <c r="AL268" s="1"/>
      <c r="AM268" s="1"/>
      <c r="AN268" s="81"/>
      <c r="AO268" s="81"/>
    </row>
    <row r="269" spans="1:41" s="26" customFormat="1" x14ac:dyDescent="0.25">
      <c r="A269" s="15" t="s">
        <v>930</v>
      </c>
      <c r="B269" s="8" t="s">
        <v>160</v>
      </c>
      <c r="C269" s="11">
        <v>1.2</v>
      </c>
      <c r="D269" s="18">
        <v>950</v>
      </c>
      <c r="E269" s="18" t="s">
        <v>161</v>
      </c>
      <c r="F269" s="23"/>
      <c r="G269" s="9"/>
      <c r="H269" s="12" t="s">
        <v>161</v>
      </c>
      <c r="I269" s="12"/>
      <c r="J269" s="12"/>
      <c r="K269" s="14"/>
      <c r="L269" s="11" t="s">
        <v>533</v>
      </c>
      <c r="M269" s="12"/>
      <c r="N269" s="12"/>
      <c r="O269" s="12"/>
      <c r="P269" s="16"/>
      <c r="Q269" s="30"/>
      <c r="R269" s="29" t="s">
        <v>167</v>
      </c>
      <c r="S269" s="10" t="s">
        <v>167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">
        <f t="shared" si="12"/>
        <v>0</v>
      </c>
      <c r="Z269" s="10"/>
      <c r="AA269" s="10"/>
      <c r="AB269" s="10"/>
      <c r="AC269" s="10"/>
      <c r="AD269" s="10"/>
      <c r="AE269" s="10"/>
      <c r="AF269" s="10"/>
      <c r="AG269" s="38">
        <f t="shared" si="13"/>
        <v>0</v>
      </c>
      <c r="AH269" s="51" t="str">
        <f t="shared" si="14"/>
        <v xml:space="preserve"> </v>
      </c>
      <c r="AI269" s="64"/>
      <c r="AJ269" s="72"/>
      <c r="AK269" s="65">
        <v>0</v>
      </c>
      <c r="AL269" s="1"/>
      <c r="AM269" s="1"/>
      <c r="AN269" s="81"/>
      <c r="AO269" s="81"/>
    </row>
    <row r="270" spans="1:41" s="26" customFormat="1" x14ac:dyDescent="0.25">
      <c r="A270" s="15" t="s">
        <v>931</v>
      </c>
      <c r="B270" s="8" t="s">
        <v>172</v>
      </c>
      <c r="C270" s="11">
        <v>4.75</v>
      </c>
      <c r="D270" s="18">
        <v>1400</v>
      </c>
      <c r="E270" s="18" t="s">
        <v>161</v>
      </c>
      <c r="F270" s="23"/>
      <c r="G270" s="9"/>
      <c r="H270" s="12" t="s">
        <v>161</v>
      </c>
      <c r="I270" s="12"/>
      <c r="J270" s="12"/>
      <c r="K270" s="14"/>
      <c r="L270" s="11" t="s">
        <v>533</v>
      </c>
      <c r="M270" s="12"/>
      <c r="N270" s="12"/>
      <c r="O270" s="12"/>
      <c r="P270" s="16"/>
      <c r="Q270" s="30"/>
      <c r="R270" s="29" t="s">
        <v>167</v>
      </c>
      <c r="S270" s="10" t="s">
        <v>167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">
        <f t="shared" si="12"/>
        <v>0</v>
      </c>
      <c r="Z270" s="10"/>
      <c r="AA270" s="10"/>
      <c r="AB270" s="10"/>
      <c r="AC270" s="10"/>
      <c r="AD270" s="10"/>
      <c r="AE270" s="10"/>
      <c r="AF270" s="10"/>
      <c r="AG270" s="38">
        <f t="shared" si="13"/>
        <v>0</v>
      </c>
      <c r="AH270" s="51" t="str">
        <f t="shared" si="14"/>
        <v xml:space="preserve"> </v>
      </c>
      <c r="AI270" s="64"/>
      <c r="AJ270" s="72"/>
      <c r="AK270" s="65">
        <v>0</v>
      </c>
      <c r="AL270" s="1"/>
      <c r="AM270" s="1"/>
      <c r="AN270" s="81"/>
      <c r="AO270" s="81"/>
    </row>
    <row r="271" spans="1:41" s="26" customFormat="1" x14ac:dyDescent="0.25">
      <c r="A271" s="15" t="s">
        <v>932</v>
      </c>
      <c r="B271" s="8" t="s">
        <v>431</v>
      </c>
      <c r="C271" s="11">
        <v>4</v>
      </c>
      <c r="D271" s="18">
        <v>1150</v>
      </c>
      <c r="E271" s="18">
        <v>1500</v>
      </c>
      <c r="F271" s="23"/>
      <c r="G271" s="9"/>
      <c r="H271" s="12" t="s">
        <v>161</v>
      </c>
      <c r="I271" s="12"/>
      <c r="J271" s="12"/>
      <c r="K271" s="14"/>
      <c r="L271" s="11" t="s">
        <v>533</v>
      </c>
      <c r="M271" s="12"/>
      <c r="N271" s="12"/>
      <c r="O271" s="12"/>
      <c r="P271" s="16"/>
      <c r="Q271" s="30"/>
      <c r="R271" s="29" t="s">
        <v>167</v>
      </c>
      <c r="S271" s="12" t="s">
        <v>167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">
        <f t="shared" si="12"/>
        <v>0</v>
      </c>
      <c r="Z271" s="10"/>
      <c r="AA271" s="10"/>
      <c r="AB271" s="10"/>
      <c r="AC271" s="10"/>
      <c r="AD271" s="10"/>
      <c r="AE271" s="10"/>
      <c r="AF271" s="10"/>
      <c r="AG271" s="38">
        <f t="shared" si="13"/>
        <v>0</v>
      </c>
      <c r="AH271" s="51" t="str">
        <f t="shared" si="14"/>
        <v xml:space="preserve"> </v>
      </c>
      <c r="AI271" s="64"/>
      <c r="AJ271" s="72"/>
      <c r="AK271" s="65">
        <v>0</v>
      </c>
      <c r="AL271" s="1"/>
      <c r="AM271" s="1"/>
      <c r="AN271" s="81"/>
      <c r="AO271" s="81"/>
    </row>
    <row r="272" spans="1:41" s="26" customFormat="1" x14ac:dyDescent="0.25">
      <c r="A272" s="31" t="s">
        <v>933</v>
      </c>
      <c r="B272" s="8" t="s">
        <v>929</v>
      </c>
      <c r="C272" s="11">
        <v>0.75</v>
      </c>
      <c r="D272" s="18">
        <v>575</v>
      </c>
      <c r="E272" s="18">
        <v>620</v>
      </c>
      <c r="F272" s="23"/>
      <c r="G272" s="9"/>
      <c r="H272" s="12" t="s">
        <v>161</v>
      </c>
      <c r="I272" s="12"/>
      <c r="J272" s="12"/>
      <c r="K272" s="14"/>
      <c r="L272" s="11" t="s">
        <v>533</v>
      </c>
      <c r="M272" s="12"/>
      <c r="N272" s="12"/>
      <c r="O272" s="12"/>
      <c r="P272" s="16"/>
      <c r="Q272" s="30"/>
      <c r="R272" s="29" t="s">
        <v>167</v>
      </c>
      <c r="S272" s="10" t="s">
        <v>167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">
        <f t="shared" si="12"/>
        <v>0</v>
      </c>
      <c r="Z272" s="10"/>
      <c r="AA272" s="10"/>
      <c r="AB272" s="10"/>
      <c r="AC272" s="10"/>
      <c r="AD272" s="10"/>
      <c r="AE272" s="10"/>
      <c r="AF272" s="10"/>
      <c r="AG272" s="38">
        <f t="shared" si="13"/>
        <v>0</v>
      </c>
      <c r="AH272" s="51" t="str">
        <f t="shared" si="14"/>
        <v xml:space="preserve"> </v>
      </c>
      <c r="AI272" s="64"/>
      <c r="AJ272" s="72"/>
      <c r="AK272" s="65">
        <v>0</v>
      </c>
      <c r="AL272" s="1"/>
      <c r="AM272" s="1"/>
      <c r="AN272" s="81"/>
      <c r="AO272" s="81"/>
    </row>
    <row r="273" spans="1:41" s="26" customFormat="1" x14ac:dyDescent="0.25">
      <c r="A273" s="15" t="s">
        <v>934</v>
      </c>
      <c r="B273" s="8" t="s">
        <v>329</v>
      </c>
      <c r="C273" s="11">
        <v>1.2</v>
      </c>
      <c r="D273" s="18">
        <v>325</v>
      </c>
      <c r="E273" s="18">
        <v>51</v>
      </c>
      <c r="F273" s="77">
        <v>6.5000000000000002E-2</v>
      </c>
      <c r="G273" s="9"/>
      <c r="H273" s="12" t="s">
        <v>161</v>
      </c>
      <c r="I273" s="12"/>
      <c r="J273" s="12"/>
      <c r="K273" s="14"/>
      <c r="L273" s="11" t="s">
        <v>533</v>
      </c>
      <c r="M273" s="12"/>
      <c r="N273" s="12"/>
      <c r="O273" s="12"/>
      <c r="P273" s="16"/>
      <c r="Q273" s="30"/>
      <c r="R273" s="29" t="s">
        <v>167</v>
      </c>
      <c r="S273" s="10" t="s">
        <v>167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">
        <f t="shared" si="12"/>
        <v>0</v>
      </c>
      <c r="Z273" s="10"/>
      <c r="AA273" s="10"/>
      <c r="AB273" s="10"/>
      <c r="AC273" s="10"/>
      <c r="AD273" s="10"/>
      <c r="AE273" s="10"/>
      <c r="AF273" s="10"/>
      <c r="AG273" s="38">
        <f t="shared" si="13"/>
        <v>0</v>
      </c>
      <c r="AH273" s="51" t="str">
        <f t="shared" si="14"/>
        <v xml:space="preserve"> </v>
      </c>
      <c r="AI273" s="64"/>
      <c r="AJ273" s="72"/>
      <c r="AK273" s="65">
        <v>0</v>
      </c>
      <c r="AL273" s="1"/>
      <c r="AM273" s="1"/>
      <c r="AN273" s="81"/>
      <c r="AO273" s="81"/>
    </row>
    <row r="274" spans="1:41" s="26" customFormat="1" x14ac:dyDescent="0.25">
      <c r="A274" s="15" t="s">
        <v>935</v>
      </c>
      <c r="B274" s="8" t="s">
        <v>189</v>
      </c>
      <c r="C274" s="11">
        <v>1.2</v>
      </c>
      <c r="D274" s="18">
        <v>135</v>
      </c>
      <c r="E274" s="18" t="s">
        <v>161</v>
      </c>
      <c r="F274" s="23"/>
      <c r="G274" s="9"/>
      <c r="H274" s="12" t="s">
        <v>161</v>
      </c>
      <c r="I274" s="12"/>
      <c r="J274" s="12"/>
      <c r="K274" s="14"/>
      <c r="L274" s="11" t="s">
        <v>533</v>
      </c>
      <c r="M274" s="12"/>
      <c r="N274" s="12"/>
      <c r="O274" s="12"/>
      <c r="P274" s="16"/>
      <c r="Q274" s="30"/>
      <c r="R274" s="29" t="s">
        <v>167</v>
      </c>
      <c r="S274" s="10" t="s">
        <v>167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">
        <f t="shared" si="12"/>
        <v>0</v>
      </c>
      <c r="Z274" s="10"/>
      <c r="AA274" s="10"/>
      <c r="AB274" s="10"/>
      <c r="AC274" s="10"/>
      <c r="AD274" s="10"/>
      <c r="AE274" s="10"/>
      <c r="AF274" s="10"/>
      <c r="AG274" s="38">
        <f t="shared" si="13"/>
        <v>0</v>
      </c>
      <c r="AH274" s="51" t="str">
        <f t="shared" si="14"/>
        <v xml:space="preserve"> </v>
      </c>
      <c r="AI274" s="64"/>
      <c r="AJ274" s="72"/>
      <c r="AK274" s="65">
        <v>0</v>
      </c>
      <c r="AL274" s="1"/>
      <c r="AM274" s="1"/>
      <c r="AN274" s="81"/>
      <c r="AO274" s="81"/>
    </row>
    <row r="275" spans="1:41" s="26" customFormat="1" x14ac:dyDescent="0.25">
      <c r="A275" s="15" t="s">
        <v>936</v>
      </c>
      <c r="B275" s="8" t="s">
        <v>431</v>
      </c>
      <c r="C275" s="11">
        <v>3</v>
      </c>
      <c r="D275" s="18">
        <v>1200</v>
      </c>
      <c r="E275" s="18">
        <v>2870</v>
      </c>
      <c r="F275" s="23"/>
      <c r="G275" s="9"/>
      <c r="H275" s="12" t="s">
        <v>161</v>
      </c>
      <c r="I275" s="12"/>
      <c r="J275" s="12"/>
      <c r="K275" s="14"/>
      <c r="L275" s="11" t="s">
        <v>533</v>
      </c>
      <c r="M275" s="12"/>
      <c r="N275" s="12"/>
      <c r="O275" s="12"/>
      <c r="P275" s="16"/>
      <c r="Q275" s="30"/>
      <c r="R275" s="29" t="s">
        <v>167</v>
      </c>
      <c r="S275" s="10" t="s">
        <v>167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">
        <f t="shared" si="12"/>
        <v>0</v>
      </c>
      <c r="Z275" s="10"/>
      <c r="AA275" s="10"/>
      <c r="AB275" s="10"/>
      <c r="AC275" s="10"/>
      <c r="AD275" s="10"/>
      <c r="AE275" s="10"/>
      <c r="AF275" s="10"/>
      <c r="AG275" s="38">
        <f t="shared" si="13"/>
        <v>0</v>
      </c>
      <c r="AH275" s="51" t="str">
        <f t="shared" si="14"/>
        <v xml:space="preserve"> </v>
      </c>
      <c r="AI275" s="64"/>
      <c r="AJ275" s="72"/>
      <c r="AK275" s="65">
        <v>0</v>
      </c>
      <c r="AL275" s="1"/>
      <c r="AM275" s="1"/>
      <c r="AN275" s="81"/>
      <c r="AO275" s="81"/>
    </row>
    <row r="276" spans="1:41" s="26" customFormat="1" x14ac:dyDescent="0.25">
      <c r="A276" s="15" t="s">
        <v>937</v>
      </c>
      <c r="B276" s="8" t="s">
        <v>431</v>
      </c>
      <c r="C276" s="11">
        <v>2.5</v>
      </c>
      <c r="D276" s="18">
        <v>1250</v>
      </c>
      <c r="E276" s="18">
        <v>2000</v>
      </c>
      <c r="F276" s="23"/>
      <c r="G276" s="9"/>
      <c r="H276" s="12" t="s">
        <v>161</v>
      </c>
      <c r="I276" s="12"/>
      <c r="J276" s="12"/>
      <c r="K276" s="14"/>
      <c r="L276" s="11" t="s">
        <v>533</v>
      </c>
      <c r="M276" s="12"/>
      <c r="N276" s="12"/>
      <c r="O276" s="12"/>
      <c r="P276" s="16"/>
      <c r="Q276" s="30"/>
      <c r="R276" s="29" t="s">
        <v>167</v>
      </c>
      <c r="S276" s="10" t="s">
        <v>167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">
        <f t="shared" si="12"/>
        <v>0</v>
      </c>
      <c r="Z276" s="10"/>
      <c r="AA276" s="10"/>
      <c r="AB276" s="10"/>
      <c r="AC276" s="10"/>
      <c r="AD276" s="10"/>
      <c r="AE276" s="10"/>
      <c r="AF276" s="10"/>
      <c r="AG276" s="38">
        <f t="shared" si="13"/>
        <v>0</v>
      </c>
      <c r="AH276" s="51" t="str">
        <f t="shared" si="14"/>
        <v xml:space="preserve"> </v>
      </c>
      <c r="AI276" s="64"/>
      <c r="AJ276" s="72"/>
      <c r="AK276" s="65">
        <v>0</v>
      </c>
      <c r="AL276" s="1"/>
      <c r="AM276" s="1"/>
      <c r="AN276" s="81"/>
      <c r="AO276" s="81"/>
    </row>
    <row r="277" spans="1:41" s="26" customFormat="1" x14ac:dyDescent="0.25">
      <c r="A277" s="15" t="s">
        <v>938</v>
      </c>
      <c r="B277" s="8" t="s">
        <v>203</v>
      </c>
      <c r="C277" s="11">
        <v>2</v>
      </c>
      <c r="D277" s="18">
        <v>1000</v>
      </c>
      <c r="E277" s="18">
        <v>2000</v>
      </c>
      <c r="F277" s="23"/>
      <c r="G277" s="9"/>
      <c r="H277" s="12" t="s">
        <v>161</v>
      </c>
      <c r="I277" s="12"/>
      <c r="J277" s="12"/>
      <c r="K277" s="14"/>
      <c r="L277" s="11" t="s">
        <v>533</v>
      </c>
      <c r="M277" s="12"/>
      <c r="N277" s="12"/>
      <c r="O277" s="12"/>
      <c r="P277" s="16"/>
      <c r="Q277" s="30"/>
      <c r="R277" s="29" t="s">
        <v>167</v>
      </c>
      <c r="S277" s="10" t="s">
        <v>167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">
        <f t="shared" si="12"/>
        <v>0</v>
      </c>
      <c r="Z277" s="10"/>
      <c r="AA277" s="10"/>
      <c r="AB277" s="10"/>
      <c r="AC277" s="10"/>
      <c r="AD277" s="10"/>
      <c r="AE277" s="10"/>
      <c r="AF277" s="10"/>
      <c r="AG277" s="38">
        <f t="shared" si="13"/>
        <v>0</v>
      </c>
      <c r="AH277" s="51" t="str">
        <f t="shared" si="14"/>
        <v xml:space="preserve"> </v>
      </c>
      <c r="AI277" s="64"/>
      <c r="AJ277" s="72"/>
      <c r="AK277" s="65">
        <v>0</v>
      </c>
      <c r="AL277" s="1"/>
      <c r="AM277" s="1"/>
      <c r="AN277" s="81"/>
      <c r="AO277" s="81"/>
    </row>
    <row r="278" spans="1:41" s="26" customFormat="1" x14ac:dyDescent="0.25">
      <c r="A278" s="15" t="s">
        <v>939</v>
      </c>
      <c r="B278" s="8" t="s">
        <v>431</v>
      </c>
      <c r="C278" s="11">
        <v>4</v>
      </c>
      <c r="D278" s="18">
        <v>1150</v>
      </c>
      <c r="E278" s="18">
        <v>2100</v>
      </c>
      <c r="F278" s="23"/>
      <c r="G278" s="9"/>
      <c r="H278" s="12" t="s">
        <v>161</v>
      </c>
      <c r="I278" s="12"/>
      <c r="J278" s="12"/>
      <c r="K278" s="14"/>
      <c r="L278" s="11" t="s">
        <v>533</v>
      </c>
      <c r="M278" s="12"/>
      <c r="N278" s="12"/>
      <c r="O278" s="12"/>
      <c r="P278" s="16"/>
      <c r="Q278" s="30"/>
      <c r="R278" s="29" t="s">
        <v>167</v>
      </c>
      <c r="S278" s="10" t="s">
        <v>167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">
        <f t="shared" si="12"/>
        <v>0</v>
      </c>
      <c r="Z278" s="10"/>
      <c r="AA278" s="10"/>
      <c r="AB278" s="10"/>
      <c r="AC278" s="10"/>
      <c r="AD278" s="10"/>
      <c r="AE278" s="10"/>
      <c r="AF278" s="10"/>
      <c r="AG278" s="38">
        <f t="shared" si="13"/>
        <v>0</v>
      </c>
      <c r="AH278" s="51" t="str">
        <f t="shared" si="14"/>
        <v xml:space="preserve"> </v>
      </c>
      <c r="AI278" s="64"/>
      <c r="AJ278" s="72"/>
      <c r="AK278" s="65">
        <v>0</v>
      </c>
      <c r="AL278" s="1"/>
      <c r="AM278" s="1"/>
      <c r="AN278" s="81"/>
      <c r="AO278" s="81"/>
    </row>
    <row r="279" spans="1:41" s="26" customFormat="1" ht="22.5" hidden="1" x14ac:dyDescent="0.25">
      <c r="A279" s="22" t="s">
        <v>38</v>
      </c>
      <c r="B279" s="2" t="s">
        <v>172</v>
      </c>
      <c r="C279" s="21">
        <v>12.25</v>
      </c>
      <c r="D279" s="23">
        <v>1250</v>
      </c>
      <c r="E279" s="23" t="s">
        <v>12</v>
      </c>
      <c r="F279" s="28" t="s">
        <v>940</v>
      </c>
      <c r="G279" s="3" t="s">
        <v>941</v>
      </c>
      <c r="H279" s="6"/>
      <c r="I279" s="6" t="s">
        <v>942</v>
      </c>
      <c r="J279" s="6">
        <v>69</v>
      </c>
      <c r="K279" s="21">
        <v>24</v>
      </c>
      <c r="L279" s="21" t="s">
        <v>943</v>
      </c>
      <c r="M279" s="6" t="s">
        <v>944</v>
      </c>
      <c r="N279" s="6" t="s">
        <v>945</v>
      </c>
      <c r="O279" s="6" t="str">
        <f>_xlfn.XLOOKUP(A279,[1]Resumo!$B:$B,[1]Resumo!$A:$A)</f>
        <v>A</v>
      </c>
      <c r="P279" s="6"/>
      <c r="Q279" s="27"/>
      <c r="R279" s="28" t="s">
        <v>946</v>
      </c>
      <c r="S279" s="6" t="s">
        <v>177</v>
      </c>
      <c r="T279" s="1">
        <v>334.24039799999997</v>
      </c>
      <c r="U279" s="1">
        <v>258.49515200000002</v>
      </c>
      <c r="V279" s="1">
        <v>265.10771600000004</v>
      </c>
      <c r="W279" s="1">
        <v>310.87180599999999</v>
      </c>
      <c r="X279" s="1">
        <v>321.527176</v>
      </c>
      <c r="Y279" s="1">
        <f t="shared" ref="Y279:Y342" si="15">AVERAGE(T279:X279)</f>
        <v>298.04844960000003</v>
      </c>
      <c r="Z279" s="10" t="s">
        <v>168</v>
      </c>
      <c r="AA279" s="10" t="s">
        <v>168</v>
      </c>
      <c r="AB279" s="10" t="s">
        <v>168</v>
      </c>
      <c r="AC279" s="10" t="s">
        <v>168</v>
      </c>
      <c r="AD279" s="10" t="s">
        <v>168</v>
      </c>
      <c r="AE279" s="10" t="s">
        <v>168</v>
      </c>
      <c r="AF279" s="10" t="s">
        <v>168</v>
      </c>
      <c r="AG279" s="38">
        <f t="shared" ref="AG279:AG342" si="16">COUNTIF(Z279:AF279,"X")/7</f>
        <v>1</v>
      </c>
      <c r="AH279" s="51">
        <f t="shared" ref="AH279:AH342" si="17">IF(AG279=100%,Y279," ")</f>
        <v>298.04844960000003</v>
      </c>
      <c r="AI279" s="64">
        <v>2</v>
      </c>
      <c r="AJ279" s="62" t="s">
        <v>947</v>
      </c>
      <c r="AK279" s="65">
        <f>150216.36/12</f>
        <v>12518.029999999999</v>
      </c>
      <c r="AL279" s="1"/>
      <c r="AM279" s="62" t="s">
        <v>948</v>
      </c>
      <c r="AN279" s="81">
        <v>46266</v>
      </c>
      <c r="AO279" s="81" t="s">
        <v>180</v>
      </c>
    </row>
    <row r="280" spans="1:41" s="26" customFormat="1" ht="22.5" hidden="1" x14ac:dyDescent="0.25">
      <c r="A280" s="22" t="s">
        <v>949</v>
      </c>
      <c r="B280" s="2" t="s">
        <v>172</v>
      </c>
      <c r="C280" s="21">
        <v>15.75</v>
      </c>
      <c r="D280" s="23">
        <v>1250</v>
      </c>
      <c r="E280" s="23" t="s">
        <v>12</v>
      </c>
      <c r="F280" s="28" t="s">
        <v>940</v>
      </c>
      <c r="G280" s="3" t="s">
        <v>941</v>
      </c>
      <c r="H280" s="4"/>
      <c r="I280" s="6" t="s">
        <v>942</v>
      </c>
      <c r="J280" s="4">
        <v>69</v>
      </c>
      <c r="K280" s="5">
        <v>24</v>
      </c>
      <c r="L280" s="5" t="s">
        <v>943</v>
      </c>
      <c r="M280" s="4" t="s">
        <v>944</v>
      </c>
      <c r="N280" s="6" t="s">
        <v>945</v>
      </c>
      <c r="O280" s="4" t="s">
        <v>166</v>
      </c>
      <c r="P280" s="4"/>
      <c r="Q280" s="24"/>
      <c r="R280" s="25" t="s">
        <v>946</v>
      </c>
      <c r="S280" s="6" t="s">
        <v>177</v>
      </c>
      <c r="T280" s="1">
        <v>210.26425599999999</v>
      </c>
      <c r="U280" s="1">
        <v>226.69460000000001</v>
      </c>
      <c r="V280" s="1">
        <v>318.69595000000004</v>
      </c>
      <c r="W280" s="1">
        <v>296.39984999999996</v>
      </c>
      <c r="X280" s="1">
        <v>292.9699</v>
      </c>
      <c r="Y280" s="1">
        <f t="shared" si="15"/>
        <v>269.00491120000004</v>
      </c>
      <c r="Z280" s="10" t="s">
        <v>168</v>
      </c>
      <c r="AA280" s="10" t="s">
        <v>168</v>
      </c>
      <c r="AB280" s="10" t="s">
        <v>168</v>
      </c>
      <c r="AC280" s="10" t="s">
        <v>168</v>
      </c>
      <c r="AD280" s="10" t="s">
        <v>168</v>
      </c>
      <c r="AE280" s="10" t="s">
        <v>168</v>
      </c>
      <c r="AF280" s="10" t="s">
        <v>168</v>
      </c>
      <c r="AG280" s="38">
        <f t="shared" si="16"/>
        <v>1</v>
      </c>
      <c r="AH280" s="51">
        <f t="shared" si="17"/>
        <v>269.00491120000004</v>
      </c>
      <c r="AI280" s="64">
        <v>2</v>
      </c>
      <c r="AJ280" s="62" t="s">
        <v>950</v>
      </c>
      <c r="AK280" s="65">
        <f>102925.44/12</f>
        <v>8577.1200000000008</v>
      </c>
      <c r="AL280" s="1"/>
      <c r="AM280" s="62"/>
      <c r="AN280" s="81">
        <v>46266</v>
      </c>
      <c r="AO280" s="81" t="s">
        <v>180</v>
      </c>
    </row>
    <row r="281" spans="1:41" s="26" customFormat="1" ht="135" hidden="1" x14ac:dyDescent="0.25">
      <c r="A281" s="22" t="s">
        <v>40</v>
      </c>
      <c r="B281" s="2" t="s">
        <v>172</v>
      </c>
      <c r="C281" s="21">
        <v>11.75</v>
      </c>
      <c r="D281" s="23">
        <v>1000</v>
      </c>
      <c r="E281" s="23" t="s">
        <v>12</v>
      </c>
      <c r="F281" s="28" t="s">
        <v>951</v>
      </c>
      <c r="G281" s="3" t="s">
        <v>952</v>
      </c>
      <c r="H281" s="4"/>
      <c r="I281" s="6" t="s">
        <v>953</v>
      </c>
      <c r="J281" s="4">
        <v>79</v>
      </c>
      <c r="K281" s="5">
        <v>24</v>
      </c>
      <c r="L281" s="5" t="s">
        <v>39</v>
      </c>
      <c r="M281" s="4" t="s">
        <v>954</v>
      </c>
      <c r="N281" s="6" t="s">
        <v>945</v>
      </c>
      <c r="O281" s="4" t="s">
        <v>166</v>
      </c>
      <c r="P281" s="4"/>
      <c r="Q281" s="24"/>
      <c r="R281" s="25" t="s">
        <v>946</v>
      </c>
      <c r="S281" s="6" t="s">
        <v>177</v>
      </c>
      <c r="T281" s="1">
        <v>114.64835999999998</v>
      </c>
      <c r="U281" s="1">
        <v>209.99153999999999</v>
      </c>
      <c r="V281" s="1">
        <v>205.06518</v>
      </c>
      <c r="W281" s="1">
        <v>175.08846</v>
      </c>
      <c r="X281" s="1">
        <v>163.0461</v>
      </c>
      <c r="Y281" s="1">
        <f t="shared" si="15"/>
        <v>173.56792799999999</v>
      </c>
      <c r="Z281" s="10" t="s">
        <v>168</v>
      </c>
      <c r="AA281" s="10" t="s">
        <v>168</v>
      </c>
      <c r="AB281" s="10" t="s">
        <v>168</v>
      </c>
      <c r="AC281" s="10" t="s">
        <v>168</v>
      </c>
      <c r="AD281" s="10" t="s">
        <v>168</v>
      </c>
      <c r="AE281" s="10" t="s">
        <v>168</v>
      </c>
      <c r="AF281" s="10" t="s">
        <v>168</v>
      </c>
      <c r="AG281" s="38">
        <f t="shared" si="16"/>
        <v>1</v>
      </c>
      <c r="AH281" s="51">
        <f t="shared" si="17"/>
        <v>173.56792799999999</v>
      </c>
      <c r="AI281" s="64">
        <v>12</v>
      </c>
      <c r="AJ281" s="62" t="s">
        <v>955</v>
      </c>
      <c r="AK281" s="65">
        <f>157104.88/12</f>
        <v>13092.073333333334</v>
      </c>
      <c r="AL281" s="1"/>
      <c r="AM281" s="62" t="s">
        <v>956</v>
      </c>
      <c r="AN281" s="81">
        <v>46327</v>
      </c>
      <c r="AO281" s="81" t="s">
        <v>180</v>
      </c>
    </row>
    <row r="282" spans="1:41" s="26" customFormat="1" hidden="1" x14ac:dyDescent="0.25">
      <c r="A282" s="22" t="s">
        <v>957</v>
      </c>
      <c r="B282" s="2" t="s">
        <v>172</v>
      </c>
      <c r="C282" s="21">
        <v>0.6</v>
      </c>
      <c r="D282" s="23">
        <v>500</v>
      </c>
      <c r="E282" s="23">
        <v>74</v>
      </c>
      <c r="F282" s="77">
        <v>0.03</v>
      </c>
      <c r="G282" s="3" t="s">
        <v>958</v>
      </c>
      <c r="H282" s="4"/>
      <c r="I282" s="6" t="s">
        <v>942</v>
      </c>
      <c r="J282" s="4">
        <v>69</v>
      </c>
      <c r="K282" s="5">
        <v>24</v>
      </c>
      <c r="L282" s="5" t="s">
        <v>39</v>
      </c>
      <c r="M282" s="4" t="s">
        <v>959</v>
      </c>
      <c r="N282" s="4" t="s">
        <v>960</v>
      </c>
      <c r="O282" s="4" t="s">
        <v>166</v>
      </c>
      <c r="P282" s="4"/>
      <c r="Q282" s="24"/>
      <c r="R282" s="25" t="s">
        <v>946</v>
      </c>
      <c r="S282" s="6" t="s">
        <v>946</v>
      </c>
      <c r="T282" s="1">
        <v>138.202</v>
      </c>
      <c r="U282" s="1">
        <v>102.848</v>
      </c>
      <c r="V282" s="1">
        <v>77.135999999999996</v>
      </c>
      <c r="W282" s="1">
        <v>77.135999999999996</v>
      </c>
      <c r="X282" s="1">
        <v>0</v>
      </c>
      <c r="Y282" s="1">
        <f t="shared" si="15"/>
        <v>79.064400000000006</v>
      </c>
      <c r="Z282" s="10" t="s">
        <v>168</v>
      </c>
      <c r="AA282" s="10" t="s">
        <v>168</v>
      </c>
      <c r="AB282" s="10" t="s">
        <v>168</v>
      </c>
      <c r="AC282" s="10" t="s">
        <v>168</v>
      </c>
      <c r="AD282" s="10" t="s">
        <v>168</v>
      </c>
      <c r="AE282" s="10" t="s">
        <v>168</v>
      </c>
      <c r="AF282" s="10" t="s">
        <v>168</v>
      </c>
      <c r="AG282" s="38">
        <f t="shared" si="16"/>
        <v>1</v>
      </c>
      <c r="AH282" s="51">
        <f t="shared" si="17"/>
        <v>79.064400000000006</v>
      </c>
      <c r="AI282" s="64">
        <v>1</v>
      </c>
      <c r="AJ282" s="1" t="s">
        <v>961</v>
      </c>
      <c r="AK282" s="65">
        <v>0</v>
      </c>
      <c r="AL282" s="1"/>
      <c r="AM282" s="1" t="s">
        <v>962</v>
      </c>
      <c r="AN282" s="81">
        <v>46143</v>
      </c>
      <c r="AO282" s="81" t="s">
        <v>180</v>
      </c>
    </row>
    <row r="283" spans="1:41" s="26" customFormat="1" hidden="1" x14ac:dyDescent="0.25">
      <c r="A283" s="22" t="s">
        <v>35</v>
      </c>
      <c r="B283" s="2" t="s">
        <v>172</v>
      </c>
      <c r="C283" s="21">
        <v>8</v>
      </c>
      <c r="D283" s="23">
        <v>1200</v>
      </c>
      <c r="E283" s="23" t="s">
        <v>12</v>
      </c>
      <c r="F283" s="28" t="s">
        <v>963</v>
      </c>
      <c r="G283" s="3" t="s">
        <v>964</v>
      </c>
      <c r="H283" s="6"/>
      <c r="I283" s="6" t="s">
        <v>942</v>
      </c>
      <c r="J283" s="6">
        <v>69</v>
      </c>
      <c r="K283" s="21">
        <v>23</v>
      </c>
      <c r="L283" s="21" t="s">
        <v>36</v>
      </c>
      <c r="M283" s="4" t="s">
        <v>965</v>
      </c>
      <c r="N283" s="6"/>
      <c r="O283" s="6" t="s">
        <v>166</v>
      </c>
      <c r="P283" s="6"/>
      <c r="Q283" s="27"/>
      <c r="R283" s="28" t="s">
        <v>946</v>
      </c>
      <c r="S283" s="6" t="s">
        <v>177</v>
      </c>
      <c r="T283" s="1">
        <v>63.29419</v>
      </c>
      <c r="U283" s="1">
        <v>67.032774000000003</v>
      </c>
      <c r="V283" s="1">
        <v>81.322437000000008</v>
      </c>
      <c r="W283" s="1">
        <v>87.854986000000011</v>
      </c>
      <c r="X283" s="1">
        <v>79.002342999999996</v>
      </c>
      <c r="Y283" s="1">
        <f t="shared" si="15"/>
        <v>75.701346000000001</v>
      </c>
      <c r="Z283" s="10" t="s">
        <v>168</v>
      </c>
      <c r="AA283" s="10" t="s">
        <v>168</v>
      </c>
      <c r="AB283" s="10" t="s">
        <v>168</v>
      </c>
      <c r="AC283" s="10" t="s">
        <v>168</v>
      </c>
      <c r="AD283" s="10" t="s">
        <v>168</v>
      </c>
      <c r="AE283" s="10" t="s">
        <v>168</v>
      </c>
      <c r="AF283" s="10" t="s">
        <v>168</v>
      </c>
      <c r="AG283" s="38">
        <f t="shared" si="16"/>
        <v>1</v>
      </c>
      <c r="AH283" s="51">
        <f t="shared" si="17"/>
        <v>75.701346000000001</v>
      </c>
      <c r="AI283" s="64">
        <v>29</v>
      </c>
      <c r="AJ283" s="62" t="s">
        <v>966</v>
      </c>
      <c r="AK283" s="65">
        <f>235129.15/12</f>
        <v>19594.095833333333</v>
      </c>
      <c r="AL283" s="1"/>
      <c r="AM283" s="1" t="s">
        <v>967</v>
      </c>
      <c r="AN283" s="81">
        <v>46266</v>
      </c>
      <c r="AO283" s="81" t="s">
        <v>180</v>
      </c>
    </row>
    <row r="284" spans="1:41" s="26" customFormat="1" ht="90" hidden="1" x14ac:dyDescent="0.25">
      <c r="A284" s="22" t="s">
        <v>968</v>
      </c>
      <c r="B284" s="2" t="s">
        <v>172</v>
      </c>
      <c r="C284" s="21">
        <v>10</v>
      </c>
      <c r="D284" s="23">
        <v>1050</v>
      </c>
      <c r="E284" s="23" t="s">
        <v>12</v>
      </c>
      <c r="F284" s="28" t="s">
        <v>969</v>
      </c>
      <c r="G284" s="3" t="s">
        <v>952</v>
      </c>
      <c r="H284" s="4"/>
      <c r="I284" s="6" t="s">
        <v>953</v>
      </c>
      <c r="J284" s="4">
        <v>79</v>
      </c>
      <c r="K284" s="5">
        <v>24</v>
      </c>
      <c r="L284" s="5" t="s">
        <v>39</v>
      </c>
      <c r="M284" s="4" t="s">
        <v>954</v>
      </c>
      <c r="N284" s="6" t="s">
        <v>945</v>
      </c>
      <c r="O284" s="4" t="s">
        <v>166</v>
      </c>
      <c r="P284" s="4"/>
      <c r="Q284" s="24"/>
      <c r="R284" s="25" t="s">
        <v>946</v>
      </c>
      <c r="S284" s="6" t="s">
        <v>177</v>
      </c>
      <c r="T284" s="1">
        <v>65.859940000000009</v>
      </c>
      <c r="U284" s="1">
        <v>68.896600000000007</v>
      </c>
      <c r="V284" s="1">
        <v>89.453019999999995</v>
      </c>
      <c r="W284" s="1">
        <v>76.556760000000011</v>
      </c>
      <c r="X284" s="1">
        <v>70.684139999999999</v>
      </c>
      <c r="Y284" s="1">
        <f t="shared" si="15"/>
        <v>74.290092000000001</v>
      </c>
      <c r="Z284" s="10" t="s">
        <v>168</v>
      </c>
      <c r="AA284" s="10" t="s">
        <v>168</v>
      </c>
      <c r="AB284" s="10" t="s">
        <v>168</v>
      </c>
      <c r="AC284" s="10" t="s">
        <v>168</v>
      </c>
      <c r="AD284" s="10" t="s">
        <v>168</v>
      </c>
      <c r="AE284" s="10" t="s">
        <v>168</v>
      </c>
      <c r="AF284" s="10" t="s">
        <v>168</v>
      </c>
      <c r="AG284" s="38">
        <f t="shared" si="16"/>
        <v>1</v>
      </c>
      <c r="AH284" s="51">
        <f t="shared" si="17"/>
        <v>74.290092000000001</v>
      </c>
      <c r="AI284" s="64">
        <v>8</v>
      </c>
      <c r="AJ284" s="62" t="s">
        <v>970</v>
      </c>
      <c r="AK284" s="65">
        <f>21400/12</f>
        <v>1783.3333333333333</v>
      </c>
      <c r="AL284" s="1"/>
      <c r="AM284" s="80"/>
      <c r="AN284" s="81">
        <v>46327</v>
      </c>
      <c r="AO284" s="81" t="s">
        <v>180</v>
      </c>
    </row>
    <row r="285" spans="1:41" s="26" customFormat="1" hidden="1" x14ac:dyDescent="0.25">
      <c r="A285" s="22" t="s">
        <v>971</v>
      </c>
      <c r="B285" s="2" t="s">
        <v>172</v>
      </c>
      <c r="C285" s="21">
        <v>1.2</v>
      </c>
      <c r="D285" s="23">
        <v>280</v>
      </c>
      <c r="E285" s="23">
        <v>150</v>
      </c>
      <c r="F285" s="77">
        <v>5.5E-2</v>
      </c>
      <c r="G285" s="3" t="s">
        <v>972</v>
      </c>
      <c r="H285" s="6"/>
      <c r="I285" s="6" t="s">
        <v>942</v>
      </c>
      <c r="J285" s="6">
        <v>59</v>
      </c>
      <c r="K285" s="21">
        <v>24</v>
      </c>
      <c r="L285" s="5" t="s">
        <v>36</v>
      </c>
      <c r="M285" s="6" t="s">
        <v>944</v>
      </c>
      <c r="N285" s="6" t="s">
        <v>973</v>
      </c>
      <c r="O285" s="6" t="s">
        <v>166</v>
      </c>
      <c r="P285" s="6"/>
      <c r="Q285" s="27"/>
      <c r="R285" s="28" t="s">
        <v>946</v>
      </c>
      <c r="S285" s="6" t="s">
        <v>177</v>
      </c>
      <c r="T285" s="1">
        <v>71.144471999999993</v>
      </c>
      <c r="U285" s="1">
        <v>64.452160000000006</v>
      </c>
      <c r="V285" s="1">
        <v>66.465279999999993</v>
      </c>
      <c r="W285" s="1">
        <v>76.327039999999997</v>
      </c>
      <c r="X285" s="1">
        <v>75.065280000000001</v>
      </c>
      <c r="Y285" s="1">
        <f t="shared" si="15"/>
        <v>70.690846400000012</v>
      </c>
      <c r="Z285" s="10" t="s">
        <v>168</v>
      </c>
      <c r="AA285" s="10" t="s">
        <v>168</v>
      </c>
      <c r="AB285" s="10" t="s">
        <v>168</v>
      </c>
      <c r="AC285" s="10" t="s">
        <v>168</v>
      </c>
      <c r="AD285" s="10" t="s">
        <v>168</v>
      </c>
      <c r="AE285" s="10" t="s">
        <v>168</v>
      </c>
      <c r="AF285" s="10" t="s">
        <v>168</v>
      </c>
      <c r="AG285" s="38">
        <f t="shared" si="16"/>
        <v>1</v>
      </c>
      <c r="AH285" s="51">
        <f t="shared" si="17"/>
        <v>70.690846400000012</v>
      </c>
      <c r="AI285" s="64">
        <v>1</v>
      </c>
      <c r="AJ285" s="1" t="s">
        <v>974</v>
      </c>
      <c r="AK285" s="65">
        <v>0</v>
      </c>
      <c r="AL285" s="1"/>
      <c r="AM285" s="1" t="s">
        <v>975</v>
      </c>
      <c r="AN285" s="81">
        <v>46143</v>
      </c>
      <c r="AO285" s="81" t="s">
        <v>180</v>
      </c>
    </row>
    <row r="286" spans="1:41" s="26" customFormat="1" hidden="1" x14ac:dyDescent="0.25">
      <c r="A286" s="22" t="s">
        <v>976</v>
      </c>
      <c r="B286" s="2" t="s">
        <v>172</v>
      </c>
      <c r="C286" s="21">
        <v>2</v>
      </c>
      <c r="D286" s="23">
        <v>165</v>
      </c>
      <c r="E286" s="23">
        <v>29</v>
      </c>
      <c r="F286" s="77">
        <v>7.4999999999999997E-2</v>
      </c>
      <c r="G286" s="3" t="s">
        <v>958</v>
      </c>
      <c r="H286" s="6"/>
      <c r="I286" s="6" t="s">
        <v>942</v>
      </c>
      <c r="J286" s="6">
        <v>69</v>
      </c>
      <c r="K286" s="21">
        <v>10</v>
      </c>
      <c r="L286" s="21" t="s">
        <v>39</v>
      </c>
      <c r="M286" s="6" t="s">
        <v>959</v>
      </c>
      <c r="N286" s="6" t="s">
        <v>977</v>
      </c>
      <c r="O286" s="6" t="s">
        <v>166</v>
      </c>
      <c r="P286" s="6"/>
      <c r="Q286" s="27"/>
      <c r="R286" s="28" t="s">
        <v>946</v>
      </c>
      <c r="S286" s="6" t="s">
        <v>946</v>
      </c>
      <c r="T286" s="1">
        <v>113.39654399999999</v>
      </c>
      <c r="U286" s="1">
        <v>76.9392</v>
      </c>
      <c r="V286" s="1">
        <v>76.9392</v>
      </c>
      <c r="W286" s="1">
        <v>76.9392</v>
      </c>
      <c r="X286" s="1">
        <v>0</v>
      </c>
      <c r="Y286" s="1">
        <f t="shared" si="15"/>
        <v>68.842828800000007</v>
      </c>
      <c r="Z286" s="10" t="s">
        <v>168</v>
      </c>
      <c r="AA286" s="10" t="s">
        <v>168</v>
      </c>
      <c r="AB286" s="10" t="s">
        <v>168</v>
      </c>
      <c r="AC286" s="10" t="s">
        <v>168</v>
      </c>
      <c r="AD286" s="10" t="s">
        <v>168</v>
      </c>
      <c r="AE286" s="10" t="s">
        <v>168</v>
      </c>
      <c r="AF286" s="10" t="s">
        <v>168</v>
      </c>
      <c r="AG286" s="38">
        <f t="shared" si="16"/>
        <v>1</v>
      </c>
      <c r="AH286" s="51">
        <f t="shared" si="17"/>
        <v>68.842828800000007</v>
      </c>
      <c r="AI286" s="64">
        <v>1</v>
      </c>
      <c r="AJ286" s="1" t="s">
        <v>978</v>
      </c>
      <c r="AK286" s="65">
        <v>0</v>
      </c>
      <c r="AL286" s="1"/>
      <c r="AM286" s="1" t="s">
        <v>962</v>
      </c>
      <c r="AN286" s="81">
        <v>46143</v>
      </c>
      <c r="AO286" s="81" t="s">
        <v>180</v>
      </c>
    </row>
    <row r="287" spans="1:41" s="26" customFormat="1" ht="22.5" hidden="1" x14ac:dyDescent="0.25">
      <c r="A287" s="22" t="s">
        <v>979</v>
      </c>
      <c r="B287" s="2" t="s">
        <v>172</v>
      </c>
      <c r="C287" s="21">
        <v>12.75</v>
      </c>
      <c r="D287" s="23">
        <v>1250</v>
      </c>
      <c r="E287" s="23" t="s">
        <v>12</v>
      </c>
      <c r="F287" s="28" t="s">
        <v>940</v>
      </c>
      <c r="G287" s="3" t="s">
        <v>941</v>
      </c>
      <c r="H287" s="6"/>
      <c r="I287" s="6" t="s">
        <v>942</v>
      </c>
      <c r="J287" s="6">
        <v>69</v>
      </c>
      <c r="K287" s="21">
        <v>24</v>
      </c>
      <c r="L287" s="21" t="s">
        <v>39</v>
      </c>
      <c r="M287" s="6" t="s">
        <v>944</v>
      </c>
      <c r="N287" s="6" t="s">
        <v>945</v>
      </c>
      <c r="O287" s="6" t="s">
        <v>166</v>
      </c>
      <c r="P287" s="6"/>
      <c r="Q287" s="27"/>
      <c r="R287" s="28" t="s">
        <v>946</v>
      </c>
      <c r="S287" s="6" t="s">
        <v>177</v>
      </c>
      <c r="T287" s="1">
        <v>57.796700000000001</v>
      </c>
      <c r="U287" s="1">
        <v>68.022270000000006</v>
      </c>
      <c r="V287" s="1">
        <v>56.018340000000002</v>
      </c>
      <c r="W287" s="1">
        <v>60.019649999999999</v>
      </c>
      <c r="X287" s="1">
        <v>86.71923000000001</v>
      </c>
      <c r="Y287" s="1">
        <f t="shared" si="15"/>
        <v>65.715237999999999</v>
      </c>
      <c r="Z287" s="10" t="s">
        <v>168</v>
      </c>
      <c r="AA287" s="10" t="s">
        <v>168</v>
      </c>
      <c r="AB287" s="10" t="s">
        <v>168</v>
      </c>
      <c r="AC287" s="10" t="s">
        <v>168</v>
      </c>
      <c r="AD287" s="10" t="s">
        <v>168</v>
      </c>
      <c r="AE287" s="10" t="s">
        <v>168</v>
      </c>
      <c r="AF287" s="10" t="s">
        <v>168</v>
      </c>
      <c r="AG287" s="38">
        <f t="shared" si="16"/>
        <v>1</v>
      </c>
      <c r="AH287" s="51">
        <f t="shared" si="17"/>
        <v>65.715237999999999</v>
      </c>
      <c r="AI287" s="64">
        <v>2</v>
      </c>
      <c r="AJ287" s="62" t="s">
        <v>980</v>
      </c>
      <c r="AK287" s="65">
        <f>7443/12</f>
        <v>620.25</v>
      </c>
      <c r="AL287" s="1"/>
      <c r="AM287" s="1"/>
      <c r="AN287" s="81"/>
      <c r="AO287" s="81"/>
    </row>
    <row r="288" spans="1:41" s="26" customFormat="1" hidden="1" x14ac:dyDescent="0.25">
      <c r="A288" s="22" t="s">
        <v>981</v>
      </c>
      <c r="B288" s="2" t="s">
        <v>172</v>
      </c>
      <c r="C288" s="21">
        <v>9.75</v>
      </c>
      <c r="D288" s="23">
        <v>2300</v>
      </c>
      <c r="E288" s="23" t="s">
        <v>12</v>
      </c>
      <c r="F288" s="28" t="s">
        <v>12</v>
      </c>
      <c r="G288" s="3" t="s">
        <v>958</v>
      </c>
      <c r="H288" s="6"/>
      <c r="I288" s="6" t="s">
        <v>942</v>
      </c>
      <c r="J288" s="6">
        <v>59</v>
      </c>
      <c r="K288" s="21">
        <v>10</v>
      </c>
      <c r="L288" s="21" t="s">
        <v>39</v>
      </c>
      <c r="M288" s="6" t="s">
        <v>959</v>
      </c>
      <c r="N288" s="6" t="s">
        <v>982</v>
      </c>
      <c r="O288" s="6" t="s">
        <v>166</v>
      </c>
      <c r="P288" s="6"/>
      <c r="Q288" s="27"/>
      <c r="R288" s="28" t="s">
        <v>946</v>
      </c>
      <c r="S288" s="6" t="s">
        <v>946</v>
      </c>
      <c r="T288" s="1">
        <v>37.847000000000001</v>
      </c>
      <c r="U288" s="1">
        <v>64.3399</v>
      </c>
      <c r="V288" s="1">
        <v>64.3399</v>
      </c>
      <c r="W288" s="1">
        <v>64.3399</v>
      </c>
      <c r="X288" s="1">
        <v>0</v>
      </c>
      <c r="Y288" s="1">
        <f t="shared" si="15"/>
        <v>46.173340000000003</v>
      </c>
      <c r="Z288" s="10" t="s">
        <v>168</v>
      </c>
      <c r="AA288" s="10" t="s">
        <v>168</v>
      </c>
      <c r="AB288" s="10" t="s">
        <v>168</v>
      </c>
      <c r="AC288" s="10" t="s">
        <v>168</v>
      </c>
      <c r="AD288" s="10" t="s">
        <v>168</v>
      </c>
      <c r="AE288" s="10" t="s">
        <v>168</v>
      </c>
      <c r="AF288" s="10" t="s">
        <v>168</v>
      </c>
      <c r="AG288" s="38">
        <f t="shared" si="16"/>
        <v>1</v>
      </c>
      <c r="AH288" s="51">
        <f t="shared" si="17"/>
        <v>46.173340000000003</v>
      </c>
      <c r="AI288" s="64">
        <v>1</v>
      </c>
      <c r="AJ288" s="1" t="s">
        <v>983</v>
      </c>
      <c r="AK288" s="65">
        <v>0</v>
      </c>
      <c r="AL288" s="1"/>
      <c r="AM288" s="1" t="s">
        <v>962</v>
      </c>
      <c r="AN288" s="81">
        <v>46143</v>
      </c>
      <c r="AO288" s="81" t="s">
        <v>180</v>
      </c>
    </row>
    <row r="289" spans="1:41" s="26" customFormat="1" hidden="1" x14ac:dyDescent="0.25">
      <c r="A289" s="22" t="s">
        <v>47</v>
      </c>
      <c r="B289" s="2" t="s">
        <v>172</v>
      </c>
      <c r="C289" s="21">
        <v>9.75</v>
      </c>
      <c r="D289" s="23">
        <v>1250</v>
      </c>
      <c r="E289" s="23" t="s">
        <v>12</v>
      </c>
      <c r="F289" s="94" t="s">
        <v>984</v>
      </c>
      <c r="G289" s="3" t="s">
        <v>863</v>
      </c>
      <c r="H289" s="4"/>
      <c r="I289" s="4" t="s">
        <v>942</v>
      </c>
      <c r="J289" s="4">
        <v>59</v>
      </c>
      <c r="K289" s="5">
        <v>24</v>
      </c>
      <c r="L289" s="5" t="s">
        <v>36</v>
      </c>
      <c r="M289" s="4" t="s">
        <v>944</v>
      </c>
      <c r="N289" s="6" t="s">
        <v>973</v>
      </c>
      <c r="O289" s="4" t="s">
        <v>277</v>
      </c>
      <c r="P289" s="4"/>
      <c r="Q289" s="24"/>
      <c r="R289" s="25" t="s">
        <v>946</v>
      </c>
      <c r="S289" s="4" t="s">
        <v>177</v>
      </c>
      <c r="T289" s="1">
        <v>20.143727999999999</v>
      </c>
      <c r="U289" s="1">
        <v>47.250720000000001</v>
      </c>
      <c r="V289" s="1">
        <v>47.250720000000001</v>
      </c>
      <c r="W289" s="1">
        <v>54.711359999999999</v>
      </c>
      <c r="X289" s="1">
        <v>59.685119999999998</v>
      </c>
      <c r="Y289" s="1">
        <f t="shared" si="15"/>
        <v>45.8083296</v>
      </c>
      <c r="Z289" s="10" t="s">
        <v>168</v>
      </c>
      <c r="AA289" s="10" t="s">
        <v>168</v>
      </c>
      <c r="AB289" s="10" t="s">
        <v>168</v>
      </c>
      <c r="AC289" s="10" t="s">
        <v>168</v>
      </c>
      <c r="AD289" s="10" t="s">
        <v>168</v>
      </c>
      <c r="AE289" s="10" t="s">
        <v>168</v>
      </c>
      <c r="AF289" s="10" t="s">
        <v>168</v>
      </c>
      <c r="AG289" s="38">
        <f t="shared" si="16"/>
        <v>1</v>
      </c>
      <c r="AH289" s="51">
        <f t="shared" si="17"/>
        <v>45.8083296</v>
      </c>
      <c r="AI289" s="64">
        <v>1</v>
      </c>
      <c r="AJ289" s="1" t="s">
        <v>985</v>
      </c>
      <c r="AK289" s="65">
        <f>117147.3/12</f>
        <v>9762.2749999999996</v>
      </c>
      <c r="AL289" s="1"/>
      <c r="AM289" s="1"/>
      <c r="AN289" s="81">
        <v>46327</v>
      </c>
      <c r="AO289" s="81" t="s">
        <v>180</v>
      </c>
    </row>
    <row r="290" spans="1:41" s="26" customFormat="1" hidden="1" x14ac:dyDescent="0.25">
      <c r="A290" s="22" t="s">
        <v>344</v>
      </c>
      <c r="B290" s="2" t="s">
        <v>172</v>
      </c>
      <c r="C290" s="21">
        <v>4.75</v>
      </c>
      <c r="D290" s="23">
        <v>1230</v>
      </c>
      <c r="E290" s="23" t="s">
        <v>12</v>
      </c>
      <c r="F290" s="79"/>
      <c r="G290" s="3" t="s">
        <v>986</v>
      </c>
      <c r="H290" s="4"/>
      <c r="I290" s="6" t="s">
        <v>942</v>
      </c>
      <c r="J290" s="4">
        <v>69</v>
      </c>
      <c r="K290" s="5">
        <v>23</v>
      </c>
      <c r="L290" s="5" t="s">
        <v>36</v>
      </c>
      <c r="M290" s="4" t="s">
        <v>987</v>
      </c>
      <c r="N290" s="4"/>
      <c r="O290" s="4" t="s">
        <v>166</v>
      </c>
      <c r="P290" s="4"/>
      <c r="Q290" s="24"/>
      <c r="R290" s="25" t="s">
        <v>946</v>
      </c>
      <c r="S290" s="6" t="s">
        <v>177</v>
      </c>
      <c r="T290" s="1">
        <v>32.226783000000005</v>
      </c>
      <c r="U290" s="1">
        <v>39.979973999999999</v>
      </c>
      <c r="V290" s="1">
        <v>48.200176999999996</v>
      </c>
      <c r="W290" s="1">
        <v>57.076854000000004</v>
      </c>
      <c r="X290" s="1">
        <v>46.419592999999999</v>
      </c>
      <c r="Y290" s="1">
        <f t="shared" si="15"/>
        <v>44.780676200000002</v>
      </c>
      <c r="Z290" s="10" t="s">
        <v>168</v>
      </c>
      <c r="AA290" s="10" t="s">
        <v>168</v>
      </c>
      <c r="AB290" s="10" t="s">
        <v>168</v>
      </c>
      <c r="AC290" s="10" t="s">
        <v>168</v>
      </c>
      <c r="AD290" s="10" t="s">
        <v>168</v>
      </c>
      <c r="AE290" s="10" t="s">
        <v>168</v>
      </c>
      <c r="AF290" s="10" t="s">
        <v>168</v>
      </c>
      <c r="AG290" s="38">
        <f t="shared" si="16"/>
        <v>1</v>
      </c>
      <c r="AH290" s="51">
        <f t="shared" si="17"/>
        <v>44.780676200000002</v>
      </c>
      <c r="AI290" s="64">
        <v>27</v>
      </c>
      <c r="AJ290" s="62" t="s">
        <v>988</v>
      </c>
      <c r="AK290" s="65">
        <v>0</v>
      </c>
      <c r="AL290" s="1"/>
      <c r="AM290" s="1" t="s">
        <v>989</v>
      </c>
      <c r="AN290" s="81"/>
      <c r="AO290" s="81"/>
    </row>
    <row r="291" spans="1:41" s="26" customFormat="1" ht="33.75" hidden="1" x14ac:dyDescent="0.25">
      <c r="A291" s="22" t="s">
        <v>990</v>
      </c>
      <c r="B291" s="2" t="s">
        <v>172</v>
      </c>
      <c r="C291" s="21">
        <v>5.8</v>
      </c>
      <c r="D291" s="23">
        <v>1500</v>
      </c>
      <c r="E291" s="23"/>
      <c r="F291" s="28" t="s">
        <v>432</v>
      </c>
      <c r="G291" s="3" t="s">
        <v>991</v>
      </c>
      <c r="H291" s="6"/>
      <c r="I291" s="6" t="s">
        <v>942</v>
      </c>
      <c r="J291" s="6">
        <v>69</v>
      </c>
      <c r="K291" s="21">
        <v>24</v>
      </c>
      <c r="L291" s="21" t="s">
        <v>36</v>
      </c>
      <c r="M291" s="6" t="s">
        <v>954</v>
      </c>
      <c r="N291" s="6" t="s">
        <v>992</v>
      </c>
      <c r="O291" s="6" t="s">
        <v>166</v>
      </c>
      <c r="P291" s="6"/>
      <c r="Q291" s="27"/>
      <c r="R291" s="28" t="s">
        <v>946</v>
      </c>
      <c r="S291" s="6" t="s">
        <v>177</v>
      </c>
      <c r="T291" s="1">
        <v>19.859119</v>
      </c>
      <c r="U291" s="1">
        <v>41.276130000000002</v>
      </c>
      <c r="V291" s="1">
        <v>50.385895000000005</v>
      </c>
      <c r="W291" s="1">
        <v>46.958779</v>
      </c>
      <c r="X291" s="1">
        <v>44.389449999999997</v>
      </c>
      <c r="Y291" s="1">
        <f t="shared" si="15"/>
        <v>40.573874599999996</v>
      </c>
      <c r="Z291" s="10" t="s">
        <v>168</v>
      </c>
      <c r="AA291" s="10" t="s">
        <v>168</v>
      </c>
      <c r="AB291" s="10" t="s">
        <v>168</v>
      </c>
      <c r="AC291" s="10" t="s">
        <v>168</v>
      </c>
      <c r="AD291" s="10" t="s">
        <v>168</v>
      </c>
      <c r="AE291" s="10" t="s">
        <v>168</v>
      </c>
      <c r="AF291" s="10" t="s">
        <v>168</v>
      </c>
      <c r="AG291" s="38">
        <f t="shared" si="16"/>
        <v>1</v>
      </c>
      <c r="AH291" s="51">
        <f t="shared" si="17"/>
        <v>40.573874599999996</v>
      </c>
      <c r="AI291" s="64">
        <v>3</v>
      </c>
      <c r="AJ291" s="62" t="s">
        <v>993</v>
      </c>
      <c r="AK291" s="65">
        <v>0</v>
      </c>
      <c r="AL291" s="1"/>
      <c r="AM291" s="1" t="s">
        <v>994</v>
      </c>
      <c r="AN291" s="81">
        <v>46143</v>
      </c>
      <c r="AO291" s="81" t="s">
        <v>180</v>
      </c>
    </row>
    <row r="292" spans="1:41" s="26" customFormat="1" ht="45" hidden="1" x14ac:dyDescent="0.25">
      <c r="A292" s="22" t="s">
        <v>995</v>
      </c>
      <c r="B292" s="2" t="s">
        <v>172</v>
      </c>
      <c r="C292" s="21">
        <v>6.8</v>
      </c>
      <c r="D292" s="23">
        <v>1500</v>
      </c>
      <c r="E292" s="23" t="s">
        <v>12</v>
      </c>
      <c r="F292" s="28" t="s">
        <v>996</v>
      </c>
      <c r="G292" s="3" t="s">
        <v>991</v>
      </c>
      <c r="H292" s="6"/>
      <c r="I292" s="6" t="s">
        <v>942</v>
      </c>
      <c r="J292" s="6">
        <v>69</v>
      </c>
      <c r="K292" s="21">
        <v>26</v>
      </c>
      <c r="L292" s="21" t="s">
        <v>39</v>
      </c>
      <c r="M292" s="6" t="s">
        <v>954</v>
      </c>
      <c r="N292" s="6" t="s">
        <v>997</v>
      </c>
      <c r="O292" s="6" t="s">
        <v>166</v>
      </c>
      <c r="P292" s="6"/>
      <c r="Q292" s="27"/>
      <c r="R292" s="28" t="s">
        <v>946</v>
      </c>
      <c r="S292" s="6" t="s">
        <v>177</v>
      </c>
      <c r="T292" s="1">
        <v>19.28565</v>
      </c>
      <c r="U292" s="1">
        <v>40.0839</v>
      </c>
      <c r="V292" s="1">
        <v>48.932610000000004</v>
      </c>
      <c r="W292" s="1">
        <v>45.604890000000005</v>
      </c>
      <c r="X292" s="1">
        <v>43.109100000000005</v>
      </c>
      <c r="Y292" s="1">
        <f t="shared" si="15"/>
        <v>39.403230000000008</v>
      </c>
      <c r="Z292" s="10" t="s">
        <v>168</v>
      </c>
      <c r="AA292" s="10" t="s">
        <v>168</v>
      </c>
      <c r="AB292" s="10" t="s">
        <v>168</v>
      </c>
      <c r="AC292" s="10" t="s">
        <v>168</v>
      </c>
      <c r="AD292" s="10" t="s">
        <v>168</v>
      </c>
      <c r="AE292" s="10" t="s">
        <v>168</v>
      </c>
      <c r="AF292" s="10" t="s">
        <v>168</v>
      </c>
      <c r="AG292" s="38">
        <f t="shared" si="16"/>
        <v>1</v>
      </c>
      <c r="AH292" s="51">
        <f t="shared" si="17"/>
        <v>39.403230000000008</v>
      </c>
      <c r="AI292" s="64">
        <v>4</v>
      </c>
      <c r="AJ292" s="62" t="s">
        <v>998</v>
      </c>
      <c r="AK292" s="65">
        <f>153562.52/12</f>
        <v>12796.876666666665</v>
      </c>
      <c r="AL292" s="1"/>
      <c r="AM292" s="1"/>
      <c r="AN292" s="81"/>
      <c r="AO292" s="81"/>
    </row>
    <row r="293" spans="1:41" s="26" customFormat="1" ht="45" hidden="1" x14ac:dyDescent="0.25">
      <c r="A293" s="22" t="s">
        <v>999</v>
      </c>
      <c r="B293" s="2" t="s">
        <v>172</v>
      </c>
      <c r="C293" s="21">
        <v>6</v>
      </c>
      <c r="D293" s="23">
        <v>1110</v>
      </c>
      <c r="E293" s="23"/>
      <c r="F293" s="28"/>
      <c r="G293" s="3" t="s">
        <v>1000</v>
      </c>
      <c r="H293" s="4"/>
      <c r="I293" s="4" t="s">
        <v>942</v>
      </c>
      <c r="J293" s="4">
        <v>59</v>
      </c>
      <c r="K293" s="5">
        <v>23</v>
      </c>
      <c r="L293" s="5" t="s">
        <v>36</v>
      </c>
      <c r="M293" s="4" t="s">
        <v>534</v>
      </c>
      <c r="N293" s="6"/>
      <c r="O293" s="6" t="s">
        <v>277</v>
      </c>
      <c r="P293" s="4"/>
      <c r="Q293" s="24"/>
      <c r="R293" s="25" t="s">
        <v>946</v>
      </c>
      <c r="S293" s="4" t="s">
        <v>177</v>
      </c>
      <c r="T293" s="1">
        <v>28.262699999999999</v>
      </c>
      <c r="U293" s="1">
        <v>29.677440000000001</v>
      </c>
      <c r="V293" s="1">
        <v>43.257599999999996</v>
      </c>
      <c r="W293" s="1">
        <v>40.234240000000007</v>
      </c>
      <c r="X293" s="1">
        <v>42.42687999999999</v>
      </c>
      <c r="Y293" s="1">
        <f t="shared" si="15"/>
        <v>36.771771999999999</v>
      </c>
      <c r="Z293" s="10" t="s">
        <v>168</v>
      </c>
      <c r="AA293" s="10" t="s">
        <v>168</v>
      </c>
      <c r="AB293" s="10" t="s">
        <v>168</v>
      </c>
      <c r="AC293" s="10" t="s">
        <v>168</v>
      </c>
      <c r="AD293" s="10" t="s">
        <v>168</v>
      </c>
      <c r="AE293" s="10" t="s">
        <v>168</v>
      </c>
      <c r="AF293" s="10" t="s">
        <v>168</v>
      </c>
      <c r="AG293" s="38">
        <f t="shared" si="16"/>
        <v>1</v>
      </c>
      <c r="AH293" s="51">
        <f t="shared" si="17"/>
        <v>36.771771999999999</v>
      </c>
      <c r="AI293" s="64">
        <v>4</v>
      </c>
      <c r="AJ293" s="62" t="s">
        <v>1001</v>
      </c>
      <c r="AK293" s="65">
        <v>0</v>
      </c>
      <c r="AL293" s="1"/>
      <c r="AM293" s="1" t="s">
        <v>1002</v>
      </c>
      <c r="AN293" s="81">
        <v>46143</v>
      </c>
      <c r="AO293" s="81" t="s">
        <v>180</v>
      </c>
    </row>
    <row r="294" spans="1:41" s="26" customFormat="1" ht="45" hidden="1" x14ac:dyDescent="0.25">
      <c r="A294" s="22" t="s">
        <v>1003</v>
      </c>
      <c r="B294" s="2" t="s">
        <v>172</v>
      </c>
      <c r="C294" s="21">
        <v>11</v>
      </c>
      <c r="D294" s="23">
        <v>1200</v>
      </c>
      <c r="E294" s="23"/>
      <c r="F294" s="28"/>
      <c r="G294" s="3" t="s">
        <v>958</v>
      </c>
      <c r="H294" s="6"/>
      <c r="I294" s="6" t="s">
        <v>942</v>
      </c>
      <c r="J294" s="6">
        <v>79</v>
      </c>
      <c r="K294" s="21">
        <v>23</v>
      </c>
      <c r="L294" s="21" t="s">
        <v>39</v>
      </c>
      <c r="M294" s="6" t="s">
        <v>944</v>
      </c>
      <c r="N294" s="6" t="s">
        <v>1004</v>
      </c>
      <c r="O294" s="6" t="s">
        <v>166</v>
      </c>
      <c r="P294" s="6"/>
      <c r="Q294" s="27"/>
      <c r="R294" s="28" t="s">
        <v>946</v>
      </c>
      <c r="S294" s="6" t="s">
        <v>177</v>
      </c>
      <c r="T294" s="1">
        <v>47.908623999999996</v>
      </c>
      <c r="U294" s="1">
        <v>19.327439999999999</v>
      </c>
      <c r="V294" s="1">
        <v>42.520368000000005</v>
      </c>
      <c r="W294" s="1">
        <v>34.789391999999999</v>
      </c>
      <c r="X294" s="1">
        <v>27.058416000000001</v>
      </c>
      <c r="Y294" s="1">
        <f t="shared" si="15"/>
        <v>34.320847999999998</v>
      </c>
      <c r="Z294" s="10" t="s">
        <v>168</v>
      </c>
      <c r="AA294" s="10" t="s">
        <v>168</v>
      </c>
      <c r="AB294" s="10" t="s">
        <v>168</v>
      </c>
      <c r="AC294" s="10" t="s">
        <v>168</v>
      </c>
      <c r="AD294" s="10" t="s">
        <v>168</v>
      </c>
      <c r="AE294" s="10" t="s">
        <v>168</v>
      </c>
      <c r="AF294" s="10" t="s">
        <v>168</v>
      </c>
      <c r="AG294" s="38">
        <f t="shared" si="16"/>
        <v>1</v>
      </c>
      <c r="AH294" s="51">
        <f t="shared" si="17"/>
        <v>34.320847999999998</v>
      </c>
      <c r="AI294" s="64">
        <v>4</v>
      </c>
      <c r="AJ294" s="62" t="s">
        <v>1005</v>
      </c>
      <c r="AK294" s="65">
        <v>0</v>
      </c>
      <c r="AL294" s="1"/>
      <c r="AM294" s="1" t="s">
        <v>1006</v>
      </c>
      <c r="AN294" s="81">
        <v>46143</v>
      </c>
      <c r="AO294" s="81" t="s">
        <v>180</v>
      </c>
    </row>
    <row r="295" spans="1:41" s="26" customFormat="1" hidden="1" x14ac:dyDescent="0.25">
      <c r="A295" s="22" t="s">
        <v>1007</v>
      </c>
      <c r="B295" s="2" t="s">
        <v>172</v>
      </c>
      <c r="C295" s="21">
        <v>8.75</v>
      </c>
      <c r="D295" s="23">
        <v>1400</v>
      </c>
      <c r="E295" s="23"/>
      <c r="F295" s="28"/>
      <c r="G295" s="3" t="s">
        <v>1008</v>
      </c>
      <c r="H295" s="4"/>
      <c r="I295" s="4"/>
      <c r="J295" s="4">
        <v>63</v>
      </c>
      <c r="K295" s="5"/>
      <c r="L295" s="5" t="s">
        <v>191</v>
      </c>
      <c r="M295" s="4" t="s">
        <v>954</v>
      </c>
      <c r="N295" s="4" t="s">
        <v>1009</v>
      </c>
      <c r="O295" s="4" t="s">
        <v>277</v>
      </c>
      <c r="P295" s="4"/>
      <c r="Q295" s="24"/>
      <c r="R295" s="25" t="s">
        <v>946</v>
      </c>
      <c r="S295" s="4"/>
      <c r="T295" s="1">
        <v>7.8260800000000001</v>
      </c>
      <c r="U295" s="1">
        <v>33.976639999999996</v>
      </c>
      <c r="V295" s="1">
        <v>37.794239999999995</v>
      </c>
      <c r="W295" s="1">
        <v>36.458080000000002</v>
      </c>
      <c r="X295" s="1">
        <v>41.420960000000001</v>
      </c>
      <c r="Y295" s="1">
        <f t="shared" si="15"/>
        <v>31.495200000000001</v>
      </c>
      <c r="Z295" s="10" t="s">
        <v>168</v>
      </c>
      <c r="AA295" s="10" t="s">
        <v>168</v>
      </c>
      <c r="AB295" s="10" t="s">
        <v>168</v>
      </c>
      <c r="AC295" s="10" t="s">
        <v>168</v>
      </c>
      <c r="AD295" s="10" t="s">
        <v>168</v>
      </c>
      <c r="AE295" s="10" t="s">
        <v>168</v>
      </c>
      <c r="AF295" s="10" t="s">
        <v>168</v>
      </c>
      <c r="AG295" s="38">
        <f t="shared" si="16"/>
        <v>1</v>
      </c>
      <c r="AH295" s="51">
        <f t="shared" si="17"/>
        <v>31.495200000000001</v>
      </c>
      <c r="AI295" s="64">
        <v>1</v>
      </c>
      <c r="AJ295" s="1" t="s">
        <v>1010</v>
      </c>
      <c r="AK295" s="65">
        <v>0</v>
      </c>
      <c r="AL295" s="1"/>
      <c r="AM295" s="1" t="s">
        <v>1011</v>
      </c>
      <c r="AN295" s="81">
        <v>46235</v>
      </c>
      <c r="AO295" s="81" t="s">
        <v>180</v>
      </c>
    </row>
    <row r="296" spans="1:41" s="26" customFormat="1" ht="22.5" hidden="1" x14ac:dyDescent="0.25">
      <c r="A296" s="22" t="s">
        <v>1012</v>
      </c>
      <c r="B296" s="2" t="s">
        <v>172</v>
      </c>
      <c r="C296" s="21">
        <v>5.8</v>
      </c>
      <c r="D296" s="23">
        <v>1000</v>
      </c>
      <c r="E296" s="23"/>
      <c r="F296" s="28"/>
      <c r="G296" s="3" t="s">
        <v>1013</v>
      </c>
      <c r="H296" s="4"/>
      <c r="I296" s="6" t="s">
        <v>953</v>
      </c>
      <c r="J296" s="4">
        <v>69</v>
      </c>
      <c r="K296" s="5">
        <v>24</v>
      </c>
      <c r="L296" s="5" t="s">
        <v>39</v>
      </c>
      <c r="M296" s="4" t="s">
        <v>240</v>
      </c>
      <c r="N296" s="4" t="s">
        <v>1014</v>
      </c>
      <c r="O296" s="4" t="s">
        <v>277</v>
      </c>
      <c r="P296" s="4"/>
      <c r="Q296" s="24"/>
      <c r="R296" s="25" t="s">
        <v>946</v>
      </c>
      <c r="S296" s="6" t="s">
        <v>177</v>
      </c>
      <c r="T296" s="1">
        <v>33.395732999999993</v>
      </c>
      <c r="U296" s="1">
        <v>17.669699999999999</v>
      </c>
      <c r="V296" s="1">
        <v>29.4495</v>
      </c>
      <c r="W296" s="1">
        <v>48.414978000000005</v>
      </c>
      <c r="X296" s="1">
        <v>25.090974000000003</v>
      </c>
      <c r="Y296" s="1">
        <f t="shared" si="15"/>
        <v>30.804177000000003</v>
      </c>
      <c r="Z296" s="10" t="s">
        <v>168</v>
      </c>
      <c r="AA296" s="10" t="s">
        <v>168</v>
      </c>
      <c r="AB296" s="10" t="s">
        <v>168</v>
      </c>
      <c r="AC296" s="10" t="s">
        <v>168</v>
      </c>
      <c r="AD296" s="10" t="s">
        <v>168</v>
      </c>
      <c r="AE296" s="10" t="s">
        <v>168</v>
      </c>
      <c r="AF296" s="10" t="s">
        <v>168</v>
      </c>
      <c r="AG296" s="38">
        <f t="shared" si="16"/>
        <v>1</v>
      </c>
      <c r="AH296" s="51">
        <f t="shared" si="17"/>
        <v>30.804177000000003</v>
      </c>
      <c r="AI296" s="64">
        <v>2</v>
      </c>
      <c r="AJ296" s="62" t="s">
        <v>1015</v>
      </c>
      <c r="AK296" s="65">
        <v>0</v>
      </c>
      <c r="AL296" s="1"/>
      <c r="AM296" s="1" t="s">
        <v>1016</v>
      </c>
      <c r="AN296" s="81">
        <v>46235</v>
      </c>
      <c r="AO296" s="81" t="s">
        <v>180</v>
      </c>
    </row>
    <row r="297" spans="1:41" s="26" customFormat="1" hidden="1" x14ac:dyDescent="0.25">
      <c r="A297" s="22" t="s">
        <v>920</v>
      </c>
      <c r="B297" s="2" t="s">
        <v>1017</v>
      </c>
      <c r="C297" s="21">
        <v>2</v>
      </c>
      <c r="D297" s="23">
        <v>1000</v>
      </c>
      <c r="E297" s="23"/>
      <c r="F297" s="28"/>
      <c r="G297" s="3" t="s">
        <v>1018</v>
      </c>
      <c r="H297" s="4"/>
      <c r="I297" s="6" t="s">
        <v>953</v>
      </c>
      <c r="J297" s="4">
        <v>69</v>
      </c>
      <c r="K297" s="5">
        <v>19</v>
      </c>
      <c r="L297" s="5" t="s">
        <v>39</v>
      </c>
      <c r="M297" s="4" t="s">
        <v>260</v>
      </c>
      <c r="N297" s="4"/>
      <c r="O297" s="4" t="s">
        <v>277</v>
      </c>
      <c r="P297" s="4"/>
      <c r="Q297" s="24"/>
      <c r="R297" s="25" t="s">
        <v>946</v>
      </c>
      <c r="S297" s="6" t="s">
        <v>177</v>
      </c>
      <c r="T297" s="1">
        <v>21.108720000000002</v>
      </c>
      <c r="U297" s="1">
        <v>24.224463</v>
      </c>
      <c r="V297" s="1">
        <v>30.193871999999999</v>
      </c>
      <c r="W297" s="1">
        <v>29.667804999999998</v>
      </c>
      <c r="X297" s="1">
        <v>29.237910999999997</v>
      </c>
      <c r="Y297" s="1">
        <f t="shared" si="15"/>
        <v>26.886554199999999</v>
      </c>
      <c r="Z297" s="10"/>
      <c r="AA297" s="10"/>
      <c r="AB297" s="10"/>
      <c r="AC297" s="10"/>
      <c r="AD297" s="10"/>
      <c r="AE297" s="10"/>
      <c r="AF297" s="10"/>
      <c r="AG297" s="38">
        <f t="shared" si="16"/>
        <v>0</v>
      </c>
      <c r="AH297" s="51" t="str">
        <f t="shared" si="17"/>
        <v xml:space="preserve"> </v>
      </c>
      <c r="AI297" s="64"/>
      <c r="AJ297" s="1"/>
      <c r="AK297" s="65">
        <v>0</v>
      </c>
      <c r="AL297" s="1"/>
      <c r="AM297" s="1"/>
      <c r="AN297" s="81"/>
      <c r="AO297" s="81"/>
    </row>
    <row r="298" spans="1:41" s="26" customFormat="1" ht="123.75" hidden="1" x14ac:dyDescent="0.25">
      <c r="A298" s="22" t="s">
        <v>280</v>
      </c>
      <c r="B298" s="2" t="s">
        <v>172</v>
      </c>
      <c r="C298" s="21">
        <v>7</v>
      </c>
      <c r="D298" s="23">
        <v>1300</v>
      </c>
      <c r="E298" s="23"/>
      <c r="F298" s="28"/>
      <c r="G298" s="3" t="s">
        <v>964</v>
      </c>
      <c r="H298" s="4"/>
      <c r="I298" s="6" t="s">
        <v>942</v>
      </c>
      <c r="J298" s="4">
        <v>69</v>
      </c>
      <c r="K298" s="5">
        <v>24</v>
      </c>
      <c r="L298" s="5" t="s">
        <v>36</v>
      </c>
      <c r="M298" s="4" t="s">
        <v>1019</v>
      </c>
      <c r="N298" s="4"/>
      <c r="O298" s="4" t="s">
        <v>277</v>
      </c>
      <c r="P298" s="4"/>
      <c r="Q298" s="24"/>
      <c r="R298" s="25" t="s">
        <v>946</v>
      </c>
      <c r="S298" s="4" t="s">
        <v>177</v>
      </c>
      <c r="T298" s="1">
        <v>17.431703999999996</v>
      </c>
      <c r="U298" s="1">
        <v>17.437172000000004</v>
      </c>
      <c r="V298" s="1">
        <v>31.5854</v>
      </c>
      <c r="W298" s="1">
        <v>32.843163999999994</v>
      </c>
      <c r="X298" s="1">
        <v>34.502439999999993</v>
      </c>
      <c r="Y298" s="1">
        <f t="shared" si="15"/>
        <v>26.759975999999995</v>
      </c>
      <c r="Z298" s="10" t="s">
        <v>168</v>
      </c>
      <c r="AA298" s="10" t="s">
        <v>168</v>
      </c>
      <c r="AB298" s="10" t="s">
        <v>168</v>
      </c>
      <c r="AC298" s="10" t="s">
        <v>168</v>
      </c>
      <c r="AD298" s="10" t="s">
        <v>168</v>
      </c>
      <c r="AE298" s="10" t="s">
        <v>168</v>
      </c>
      <c r="AF298" s="10" t="s">
        <v>168</v>
      </c>
      <c r="AG298" s="38">
        <f t="shared" si="16"/>
        <v>1</v>
      </c>
      <c r="AH298" s="51">
        <f t="shared" si="17"/>
        <v>26.759975999999995</v>
      </c>
      <c r="AI298" s="64">
        <v>11</v>
      </c>
      <c r="AJ298" s="62" t="s">
        <v>1020</v>
      </c>
      <c r="AK298" s="65">
        <f>44357.51/12</f>
        <v>3696.459166666667</v>
      </c>
      <c r="AL298" s="1"/>
      <c r="AM298" s="1" t="s">
        <v>1021</v>
      </c>
      <c r="AN298" s="81">
        <v>46266</v>
      </c>
      <c r="AO298" s="81" t="s">
        <v>180</v>
      </c>
    </row>
    <row r="299" spans="1:41" s="26" customFormat="1" hidden="1" x14ac:dyDescent="0.25">
      <c r="A299" s="22" t="s">
        <v>1022</v>
      </c>
      <c r="B299" s="2" t="s">
        <v>172</v>
      </c>
      <c r="C299" s="21">
        <v>10.75</v>
      </c>
      <c r="D299" s="23">
        <v>1250</v>
      </c>
      <c r="E299" s="23"/>
      <c r="F299" s="28"/>
      <c r="G299" s="3" t="s">
        <v>941</v>
      </c>
      <c r="H299" s="4"/>
      <c r="I299" s="6" t="s">
        <v>942</v>
      </c>
      <c r="J299" s="4">
        <v>69</v>
      </c>
      <c r="K299" s="5">
        <v>32</v>
      </c>
      <c r="L299" s="5" t="s">
        <v>943</v>
      </c>
      <c r="M299" s="4" t="s">
        <v>944</v>
      </c>
      <c r="N299" s="6" t="s">
        <v>945</v>
      </c>
      <c r="O299" s="4" t="s">
        <v>380</v>
      </c>
      <c r="P299" s="4"/>
      <c r="Q299" s="24"/>
      <c r="R299" s="25" t="s">
        <v>946</v>
      </c>
      <c r="S299" s="6" t="s">
        <v>946</v>
      </c>
      <c r="T299" s="1">
        <v>25.813017999999996</v>
      </c>
      <c r="U299" s="1">
        <v>26.494299999999999</v>
      </c>
      <c r="V299" s="1">
        <v>37.848999999999997</v>
      </c>
      <c r="W299" s="1">
        <v>11.354699999999999</v>
      </c>
      <c r="X299" s="1">
        <v>22.709399999999999</v>
      </c>
      <c r="Y299" s="1">
        <f t="shared" si="15"/>
        <v>24.844083599999998</v>
      </c>
      <c r="Z299" s="10"/>
      <c r="AA299" s="10"/>
      <c r="AB299" s="10"/>
      <c r="AC299" s="10"/>
      <c r="AD299" s="10"/>
      <c r="AE299" s="10"/>
      <c r="AF299" s="10"/>
      <c r="AG299" s="38">
        <f t="shared" si="16"/>
        <v>0</v>
      </c>
      <c r="AH299" s="51" t="str">
        <f t="shared" si="17"/>
        <v xml:space="preserve"> </v>
      </c>
      <c r="AI299" s="64"/>
      <c r="AJ299" s="1"/>
      <c r="AK299" s="65">
        <v>0</v>
      </c>
      <c r="AL299" s="1"/>
      <c r="AM299" s="1"/>
      <c r="AN299" s="81"/>
      <c r="AO299" s="81"/>
    </row>
    <row r="300" spans="1:41" s="26" customFormat="1" hidden="1" x14ac:dyDescent="0.25">
      <c r="A300" s="22" t="s">
        <v>1023</v>
      </c>
      <c r="B300" s="2" t="s">
        <v>172</v>
      </c>
      <c r="C300" s="21">
        <v>6</v>
      </c>
      <c r="D300" s="23">
        <v>1220</v>
      </c>
      <c r="E300" s="23"/>
      <c r="F300" s="28"/>
      <c r="G300" s="3" t="s">
        <v>1024</v>
      </c>
      <c r="H300" s="6"/>
      <c r="I300" s="6" t="s">
        <v>942</v>
      </c>
      <c r="J300" s="6">
        <v>59</v>
      </c>
      <c r="K300" s="21">
        <v>23</v>
      </c>
      <c r="L300" s="21" t="s">
        <v>39</v>
      </c>
      <c r="M300" s="6" t="s">
        <v>1025</v>
      </c>
      <c r="N300" s="6"/>
      <c r="O300" s="6" t="s">
        <v>277</v>
      </c>
      <c r="P300" s="6"/>
      <c r="Q300" s="27"/>
      <c r="R300" s="28" t="s">
        <v>946</v>
      </c>
      <c r="S300" s="6" t="s">
        <v>177</v>
      </c>
      <c r="T300" s="1">
        <v>11.542774000000001</v>
      </c>
      <c r="U300" s="1">
        <v>23.918080000000003</v>
      </c>
      <c r="V300" s="1">
        <v>28.395773000000002</v>
      </c>
      <c r="W300" s="1">
        <v>28.021843000000001</v>
      </c>
      <c r="X300" s="1">
        <v>25.240573000000005</v>
      </c>
      <c r="Y300" s="1">
        <f t="shared" si="15"/>
        <v>23.423808600000001</v>
      </c>
      <c r="Z300" s="10"/>
      <c r="AA300" s="10"/>
      <c r="AB300" s="10"/>
      <c r="AC300" s="10"/>
      <c r="AD300" s="10"/>
      <c r="AE300" s="10"/>
      <c r="AF300" s="10"/>
      <c r="AG300" s="38">
        <f t="shared" si="16"/>
        <v>0</v>
      </c>
      <c r="AH300" s="51" t="str">
        <f t="shared" si="17"/>
        <v xml:space="preserve"> </v>
      </c>
      <c r="AI300" s="64"/>
      <c r="AJ300" s="1"/>
      <c r="AK300" s="65">
        <v>0</v>
      </c>
      <c r="AL300" s="1"/>
      <c r="AM300" s="1"/>
      <c r="AN300" s="81"/>
      <c r="AO300" s="81"/>
    </row>
    <row r="301" spans="1:41" s="26" customFormat="1" hidden="1" x14ac:dyDescent="0.25">
      <c r="A301" s="22" t="s">
        <v>577</v>
      </c>
      <c r="B301" s="2" t="s">
        <v>172</v>
      </c>
      <c r="C301" s="21">
        <v>4</v>
      </c>
      <c r="D301" s="23">
        <v>1150</v>
      </c>
      <c r="E301" s="23"/>
      <c r="F301" s="28"/>
      <c r="G301" s="3" t="s">
        <v>1026</v>
      </c>
      <c r="H301" s="4"/>
      <c r="I301" s="6" t="s">
        <v>953</v>
      </c>
      <c r="J301" s="4">
        <v>69</v>
      </c>
      <c r="K301" s="5">
        <v>22</v>
      </c>
      <c r="L301" s="21" t="s">
        <v>39</v>
      </c>
      <c r="M301" s="4" t="s">
        <v>1027</v>
      </c>
      <c r="N301" s="34" t="s">
        <v>1028</v>
      </c>
      <c r="O301" s="4" t="s">
        <v>277</v>
      </c>
      <c r="P301" s="4"/>
      <c r="Q301" s="24"/>
      <c r="R301" s="25" t="s">
        <v>946</v>
      </c>
      <c r="S301" s="6" t="s">
        <v>177</v>
      </c>
      <c r="T301" s="1">
        <v>17.260580000000001</v>
      </c>
      <c r="U301" s="1">
        <v>19.622178999999999</v>
      </c>
      <c r="V301" s="1">
        <v>29.290003000000002</v>
      </c>
      <c r="W301" s="1">
        <v>27.546834</v>
      </c>
      <c r="X301" s="1">
        <v>21.204391000000005</v>
      </c>
      <c r="Y301" s="1">
        <f t="shared" si="15"/>
        <v>22.984797400000001</v>
      </c>
      <c r="Z301" s="10"/>
      <c r="AA301" s="10"/>
      <c r="AB301" s="10"/>
      <c r="AC301" s="10"/>
      <c r="AD301" s="10"/>
      <c r="AE301" s="10"/>
      <c r="AF301" s="10"/>
      <c r="AG301" s="38">
        <f t="shared" si="16"/>
        <v>0</v>
      </c>
      <c r="AH301" s="51" t="str">
        <f t="shared" si="17"/>
        <v xml:space="preserve"> </v>
      </c>
      <c r="AI301" s="64"/>
      <c r="AJ301" s="1"/>
      <c r="AK301" s="65">
        <v>0</v>
      </c>
      <c r="AL301" s="1"/>
      <c r="AM301" s="1"/>
      <c r="AN301" s="81"/>
      <c r="AO301" s="81"/>
    </row>
    <row r="302" spans="1:41" s="26" customFormat="1" hidden="1" x14ac:dyDescent="0.25">
      <c r="A302" s="22" t="s">
        <v>416</v>
      </c>
      <c r="B302" s="2" t="s">
        <v>172</v>
      </c>
      <c r="C302" s="21">
        <v>6</v>
      </c>
      <c r="D302" s="23">
        <v>1050</v>
      </c>
      <c r="E302" s="23"/>
      <c r="F302" s="28"/>
      <c r="G302" s="3" t="s">
        <v>964</v>
      </c>
      <c r="H302" s="6"/>
      <c r="I302" s="6" t="s">
        <v>953</v>
      </c>
      <c r="J302" s="6">
        <v>69</v>
      </c>
      <c r="K302" s="21">
        <v>20</v>
      </c>
      <c r="L302" s="5" t="s">
        <v>36</v>
      </c>
      <c r="M302" s="6" t="s">
        <v>1029</v>
      </c>
      <c r="N302" s="6"/>
      <c r="O302" s="6" t="s">
        <v>166</v>
      </c>
      <c r="P302" s="6"/>
      <c r="Q302" s="27"/>
      <c r="R302" s="28" t="s">
        <v>946</v>
      </c>
      <c r="S302" s="6" t="s">
        <v>177</v>
      </c>
      <c r="T302" s="1">
        <v>8.6262860000000003</v>
      </c>
      <c r="U302" s="1">
        <v>9.4754219999999982</v>
      </c>
      <c r="V302" s="1">
        <v>23.699571999999996</v>
      </c>
      <c r="W302" s="1">
        <v>42.661877999999994</v>
      </c>
      <c r="X302" s="1">
        <v>15.554784</v>
      </c>
      <c r="Y302" s="1">
        <f t="shared" si="15"/>
        <v>20.003588399999998</v>
      </c>
      <c r="Z302" s="10"/>
      <c r="AA302" s="10"/>
      <c r="AB302" s="10"/>
      <c r="AC302" s="10"/>
      <c r="AD302" s="10"/>
      <c r="AE302" s="10"/>
      <c r="AF302" s="10"/>
      <c r="AG302" s="38">
        <f t="shared" si="16"/>
        <v>0</v>
      </c>
      <c r="AH302" s="51" t="str">
        <f t="shared" si="17"/>
        <v xml:space="preserve"> </v>
      </c>
      <c r="AI302" s="64"/>
      <c r="AJ302" s="1"/>
      <c r="AK302" s="65">
        <v>0</v>
      </c>
      <c r="AL302" s="1"/>
      <c r="AM302" s="1"/>
      <c r="AN302" s="81"/>
      <c r="AO302" s="81"/>
    </row>
    <row r="303" spans="1:41" s="26" customFormat="1" hidden="1" x14ac:dyDescent="0.25">
      <c r="A303" s="22" t="s">
        <v>1030</v>
      </c>
      <c r="B303" s="2" t="s">
        <v>172</v>
      </c>
      <c r="C303" s="21">
        <v>18</v>
      </c>
      <c r="D303" s="23">
        <v>2610</v>
      </c>
      <c r="E303" s="23"/>
      <c r="F303" s="28"/>
      <c r="G303" s="3" t="s">
        <v>1031</v>
      </c>
      <c r="H303" s="6"/>
      <c r="I303" s="6" t="s">
        <v>942</v>
      </c>
      <c r="J303" s="6">
        <v>59</v>
      </c>
      <c r="K303" s="21">
        <v>10</v>
      </c>
      <c r="L303" s="21" t="s">
        <v>39</v>
      </c>
      <c r="M303" s="6" t="s">
        <v>954</v>
      </c>
      <c r="N303" s="6" t="s">
        <v>394</v>
      </c>
      <c r="O303" s="6" t="s">
        <v>380</v>
      </c>
      <c r="P303" s="6"/>
      <c r="Q303" s="27"/>
      <c r="R303" s="28" t="s">
        <v>946</v>
      </c>
      <c r="S303" s="6" t="s">
        <v>946</v>
      </c>
      <c r="T303" s="1">
        <v>0</v>
      </c>
      <c r="U303" s="1">
        <v>38.806290000000004</v>
      </c>
      <c r="V303" s="1">
        <v>23.621220000000001</v>
      </c>
      <c r="W303" s="1">
        <v>10.123380000000001</v>
      </c>
      <c r="X303" s="1">
        <v>21.933990000000001</v>
      </c>
      <c r="Y303" s="1">
        <f t="shared" si="15"/>
        <v>18.896976000000002</v>
      </c>
      <c r="Z303" s="10" t="s">
        <v>168</v>
      </c>
      <c r="AA303" s="10" t="s">
        <v>168</v>
      </c>
      <c r="AB303" s="10" t="s">
        <v>168</v>
      </c>
      <c r="AC303" s="10" t="s">
        <v>168</v>
      </c>
      <c r="AD303" s="10" t="s">
        <v>168</v>
      </c>
      <c r="AE303" s="10" t="s">
        <v>168</v>
      </c>
      <c r="AF303" s="10" t="s">
        <v>168</v>
      </c>
      <c r="AG303" s="38">
        <f t="shared" si="16"/>
        <v>1</v>
      </c>
      <c r="AH303" s="51">
        <f t="shared" si="17"/>
        <v>18.896976000000002</v>
      </c>
      <c r="AI303" s="64">
        <v>1</v>
      </c>
      <c r="AJ303" s="1" t="s">
        <v>1032</v>
      </c>
      <c r="AK303" s="65">
        <f>90182.97/12</f>
        <v>7515.2475000000004</v>
      </c>
      <c r="AL303" s="1"/>
      <c r="AM303" s="1"/>
      <c r="AN303" s="81">
        <v>46357</v>
      </c>
      <c r="AO303" s="81" t="s">
        <v>180</v>
      </c>
    </row>
    <row r="304" spans="1:41" s="26" customFormat="1" hidden="1" x14ac:dyDescent="0.25">
      <c r="A304" s="22" t="s">
        <v>1033</v>
      </c>
      <c r="B304" s="2" t="s">
        <v>172</v>
      </c>
      <c r="C304" s="21">
        <v>7.75</v>
      </c>
      <c r="D304" s="23">
        <v>1100</v>
      </c>
      <c r="E304" s="23"/>
      <c r="F304" s="28"/>
      <c r="G304" s="3" t="s">
        <v>1034</v>
      </c>
      <c r="H304" s="6"/>
      <c r="I304" s="6" t="s">
        <v>942</v>
      </c>
      <c r="J304" s="6">
        <v>69</v>
      </c>
      <c r="K304" s="21">
        <v>21</v>
      </c>
      <c r="L304" s="21" t="s">
        <v>51</v>
      </c>
      <c r="M304" s="6" t="s">
        <v>959</v>
      </c>
      <c r="N304" s="6" t="s">
        <v>973</v>
      </c>
      <c r="O304" s="6" t="s">
        <v>380</v>
      </c>
      <c r="P304" s="6"/>
      <c r="Q304" s="27"/>
      <c r="R304" s="28" t="s">
        <v>946</v>
      </c>
      <c r="S304" s="6" t="s">
        <v>177</v>
      </c>
      <c r="T304" s="1">
        <v>33.795550000000006</v>
      </c>
      <c r="U304" s="1">
        <v>25.94248</v>
      </c>
      <c r="V304" s="1">
        <v>22.015944999999999</v>
      </c>
      <c r="W304" s="1">
        <v>7.8140000000000001</v>
      </c>
      <c r="X304" s="1">
        <v>0</v>
      </c>
      <c r="Y304" s="1">
        <f t="shared" si="15"/>
        <v>17.913595000000004</v>
      </c>
      <c r="Z304" s="10" t="s">
        <v>168</v>
      </c>
      <c r="AA304" s="10" t="s">
        <v>168</v>
      </c>
      <c r="AB304" s="10" t="s">
        <v>168</v>
      </c>
      <c r="AC304" s="10" t="s">
        <v>168</v>
      </c>
      <c r="AD304" s="10" t="s">
        <v>168</v>
      </c>
      <c r="AE304" s="10" t="s">
        <v>168</v>
      </c>
      <c r="AF304" s="10" t="s">
        <v>168</v>
      </c>
      <c r="AG304" s="38">
        <f t="shared" si="16"/>
        <v>1</v>
      </c>
      <c r="AH304" s="51">
        <f t="shared" si="17"/>
        <v>17.913595000000004</v>
      </c>
      <c r="AI304" s="64">
        <v>1</v>
      </c>
      <c r="AJ304" s="1" t="s">
        <v>1035</v>
      </c>
      <c r="AK304" s="65">
        <f>14891.72/12</f>
        <v>1240.9766666666667</v>
      </c>
      <c r="AL304" s="1"/>
      <c r="AM304" s="1"/>
      <c r="AN304" s="81"/>
      <c r="AO304" s="81"/>
    </row>
    <row r="305" spans="1:41" s="26" customFormat="1" hidden="1" x14ac:dyDescent="0.25">
      <c r="A305" s="22" t="s">
        <v>171</v>
      </c>
      <c r="B305" s="2" t="s">
        <v>172</v>
      </c>
      <c r="C305" s="21">
        <v>4.75</v>
      </c>
      <c r="D305" s="23">
        <v>1250</v>
      </c>
      <c r="E305" s="23"/>
      <c r="F305" s="28" t="s">
        <v>173</v>
      </c>
      <c r="G305" s="3" t="s">
        <v>1024</v>
      </c>
      <c r="H305" s="6"/>
      <c r="I305" s="6" t="s">
        <v>942</v>
      </c>
      <c r="J305" s="6">
        <v>59</v>
      </c>
      <c r="K305" s="21">
        <v>23</v>
      </c>
      <c r="L305" s="21" t="s">
        <v>39</v>
      </c>
      <c r="M305" s="6" t="s">
        <v>1036</v>
      </c>
      <c r="N305" s="6"/>
      <c r="O305" s="6" t="s">
        <v>277</v>
      </c>
      <c r="P305" s="6"/>
      <c r="Q305" s="27"/>
      <c r="R305" s="28" t="s">
        <v>946</v>
      </c>
      <c r="S305" s="6" t="s">
        <v>177</v>
      </c>
      <c r="T305" s="1">
        <v>12.894228999999999</v>
      </c>
      <c r="U305" s="1">
        <v>16.988973000000001</v>
      </c>
      <c r="V305" s="1">
        <v>21.603057999999997</v>
      </c>
      <c r="W305" s="1">
        <v>17.469856</v>
      </c>
      <c r="X305" s="1">
        <v>13.692178</v>
      </c>
      <c r="Y305" s="1">
        <f t="shared" si="15"/>
        <v>16.5296588</v>
      </c>
      <c r="Z305" s="10"/>
      <c r="AA305" s="10"/>
      <c r="AB305" s="10"/>
      <c r="AC305" s="10"/>
      <c r="AD305" s="10"/>
      <c r="AE305" s="10"/>
      <c r="AF305" s="10"/>
      <c r="AG305" s="38">
        <f t="shared" si="16"/>
        <v>0</v>
      </c>
      <c r="AH305" s="51" t="str">
        <f t="shared" si="17"/>
        <v xml:space="preserve"> </v>
      </c>
      <c r="AI305" s="64"/>
      <c r="AJ305" s="1"/>
      <c r="AK305" s="65">
        <v>0</v>
      </c>
      <c r="AL305" s="1"/>
      <c r="AM305" s="1"/>
      <c r="AN305" s="81"/>
      <c r="AO305" s="81"/>
    </row>
    <row r="306" spans="1:41" s="26" customFormat="1" hidden="1" x14ac:dyDescent="0.25">
      <c r="A306" s="22" t="s">
        <v>1037</v>
      </c>
      <c r="B306" s="2" t="s">
        <v>172</v>
      </c>
      <c r="C306" s="21">
        <v>7</v>
      </c>
      <c r="D306" s="23">
        <v>1200</v>
      </c>
      <c r="E306" s="23"/>
      <c r="F306" s="28"/>
      <c r="G306" s="3" t="s">
        <v>1038</v>
      </c>
      <c r="H306" s="6"/>
      <c r="I306" s="6"/>
      <c r="J306" s="6">
        <v>63</v>
      </c>
      <c r="K306" s="21"/>
      <c r="L306" s="21" t="s">
        <v>191</v>
      </c>
      <c r="M306" s="6" t="s">
        <v>954</v>
      </c>
      <c r="N306" s="6"/>
      <c r="O306" s="6" t="s">
        <v>277</v>
      </c>
      <c r="P306" s="6"/>
      <c r="Q306" s="27"/>
      <c r="R306" s="28" t="s">
        <v>946</v>
      </c>
      <c r="S306" s="6"/>
      <c r="T306" s="1">
        <v>1.1909560000000001</v>
      </c>
      <c r="U306" s="1">
        <v>18.347159999999999</v>
      </c>
      <c r="V306" s="1">
        <v>22.789103999999998</v>
      </c>
      <c r="W306" s="1">
        <v>20.085312000000002</v>
      </c>
      <c r="X306" s="1">
        <v>16.802136000000001</v>
      </c>
      <c r="Y306" s="1">
        <f t="shared" si="15"/>
        <v>15.8429336</v>
      </c>
      <c r="Z306" s="10" t="s">
        <v>168</v>
      </c>
      <c r="AA306" s="10" t="s">
        <v>168</v>
      </c>
      <c r="AB306" s="10" t="s">
        <v>168</v>
      </c>
      <c r="AC306" s="10" t="s">
        <v>168</v>
      </c>
      <c r="AD306" s="10" t="s">
        <v>168</v>
      </c>
      <c r="AE306" s="10" t="s">
        <v>168</v>
      </c>
      <c r="AF306" s="10" t="s">
        <v>168</v>
      </c>
      <c r="AG306" s="38">
        <f t="shared" si="16"/>
        <v>1</v>
      </c>
      <c r="AH306" s="51">
        <f t="shared" si="17"/>
        <v>15.8429336</v>
      </c>
      <c r="AI306" s="64">
        <v>1</v>
      </c>
      <c r="AJ306" s="1" t="s">
        <v>1039</v>
      </c>
      <c r="AK306" s="65">
        <v>0</v>
      </c>
      <c r="AL306" s="1"/>
      <c r="AM306" s="1" t="s">
        <v>1040</v>
      </c>
      <c r="AN306" s="81">
        <v>46235</v>
      </c>
      <c r="AO306" s="81" t="s">
        <v>180</v>
      </c>
    </row>
    <row r="307" spans="1:41" s="26" customFormat="1" ht="45" hidden="1" x14ac:dyDescent="0.25">
      <c r="A307" s="22" t="s">
        <v>1041</v>
      </c>
      <c r="B307" s="2" t="s">
        <v>172</v>
      </c>
      <c r="C307" s="21">
        <v>7.75</v>
      </c>
      <c r="D307" s="23">
        <v>1100</v>
      </c>
      <c r="E307" s="23"/>
      <c r="F307" s="28"/>
      <c r="G307" s="3" t="s">
        <v>972</v>
      </c>
      <c r="H307" s="6"/>
      <c r="I307" s="6" t="s">
        <v>942</v>
      </c>
      <c r="J307" s="6">
        <v>59</v>
      </c>
      <c r="K307" s="21">
        <v>24</v>
      </c>
      <c r="L307" s="5" t="s">
        <v>39</v>
      </c>
      <c r="M307" s="6" t="s">
        <v>944</v>
      </c>
      <c r="N307" s="6" t="s">
        <v>973</v>
      </c>
      <c r="O307" s="6" t="s">
        <v>380</v>
      </c>
      <c r="P307" s="6"/>
      <c r="Q307" s="27"/>
      <c r="R307" s="28" t="s">
        <v>946</v>
      </c>
      <c r="S307" s="6" t="s">
        <v>177</v>
      </c>
      <c r="T307" s="1">
        <v>13.785334000000001</v>
      </c>
      <c r="U307" s="1">
        <v>10.883072</v>
      </c>
      <c r="V307" s="1">
        <v>10.883072</v>
      </c>
      <c r="W307" s="1">
        <v>15.666688000000002</v>
      </c>
      <c r="X307" s="1">
        <v>20.749280000000002</v>
      </c>
      <c r="Y307" s="1">
        <f t="shared" si="15"/>
        <v>14.393489200000001</v>
      </c>
      <c r="Z307" s="10" t="s">
        <v>168</v>
      </c>
      <c r="AA307" s="10" t="s">
        <v>168</v>
      </c>
      <c r="AB307" s="10" t="s">
        <v>168</v>
      </c>
      <c r="AC307" s="10" t="s">
        <v>168</v>
      </c>
      <c r="AD307" s="10" t="s">
        <v>168</v>
      </c>
      <c r="AE307" s="10" t="s">
        <v>168</v>
      </c>
      <c r="AF307" s="10" t="s">
        <v>168</v>
      </c>
      <c r="AG307" s="38">
        <f t="shared" si="16"/>
        <v>1</v>
      </c>
      <c r="AH307" s="51">
        <f t="shared" si="17"/>
        <v>14.393489200000001</v>
      </c>
      <c r="AI307" s="64">
        <v>4</v>
      </c>
      <c r="AJ307" s="62" t="s">
        <v>1042</v>
      </c>
      <c r="AK307" s="65">
        <f>12996.11/12</f>
        <v>1083.0091666666667</v>
      </c>
      <c r="AL307" s="1"/>
      <c r="AM307" s="1" t="s">
        <v>1043</v>
      </c>
      <c r="AN307" s="81"/>
      <c r="AO307" s="81"/>
    </row>
    <row r="308" spans="1:41" s="26" customFormat="1" ht="33.75" hidden="1" x14ac:dyDescent="0.25">
      <c r="A308" s="22" t="s">
        <v>1044</v>
      </c>
      <c r="B308" s="2" t="s">
        <v>172</v>
      </c>
      <c r="C308" s="21">
        <v>6</v>
      </c>
      <c r="D308" s="23">
        <v>1200</v>
      </c>
      <c r="E308" s="23"/>
      <c r="F308" s="28"/>
      <c r="G308" s="3" t="s">
        <v>1000</v>
      </c>
      <c r="H308" s="4"/>
      <c r="I308" s="6" t="s">
        <v>942</v>
      </c>
      <c r="J308" s="4">
        <v>59</v>
      </c>
      <c r="K308" s="5">
        <v>23</v>
      </c>
      <c r="L308" s="5" t="s">
        <v>39</v>
      </c>
      <c r="M308" s="4" t="s">
        <v>534</v>
      </c>
      <c r="N308" s="4"/>
      <c r="O308" s="6" t="s">
        <v>277</v>
      </c>
      <c r="P308" s="4"/>
      <c r="Q308" s="24"/>
      <c r="R308" s="25" t="s">
        <v>946</v>
      </c>
      <c r="S308" s="6" t="s">
        <v>177</v>
      </c>
      <c r="T308" s="1">
        <v>6.8652519999999999</v>
      </c>
      <c r="U308" s="1">
        <v>12.267691999999998</v>
      </c>
      <c r="V308" s="1">
        <v>18.618827999999997</v>
      </c>
      <c r="W308" s="1">
        <v>16.268136000000002</v>
      </c>
      <c r="X308" s="1">
        <v>16.647292</v>
      </c>
      <c r="Y308" s="1">
        <f t="shared" si="15"/>
        <v>14.133440000000002</v>
      </c>
      <c r="Z308" s="10" t="s">
        <v>168</v>
      </c>
      <c r="AA308" s="10" t="s">
        <v>168</v>
      </c>
      <c r="AB308" s="10" t="s">
        <v>168</v>
      </c>
      <c r="AC308" s="10" t="s">
        <v>168</v>
      </c>
      <c r="AD308" s="10" t="s">
        <v>168</v>
      </c>
      <c r="AE308" s="10" t="s">
        <v>168</v>
      </c>
      <c r="AF308" s="10" t="s">
        <v>168</v>
      </c>
      <c r="AG308" s="38">
        <f t="shared" si="16"/>
        <v>1</v>
      </c>
      <c r="AH308" s="51">
        <f t="shared" si="17"/>
        <v>14.133440000000002</v>
      </c>
      <c r="AI308" s="64">
        <v>3</v>
      </c>
      <c r="AJ308" s="62" t="s">
        <v>1045</v>
      </c>
      <c r="AK308" s="65">
        <v>0</v>
      </c>
      <c r="AL308" s="1"/>
      <c r="AM308" s="1" t="s">
        <v>1046</v>
      </c>
      <c r="AN308" s="81">
        <v>46235</v>
      </c>
      <c r="AO308" s="81" t="s">
        <v>180</v>
      </c>
    </row>
    <row r="309" spans="1:41" s="26" customFormat="1" ht="22.5" hidden="1" x14ac:dyDescent="0.25">
      <c r="A309" s="22" t="s">
        <v>1047</v>
      </c>
      <c r="B309" s="2" t="s">
        <v>172</v>
      </c>
      <c r="C309" s="21">
        <v>7.25</v>
      </c>
      <c r="D309" s="23">
        <v>1100</v>
      </c>
      <c r="E309" s="23"/>
      <c r="F309" s="28"/>
      <c r="G309" s="3" t="s">
        <v>1034</v>
      </c>
      <c r="H309" s="6"/>
      <c r="I309" s="6" t="s">
        <v>942</v>
      </c>
      <c r="J309" s="6">
        <v>59</v>
      </c>
      <c r="K309" s="21">
        <v>24</v>
      </c>
      <c r="L309" s="21" t="s">
        <v>51</v>
      </c>
      <c r="M309" s="6" t="s">
        <v>959</v>
      </c>
      <c r="N309" s="6" t="s">
        <v>973</v>
      </c>
      <c r="O309" s="6" t="s">
        <v>277</v>
      </c>
      <c r="P309" s="6"/>
      <c r="Q309" s="27"/>
      <c r="R309" s="28" t="s">
        <v>946</v>
      </c>
      <c r="S309" s="6" t="s">
        <v>177</v>
      </c>
      <c r="T309" s="1">
        <v>15.855984000000001</v>
      </c>
      <c r="U309" s="1">
        <v>17.590655999999999</v>
      </c>
      <c r="V309" s="1">
        <v>17.181248</v>
      </c>
      <c r="W309" s="1">
        <v>18.792480000000005</v>
      </c>
      <c r="X309" s="1">
        <v>0</v>
      </c>
      <c r="Y309" s="1">
        <f t="shared" si="15"/>
        <v>13.884073599999999</v>
      </c>
      <c r="Z309" s="10" t="s">
        <v>168</v>
      </c>
      <c r="AA309" s="10" t="s">
        <v>168</v>
      </c>
      <c r="AB309" s="10" t="s">
        <v>168</v>
      </c>
      <c r="AC309" s="10" t="s">
        <v>168</v>
      </c>
      <c r="AD309" s="10" t="s">
        <v>168</v>
      </c>
      <c r="AE309" s="10" t="s">
        <v>168</v>
      </c>
      <c r="AF309" s="10" t="s">
        <v>168</v>
      </c>
      <c r="AG309" s="38">
        <f t="shared" si="16"/>
        <v>1</v>
      </c>
      <c r="AH309" s="51">
        <f t="shared" si="17"/>
        <v>13.884073599999999</v>
      </c>
      <c r="AI309" s="64">
        <v>2</v>
      </c>
      <c r="AJ309" s="62" t="s">
        <v>1048</v>
      </c>
      <c r="AK309" s="65">
        <f>27672.57/12</f>
        <v>2306.0475000000001</v>
      </c>
      <c r="AL309" s="1"/>
      <c r="AM309" s="1"/>
      <c r="AN309" s="81"/>
      <c r="AO309" s="81"/>
    </row>
    <row r="310" spans="1:41" s="26" customFormat="1" ht="22.5" hidden="1" x14ac:dyDescent="0.25">
      <c r="A310" s="22" t="s">
        <v>843</v>
      </c>
      <c r="B310" s="2" t="s">
        <v>172</v>
      </c>
      <c r="C310" s="21">
        <v>2.5</v>
      </c>
      <c r="D310" s="23">
        <v>1250</v>
      </c>
      <c r="E310" s="23"/>
      <c r="F310" s="28"/>
      <c r="G310" s="3" t="s">
        <v>1049</v>
      </c>
      <c r="H310" s="6"/>
      <c r="I310" s="6"/>
      <c r="J310" s="6">
        <v>63</v>
      </c>
      <c r="K310" s="21"/>
      <c r="L310" s="21" t="s">
        <v>191</v>
      </c>
      <c r="M310" s="6" t="s">
        <v>954</v>
      </c>
      <c r="N310" s="6" t="s">
        <v>1050</v>
      </c>
      <c r="O310" s="6" t="s">
        <v>277</v>
      </c>
      <c r="P310" s="6"/>
      <c r="Q310" s="27"/>
      <c r="R310" s="28" t="s">
        <v>946</v>
      </c>
      <c r="S310" s="6"/>
      <c r="T310" s="1">
        <v>3.8926090000000002</v>
      </c>
      <c r="U310" s="1">
        <v>13.51455</v>
      </c>
      <c r="V310" s="1">
        <v>19.18695</v>
      </c>
      <c r="W310" s="1">
        <v>17.615680000000001</v>
      </c>
      <c r="X310" s="1">
        <v>14.790130000000001</v>
      </c>
      <c r="Y310" s="1">
        <f t="shared" si="15"/>
        <v>13.799983800000001</v>
      </c>
      <c r="Z310" s="10" t="s">
        <v>168</v>
      </c>
      <c r="AA310" s="10" t="s">
        <v>168</v>
      </c>
      <c r="AB310" s="10" t="s">
        <v>168</v>
      </c>
      <c r="AC310" s="10" t="s">
        <v>168</v>
      </c>
      <c r="AD310" s="10" t="s">
        <v>168</v>
      </c>
      <c r="AE310" s="10" t="s">
        <v>168</v>
      </c>
      <c r="AF310" s="10" t="s">
        <v>168</v>
      </c>
      <c r="AG310" s="38">
        <f t="shared" si="16"/>
        <v>1</v>
      </c>
      <c r="AH310" s="51">
        <f t="shared" si="17"/>
        <v>13.799983800000001</v>
      </c>
      <c r="AI310" s="64">
        <v>2</v>
      </c>
      <c r="AJ310" s="62" t="s">
        <v>1051</v>
      </c>
      <c r="AK310" s="65">
        <v>0</v>
      </c>
      <c r="AL310" s="1"/>
      <c r="AM310" s="1" t="s">
        <v>1052</v>
      </c>
      <c r="AN310" s="81">
        <v>46235</v>
      </c>
      <c r="AO310" s="81" t="s">
        <v>180</v>
      </c>
    </row>
    <row r="311" spans="1:41" s="26" customFormat="1" hidden="1" x14ac:dyDescent="0.25">
      <c r="A311" s="22" t="s">
        <v>931</v>
      </c>
      <c r="B311" s="2" t="s">
        <v>172</v>
      </c>
      <c r="C311" s="21">
        <v>4.75</v>
      </c>
      <c r="D311" s="23">
        <v>1400</v>
      </c>
      <c r="E311" s="23"/>
      <c r="F311" s="28"/>
      <c r="G311" s="3" t="s">
        <v>1053</v>
      </c>
      <c r="H311" s="4"/>
      <c r="I311" s="6" t="s">
        <v>942</v>
      </c>
      <c r="J311" s="4">
        <v>69</v>
      </c>
      <c r="K311" s="5">
        <v>24</v>
      </c>
      <c r="L311" s="5" t="s">
        <v>39</v>
      </c>
      <c r="M311" s="4" t="s">
        <v>1054</v>
      </c>
      <c r="N311" s="4" t="s">
        <v>439</v>
      </c>
      <c r="O311" s="4" t="s">
        <v>277</v>
      </c>
      <c r="P311" s="4"/>
      <c r="Q311" s="24"/>
      <c r="R311" s="25" t="s">
        <v>946</v>
      </c>
      <c r="S311" s="6" t="s">
        <v>177</v>
      </c>
      <c r="T311" s="1">
        <v>12.696260999999998</v>
      </c>
      <c r="U311" s="1">
        <v>9.4883570000000006</v>
      </c>
      <c r="V311" s="1">
        <v>12.293255439999999</v>
      </c>
      <c r="W311" s="1">
        <v>11.188557999999999</v>
      </c>
      <c r="X311" s="1">
        <v>11.025865000000001</v>
      </c>
      <c r="Y311" s="1">
        <f t="shared" si="15"/>
        <v>11.338459287999999</v>
      </c>
      <c r="Z311" s="10"/>
      <c r="AA311" s="10"/>
      <c r="AB311" s="10"/>
      <c r="AC311" s="10"/>
      <c r="AD311" s="10"/>
      <c r="AE311" s="10"/>
      <c r="AF311" s="10"/>
      <c r="AG311" s="38">
        <f t="shared" si="16"/>
        <v>0</v>
      </c>
      <c r="AH311" s="51" t="str">
        <f t="shared" si="17"/>
        <v xml:space="preserve"> </v>
      </c>
      <c r="AI311" s="64"/>
      <c r="AJ311" s="1"/>
      <c r="AK311" s="65">
        <v>0</v>
      </c>
      <c r="AL311" s="1"/>
      <c r="AM311" s="1"/>
      <c r="AN311" s="81"/>
      <c r="AO311" s="81"/>
    </row>
    <row r="312" spans="1:41" s="26" customFormat="1" hidden="1" x14ac:dyDescent="0.25">
      <c r="A312" s="22" t="s">
        <v>237</v>
      </c>
      <c r="B312" s="2" t="s">
        <v>172</v>
      </c>
      <c r="C312" s="21">
        <v>6.3</v>
      </c>
      <c r="D312" s="23">
        <v>1300</v>
      </c>
      <c r="E312" s="23"/>
      <c r="F312" s="28"/>
      <c r="G312" s="3" t="s">
        <v>1024</v>
      </c>
      <c r="H312" s="6"/>
      <c r="I312" s="6" t="s">
        <v>942</v>
      </c>
      <c r="J312" s="6">
        <v>59</v>
      </c>
      <c r="K312" s="21">
        <v>25</v>
      </c>
      <c r="L312" s="5" t="s">
        <v>36</v>
      </c>
      <c r="M312" s="6" t="s">
        <v>260</v>
      </c>
      <c r="N312" s="6"/>
      <c r="O312" s="6" t="s">
        <v>166</v>
      </c>
      <c r="P312" s="6"/>
      <c r="Q312" s="27"/>
      <c r="R312" s="28" t="s">
        <v>946</v>
      </c>
      <c r="S312" s="6" t="s">
        <v>177</v>
      </c>
      <c r="T312" s="1">
        <v>8.6745479999999997</v>
      </c>
      <c r="U312" s="1">
        <v>10.234774999999999</v>
      </c>
      <c r="V312" s="1">
        <v>11.784660000000001</v>
      </c>
      <c r="W312" s="1">
        <v>13.036380000000001</v>
      </c>
      <c r="X312" s="1">
        <v>12.957055</v>
      </c>
      <c r="Y312" s="1">
        <f t="shared" si="15"/>
        <v>11.337483600000002</v>
      </c>
      <c r="Z312" s="10"/>
      <c r="AA312" s="10"/>
      <c r="AB312" s="10"/>
      <c r="AC312" s="10"/>
      <c r="AD312" s="10"/>
      <c r="AE312" s="10"/>
      <c r="AF312" s="10"/>
      <c r="AG312" s="38">
        <f t="shared" si="16"/>
        <v>0</v>
      </c>
      <c r="AH312" s="51" t="str">
        <f t="shared" si="17"/>
        <v xml:space="preserve"> </v>
      </c>
      <c r="AI312" s="64"/>
      <c r="AJ312" s="1"/>
      <c r="AK312" s="65">
        <v>0</v>
      </c>
      <c r="AL312" s="1"/>
      <c r="AM312" s="1"/>
      <c r="AN312" s="81"/>
      <c r="AO312" s="81"/>
    </row>
    <row r="313" spans="1:41" s="26" customFormat="1" hidden="1" x14ac:dyDescent="0.25">
      <c r="A313" s="22">
        <v>98451</v>
      </c>
      <c r="B313" s="2"/>
      <c r="C313" s="21"/>
      <c r="D313" s="23"/>
      <c r="E313" s="23"/>
      <c r="F313" s="28"/>
      <c r="G313" s="3"/>
      <c r="H313" s="6"/>
      <c r="I313" s="6"/>
      <c r="J313" s="6"/>
      <c r="K313" s="21">
        <v>24</v>
      </c>
      <c r="L313" s="21" t="s">
        <v>36</v>
      </c>
      <c r="M313" s="6" t="s">
        <v>1055</v>
      </c>
      <c r="N313" s="6"/>
      <c r="O313" s="6"/>
      <c r="P313" s="6"/>
      <c r="Q313" s="27"/>
      <c r="R313" s="28" t="s">
        <v>946</v>
      </c>
      <c r="S313" s="6"/>
      <c r="T313" s="1">
        <v>6</v>
      </c>
      <c r="U313" s="1">
        <v>12</v>
      </c>
      <c r="V313" s="1">
        <v>12</v>
      </c>
      <c r="W313" s="1">
        <v>12</v>
      </c>
      <c r="X313" s="1">
        <v>12</v>
      </c>
      <c r="Y313" s="1">
        <f t="shared" si="15"/>
        <v>10.8</v>
      </c>
      <c r="Z313" s="10"/>
      <c r="AA313" s="10"/>
      <c r="AB313" s="10"/>
      <c r="AC313" s="10"/>
      <c r="AD313" s="10"/>
      <c r="AE313" s="10"/>
      <c r="AF313" s="10"/>
      <c r="AG313" s="38">
        <f t="shared" si="16"/>
        <v>0</v>
      </c>
      <c r="AH313" s="51" t="str">
        <f t="shared" si="17"/>
        <v xml:space="preserve"> </v>
      </c>
      <c r="AI313" s="64"/>
      <c r="AJ313" s="1"/>
      <c r="AK313" s="65">
        <v>0</v>
      </c>
      <c r="AL313" s="1"/>
      <c r="AM313" s="1"/>
      <c r="AN313" s="81"/>
      <c r="AO313" s="81"/>
    </row>
    <row r="314" spans="1:41" s="26" customFormat="1" hidden="1" x14ac:dyDescent="0.25">
      <c r="A314" s="22" t="s">
        <v>1056</v>
      </c>
      <c r="B314" s="2" t="s">
        <v>1017</v>
      </c>
      <c r="C314" s="21">
        <v>1</v>
      </c>
      <c r="D314" s="23">
        <v>120</v>
      </c>
      <c r="E314" s="23">
        <v>52</v>
      </c>
      <c r="F314" s="77">
        <v>0.04</v>
      </c>
      <c r="G314" s="3" t="s">
        <v>1057</v>
      </c>
      <c r="H314" s="4"/>
      <c r="I314" s="6" t="s">
        <v>953</v>
      </c>
      <c r="J314" s="4">
        <v>69</v>
      </c>
      <c r="K314" s="5">
        <v>26</v>
      </c>
      <c r="L314" s="5" t="s">
        <v>39</v>
      </c>
      <c r="M314" s="4" t="s">
        <v>1054</v>
      </c>
      <c r="N314" s="4" t="s">
        <v>1058</v>
      </c>
      <c r="O314" s="4" t="s">
        <v>380</v>
      </c>
      <c r="P314" s="4"/>
      <c r="Q314" s="24"/>
      <c r="R314" s="25" t="s">
        <v>946</v>
      </c>
      <c r="S314" s="4" t="s">
        <v>177</v>
      </c>
      <c r="T314" s="1">
        <v>6.9961140000000004</v>
      </c>
      <c r="U314" s="1">
        <v>8.7304140000000015</v>
      </c>
      <c r="V314" s="1">
        <v>10.438386000000001</v>
      </c>
      <c r="W314" s="1">
        <v>9.3196020000000015</v>
      </c>
      <c r="X314" s="1">
        <v>13.330377</v>
      </c>
      <c r="Y314" s="1">
        <f t="shared" si="15"/>
        <v>9.7629786000000003</v>
      </c>
      <c r="Z314" s="10"/>
      <c r="AA314" s="10"/>
      <c r="AB314" s="10"/>
      <c r="AC314" s="10"/>
      <c r="AD314" s="10"/>
      <c r="AE314" s="10"/>
      <c r="AF314" s="10"/>
      <c r="AG314" s="38">
        <f t="shared" si="16"/>
        <v>0</v>
      </c>
      <c r="AH314" s="51" t="str">
        <f t="shared" si="17"/>
        <v xml:space="preserve"> </v>
      </c>
      <c r="AI314" s="64"/>
      <c r="AJ314" s="1"/>
      <c r="AK314" s="65">
        <v>0</v>
      </c>
      <c r="AL314" s="1"/>
      <c r="AM314" s="1"/>
      <c r="AN314" s="81"/>
      <c r="AO314" s="81"/>
    </row>
    <row r="315" spans="1:41" s="26" customFormat="1" hidden="1" x14ac:dyDescent="0.25">
      <c r="A315" s="22" t="s">
        <v>1059</v>
      </c>
      <c r="B315" s="2" t="s">
        <v>172</v>
      </c>
      <c r="C315" s="21">
        <v>2</v>
      </c>
      <c r="D315" s="23">
        <v>1200</v>
      </c>
      <c r="E315" s="23"/>
      <c r="F315" s="28"/>
      <c r="G315" s="3" t="s">
        <v>1060</v>
      </c>
      <c r="H315" s="6"/>
      <c r="I315" s="6" t="s">
        <v>953</v>
      </c>
      <c r="J315" s="6">
        <v>69</v>
      </c>
      <c r="K315" s="21">
        <v>24</v>
      </c>
      <c r="L315" s="21" t="s">
        <v>39</v>
      </c>
      <c r="M315" s="6" t="s">
        <v>954</v>
      </c>
      <c r="N315" s="6" t="s">
        <v>1050</v>
      </c>
      <c r="O315" s="6" t="s">
        <v>380</v>
      </c>
      <c r="P315" s="6"/>
      <c r="Q315" s="27"/>
      <c r="R315" s="28" t="s">
        <v>946</v>
      </c>
      <c r="S315" s="6" t="s">
        <v>177</v>
      </c>
      <c r="T315" s="1">
        <v>3.2090240000000003</v>
      </c>
      <c r="U315" s="1">
        <v>8.1976519999999997</v>
      </c>
      <c r="V315" s="1">
        <v>12.286136000000001</v>
      </c>
      <c r="W315" s="1">
        <v>10.66718</v>
      </c>
      <c r="X315" s="1">
        <v>10.062668000000002</v>
      </c>
      <c r="Y315" s="1">
        <f t="shared" si="15"/>
        <v>8.8845320000000019</v>
      </c>
      <c r="Z315" s="10"/>
      <c r="AA315" s="10"/>
      <c r="AB315" s="10"/>
      <c r="AC315" s="10"/>
      <c r="AD315" s="10"/>
      <c r="AE315" s="10"/>
      <c r="AF315" s="10"/>
      <c r="AG315" s="38">
        <f t="shared" si="16"/>
        <v>0</v>
      </c>
      <c r="AH315" s="51" t="str">
        <f t="shared" si="17"/>
        <v xml:space="preserve"> </v>
      </c>
      <c r="AI315" s="64"/>
      <c r="AJ315" s="1"/>
      <c r="AK315" s="65">
        <v>0</v>
      </c>
      <c r="AL315" s="1"/>
      <c r="AM315" s="1"/>
      <c r="AN315" s="81"/>
      <c r="AO315" s="81"/>
    </row>
    <row r="316" spans="1:41" s="26" customFormat="1" hidden="1" x14ac:dyDescent="0.25">
      <c r="A316" s="3" t="s">
        <v>1061</v>
      </c>
      <c r="B316" s="2" t="s">
        <v>172</v>
      </c>
      <c r="C316" s="21">
        <v>8</v>
      </c>
      <c r="D316" s="23">
        <v>1200</v>
      </c>
      <c r="E316" s="23"/>
      <c r="F316" s="28"/>
      <c r="G316" s="3" t="s">
        <v>1062</v>
      </c>
      <c r="H316" s="4"/>
      <c r="I316" s="4" t="s">
        <v>942</v>
      </c>
      <c r="J316" s="4">
        <v>59</v>
      </c>
      <c r="K316" s="5"/>
      <c r="L316" s="5" t="s">
        <v>45</v>
      </c>
      <c r="M316" s="4" t="s">
        <v>1063</v>
      </c>
      <c r="N316" s="4"/>
      <c r="O316" s="4" t="s">
        <v>380</v>
      </c>
      <c r="P316" s="4"/>
      <c r="Q316" s="24"/>
      <c r="R316" s="25" t="s">
        <v>946</v>
      </c>
      <c r="S316" s="4" t="s">
        <v>177</v>
      </c>
      <c r="T316" s="1">
        <v>4.0658260000000004</v>
      </c>
      <c r="U316" s="1">
        <v>10.823040000000001</v>
      </c>
      <c r="V316" s="1">
        <v>11.000216</v>
      </c>
      <c r="W316" s="1">
        <v>9.598355999999999</v>
      </c>
      <c r="X316" s="1">
        <v>8.8224119999999999</v>
      </c>
      <c r="Y316" s="1">
        <f t="shared" si="15"/>
        <v>8.8619699999999995</v>
      </c>
      <c r="Z316" s="10"/>
      <c r="AA316" s="10"/>
      <c r="AB316" s="10"/>
      <c r="AC316" s="10"/>
      <c r="AD316" s="10"/>
      <c r="AE316" s="10"/>
      <c r="AF316" s="10"/>
      <c r="AG316" s="38">
        <f t="shared" si="16"/>
        <v>0</v>
      </c>
      <c r="AH316" s="51" t="str">
        <f t="shared" si="17"/>
        <v xml:space="preserve"> </v>
      </c>
      <c r="AI316" s="64"/>
      <c r="AJ316" s="1"/>
      <c r="AK316" s="65">
        <v>0</v>
      </c>
      <c r="AL316" s="1"/>
      <c r="AM316" s="1"/>
      <c r="AN316" s="81"/>
      <c r="AO316" s="81"/>
    </row>
    <row r="317" spans="1:41" s="26" customFormat="1" ht="22.5" hidden="1" x14ac:dyDescent="0.25">
      <c r="A317" s="22" t="s">
        <v>837</v>
      </c>
      <c r="B317" s="2" t="s">
        <v>172</v>
      </c>
      <c r="C317" s="21">
        <v>2</v>
      </c>
      <c r="D317" s="23">
        <v>1100</v>
      </c>
      <c r="E317" s="23"/>
      <c r="F317" s="28"/>
      <c r="G317" s="3" t="s">
        <v>1049</v>
      </c>
      <c r="H317" s="6"/>
      <c r="I317" s="6"/>
      <c r="J317" s="6">
        <v>63</v>
      </c>
      <c r="K317" s="21"/>
      <c r="L317" s="21" t="s">
        <v>191</v>
      </c>
      <c r="M317" s="6" t="s">
        <v>954</v>
      </c>
      <c r="N317" s="6" t="s">
        <v>1050</v>
      </c>
      <c r="O317" s="6" t="s">
        <v>277</v>
      </c>
      <c r="P317" s="6"/>
      <c r="Q317" s="27"/>
      <c r="R317" s="28" t="s">
        <v>946</v>
      </c>
      <c r="S317" s="6"/>
      <c r="T317" s="1">
        <v>2.3393360000000003</v>
      </c>
      <c r="U317" s="1">
        <v>8.0808999999999997</v>
      </c>
      <c r="V317" s="1">
        <v>11.619300000000001</v>
      </c>
      <c r="W317" s="1">
        <v>10.73232</v>
      </c>
      <c r="X317" s="1">
        <v>8.8824199999999998</v>
      </c>
      <c r="Y317" s="1">
        <f t="shared" si="15"/>
        <v>8.3308551999999985</v>
      </c>
      <c r="Z317" s="10" t="s">
        <v>168</v>
      </c>
      <c r="AA317" s="10" t="s">
        <v>168</v>
      </c>
      <c r="AB317" s="10" t="s">
        <v>168</v>
      </c>
      <c r="AC317" s="10" t="s">
        <v>168</v>
      </c>
      <c r="AD317" s="10" t="s">
        <v>168</v>
      </c>
      <c r="AE317" s="10" t="s">
        <v>168</v>
      </c>
      <c r="AF317" s="10" t="s">
        <v>168</v>
      </c>
      <c r="AG317" s="38">
        <f t="shared" si="16"/>
        <v>1</v>
      </c>
      <c r="AH317" s="51">
        <f t="shared" si="17"/>
        <v>8.3308551999999985</v>
      </c>
      <c r="AI317" s="64">
        <v>2</v>
      </c>
      <c r="AJ317" s="62" t="s">
        <v>1064</v>
      </c>
      <c r="AK317" s="65">
        <v>0</v>
      </c>
      <c r="AL317" s="1"/>
      <c r="AM317" s="1" t="s">
        <v>1016</v>
      </c>
      <c r="AN317" s="81">
        <v>46235</v>
      </c>
      <c r="AO317" s="81" t="s">
        <v>180</v>
      </c>
    </row>
    <row r="318" spans="1:41" s="26" customFormat="1" hidden="1" x14ac:dyDescent="0.25">
      <c r="A318" s="22" t="s">
        <v>1065</v>
      </c>
      <c r="B318" s="2" t="s">
        <v>172</v>
      </c>
      <c r="C318" s="21">
        <v>11</v>
      </c>
      <c r="D318" s="23">
        <v>1050</v>
      </c>
      <c r="E318" s="23"/>
      <c r="F318" s="28"/>
      <c r="G318" s="3" t="s">
        <v>952</v>
      </c>
      <c r="H318" s="6"/>
      <c r="I318" s="6" t="s">
        <v>942</v>
      </c>
      <c r="J318" s="6">
        <v>69</v>
      </c>
      <c r="K318" s="21">
        <v>25</v>
      </c>
      <c r="L318" s="21" t="s">
        <v>39</v>
      </c>
      <c r="M318" s="6" t="s">
        <v>954</v>
      </c>
      <c r="N318" s="6" t="s">
        <v>1066</v>
      </c>
      <c r="O318" s="6" t="s">
        <v>166</v>
      </c>
      <c r="P318" s="6"/>
      <c r="Q318" s="27"/>
      <c r="R318" s="28" t="s">
        <v>946</v>
      </c>
      <c r="S318" s="6" t="s">
        <v>177</v>
      </c>
      <c r="T318" s="1">
        <v>0</v>
      </c>
      <c r="U318" s="1">
        <v>0</v>
      </c>
      <c r="V318" s="1">
        <v>1.1212500000000001</v>
      </c>
      <c r="W318" s="1">
        <v>20.182500000000001</v>
      </c>
      <c r="X318" s="1">
        <v>20.182500000000001</v>
      </c>
      <c r="Y318" s="1">
        <f t="shared" si="15"/>
        <v>8.29725</v>
      </c>
      <c r="Z318" s="10"/>
      <c r="AA318" s="10"/>
      <c r="AB318" s="10"/>
      <c r="AC318" s="10"/>
      <c r="AD318" s="10"/>
      <c r="AE318" s="10"/>
      <c r="AF318" s="10"/>
      <c r="AG318" s="38">
        <f t="shared" si="16"/>
        <v>0</v>
      </c>
      <c r="AH318" s="51" t="str">
        <f t="shared" si="17"/>
        <v xml:space="preserve"> </v>
      </c>
      <c r="AI318" s="64"/>
      <c r="AJ318" s="1"/>
      <c r="AK318" s="65">
        <v>0</v>
      </c>
      <c r="AL318" s="1"/>
      <c r="AM318" s="1"/>
      <c r="AN318" s="81"/>
      <c r="AO318" s="81"/>
    </row>
    <row r="319" spans="1:41" s="26" customFormat="1" hidden="1" x14ac:dyDescent="0.25">
      <c r="A319" s="22" t="s">
        <v>1067</v>
      </c>
      <c r="B319" s="2" t="s">
        <v>172</v>
      </c>
      <c r="C319" s="21">
        <v>0.7</v>
      </c>
      <c r="D319" s="23">
        <v>300</v>
      </c>
      <c r="E319" s="23">
        <v>150</v>
      </c>
      <c r="F319" s="77">
        <v>4.4999999999999998E-2</v>
      </c>
      <c r="G319" s="3" t="s">
        <v>1026</v>
      </c>
      <c r="H319" s="6"/>
      <c r="I319" s="6" t="s">
        <v>953</v>
      </c>
      <c r="J319" s="6">
        <v>69</v>
      </c>
      <c r="K319" s="21">
        <v>22</v>
      </c>
      <c r="L319" s="21" t="s">
        <v>39</v>
      </c>
      <c r="M319" s="6" t="s">
        <v>240</v>
      </c>
      <c r="N319" s="33" t="s">
        <v>1028</v>
      </c>
      <c r="O319" s="6" t="s">
        <v>380</v>
      </c>
      <c r="P319" s="6"/>
      <c r="Q319" s="27"/>
      <c r="R319" s="28" t="s">
        <v>946</v>
      </c>
      <c r="S319" s="6" t="s">
        <v>177</v>
      </c>
      <c r="T319" s="1">
        <v>8.0781390000000002</v>
      </c>
      <c r="U319" s="1">
        <v>6.9584680000000008</v>
      </c>
      <c r="V319" s="1">
        <v>8.574014</v>
      </c>
      <c r="W319" s="1">
        <v>9.1992239999999992</v>
      </c>
      <c r="X319" s="1">
        <v>4.8066329999999997</v>
      </c>
      <c r="Y319" s="1">
        <f t="shared" si="15"/>
        <v>7.5232956</v>
      </c>
      <c r="Z319" s="10"/>
      <c r="AA319" s="10"/>
      <c r="AB319" s="10"/>
      <c r="AC319" s="10"/>
      <c r="AD319" s="10"/>
      <c r="AE319" s="10"/>
      <c r="AF319" s="10"/>
      <c r="AG319" s="38">
        <f t="shared" si="16"/>
        <v>0</v>
      </c>
      <c r="AH319" s="51" t="str">
        <f t="shared" si="17"/>
        <v xml:space="preserve"> </v>
      </c>
      <c r="AI319" s="64"/>
      <c r="AJ319" s="1"/>
      <c r="AK319" s="65">
        <v>0</v>
      </c>
      <c r="AL319" s="1"/>
      <c r="AM319" s="1"/>
      <c r="AN319" s="81"/>
      <c r="AO319" s="81"/>
    </row>
    <row r="320" spans="1:41" s="26" customFormat="1" hidden="1" x14ac:dyDescent="0.25">
      <c r="A320" s="22" t="s">
        <v>494</v>
      </c>
      <c r="B320" s="2" t="s">
        <v>172</v>
      </c>
      <c r="C320" s="21">
        <v>3</v>
      </c>
      <c r="D320" s="23">
        <v>1220</v>
      </c>
      <c r="E320" s="23"/>
      <c r="F320" s="28"/>
      <c r="G320" s="3" t="s">
        <v>1068</v>
      </c>
      <c r="H320" s="6"/>
      <c r="I320" s="6" t="s">
        <v>942</v>
      </c>
      <c r="J320" s="6">
        <v>69</v>
      </c>
      <c r="K320" s="21">
        <v>24</v>
      </c>
      <c r="L320" s="21" t="s">
        <v>39</v>
      </c>
      <c r="M320" s="6" t="s">
        <v>240</v>
      </c>
      <c r="N320" s="6"/>
      <c r="O320" s="6" t="s">
        <v>380</v>
      </c>
      <c r="P320" s="6"/>
      <c r="Q320" s="27"/>
      <c r="R320" s="28" t="s">
        <v>946</v>
      </c>
      <c r="S320" s="6" t="s">
        <v>177</v>
      </c>
      <c r="T320" s="1">
        <v>4.100536</v>
      </c>
      <c r="U320" s="1">
        <v>6.0100700000000007</v>
      </c>
      <c r="V320" s="1">
        <v>9.4226080000000003</v>
      </c>
      <c r="W320" s="1">
        <v>9.0376659999999998</v>
      </c>
      <c r="X320" s="1">
        <v>6.0122790000000013</v>
      </c>
      <c r="Y320" s="1">
        <f t="shared" si="15"/>
        <v>6.9166318000000002</v>
      </c>
      <c r="Z320" s="10"/>
      <c r="AA320" s="10"/>
      <c r="AB320" s="10"/>
      <c r="AC320" s="10"/>
      <c r="AD320" s="10"/>
      <c r="AE320" s="10"/>
      <c r="AF320" s="10"/>
      <c r="AG320" s="38">
        <f t="shared" si="16"/>
        <v>0</v>
      </c>
      <c r="AH320" s="51" t="str">
        <f t="shared" si="17"/>
        <v xml:space="preserve"> </v>
      </c>
      <c r="AI320" s="64"/>
      <c r="AJ320" s="1"/>
      <c r="AK320" s="65">
        <v>0</v>
      </c>
      <c r="AL320" s="1"/>
      <c r="AM320" s="1"/>
      <c r="AN320" s="81"/>
      <c r="AO320" s="81"/>
    </row>
    <row r="321" spans="1:41" s="26" customFormat="1" hidden="1" x14ac:dyDescent="0.25">
      <c r="A321" s="22" t="s">
        <v>1069</v>
      </c>
      <c r="B321" s="2" t="s">
        <v>172</v>
      </c>
      <c r="C321" s="21">
        <v>16</v>
      </c>
      <c r="D321" s="23">
        <v>1200</v>
      </c>
      <c r="E321" s="23"/>
      <c r="F321" s="28"/>
      <c r="G321" s="3"/>
      <c r="H321" s="4"/>
      <c r="I321" s="4"/>
      <c r="J321" s="4"/>
      <c r="K321" s="5"/>
      <c r="L321" s="5" t="s">
        <v>191</v>
      </c>
      <c r="M321" s="4" t="s">
        <v>954</v>
      </c>
      <c r="N321" s="4"/>
      <c r="O321" s="4" t="s">
        <v>1070</v>
      </c>
      <c r="P321" s="4"/>
      <c r="Q321" s="24"/>
      <c r="R321" s="25" t="s">
        <v>946</v>
      </c>
      <c r="S321" s="4" t="s">
        <v>177</v>
      </c>
      <c r="T321" s="1">
        <v>1.6559079999999999</v>
      </c>
      <c r="U321" s="1">
        <v>7.1890639999999992</v>
      </c>
      <c r="V321" s="1">
        <v>7.9968240000000002</v>
      </c>
      <c r="W321" s="1">
        <v>7.7141079999999995</v>
      </c>
      <c r="X321" s="1">
        <v>8.7641960000000001</v>
      </c>
      <c r="Y321" s="1">
        <f t="shared" si="15"/>
        <v>6.6640199999999989</v>
      </c>
      <c r="Z321" s="10"/>
      <c r="AA321" s="10"/>
      <c r="AB321" s="10"/>
      <c r="AC321" s="10"/>
      <c r="AD321" s="10"/>
      <c r="AE321" s="10"/>
      <c r="AF321" s="10"/>
      <c r="AG321" s="38">
        <f t="shared" si="16"/>
        <v>0</v>
      </c>
      <c r="AH321" s="51" t="str">
        <f t="shared" si="17"/>
        <v xml:space="preserve"> </v>
      </c>
      <c r="AI321" s="64"/>
      <c r="AJ321" s="1"/>
      <c r="AK321" s="65">
        <v>0</v>
      </c>
      <c r="AL321" s="1"/>
      <c r="AM321" s="1"/>
      <c r="AN321" s="81"/>
      <c r="AO321" s="81"/>
    </row>
    <row r="322" spans="1:41" s="26" customFormat="1" hidden="1" x14ac:dyDescent="0.25">
      <c r="A322" s="3" t="s">
        <v>1071</v>
      </c>
      <c r="B322" s="2" t="s">
        <v>172</v>
      </c>
      <c r="C322" s="21">
        <v>3.5</v>
      </c>
      <c r="D322" s="23">
        <v>1200</v>
      </c>
      <c r="E322" s="23"/>
      <c r="F322" s="28"/>
      <c r="G322" s="3" t="s">
        <v>1062</v>
      </c>
      <c r="H322" s="6"/>
      <c r="I322" s="6" t="s">
        <v>942</v>
      </c>
      <c r="J322" s="6">
        <v>59</v>
      </c>
      <c r="K322" s="21"/>
      <c r="L322" s="5" t="s">
        <v>45</v>
      </c>
      <c r="M322" s="6" t="s">
        <v>240</v>
      </c>
      <c r="N322" s="6"/>
      <c r="O322" s="6" t="s">
        <v>380</v>
      </c>
      <c r="P322" s="6"/>
      <c r="Q322" s="27"/>
      <c r="R322" s="28" t="s">
        <v>946</v>
      </c>
      <c r="S322" s="6" t="s">
        <v>177</v>
      </c>
      <c r="T322" s="1">
        <v>3.5435940000000001</v>
      </c>
      <c r="U322" s="1">
        <v>3.09775</v>
      </c>
      <c r="V322" s="1">
        <v>5.7540599999999991</v>
      </c>
      <c r="W322" s="1">
        <v>8.572439000000001</v>
      </c>
      <c r="X322" s="1">
        <v>4.1806599999999996</v>
      </c>
      <c r="Y322" s="1">
        <f t="shared" si="15"/>
        <v>5.0297006</v>
      </c>
      <c r="Z322" s="10"/>
      <c r="AA322" s="10"/>
      <c r="AB322" s="10"/>
      <c r="AC322" s="10"/>
      <c r="AD322" s="10"/>
      <c r="AE322" s="10"/>
      <c r="AF322" s="10"/>
      <c r="AG322" s="38">
        <f t="shared" si="16"/>
        <v>0</v>
      </c>
      <c r="AH322" s="51" t="str">
        <f t="shared" si="17"/>
        <v xml:space="preserve"> </v>
      </c>
      <c r="AI322" s="64"/>
      <c r="AJ322" s="75"/>
      <c r="AK322" s="65">
        <v>0</v>
      </c>
      <c r="AL322" s="1"/>
      <c r="AM322" s="1"/>
      <c r="AN322" s="81"/>
      <c r="AO322" s="81"/>
    </row>
    <row r="323" spans="1:41" s="26" customFormat="1" hidden="1" x14ac:dyDescent="0.25">
      <c r="A323" s="22" t="s">
        <v>1072</v>
      </c>
      <c r="B323" s="2" t="s">
        <v>172</v>
      </c>
      <c r="C323" s="21">
        <v>6.3</v>
      </c>
      <c r="D323" s="23">
        <v>1220</v>
      </c>
      <c r="E323" s="23"/>
      <c r="F323" s="28"/>
      <c r="G323" s="3" t="s">
        <v>964</v>
      </c>
      <c r="H323" s="4"/>
      <c r="I323" s="6" t="s">
        <v>953</v>
      </c>
      <c r="J323" s="4">
        <v>69</v>
      </c>
      <c r="K323" s="5">
        <v>20</v>
      </c>
      <c r="L323" s="5" t="s">
        <v>39</v>
      </c>
      <c r="M323" s="4" t="s">
        <v>534</v>
      </c>
      <c r="N323" s="4"/>
      <c r="O323" s="4"/>
      <c r="P323" s="4"/>
      <c r="Q323" s="24"/>
      <c r="R323" s="25" t="s">
        <v>946</v>
      </c>
      <c r="S323" s="6" t="s">
        <v>177</v>
      </c>
      <c r="T323" s="1">
        <v>7.5552399999999995</v>
      </c>
      <c r="U323" s="1">
        <v>5.1513</v>
      </c>
      <c r="V323" s="1">
        <v>5.1513</v>
      </c>
      <c r="W323" s="1">
        <v>3.438205</v>
      </c>
      <c r="X323" s="1">
        <v>3.7776199999999998</v>
      </c>
      <c r="Y323" s="1">
        <f t="shared" si="15"/>
        <v>5.0147329999999997</v>
      </c>
      <c r="Z323" s="10"/>
      <c r="AA323" s="10"/>
      <c r="AB323" s="10"/>
      <c r="AC323" s="10"/>
      <c r="AD323" s="10"/>
      <c r="AE323" s="10"/>
      <c r="AF323" s="10"/>
      <c r="AG323" s="38">
        <f t="shared" si="16"/>
        <v>0</v>
      </c>
      <c r="AH323" s="51" t="str">
        <f t="shared" si="17"/>
        <v xml:space="preserve"> </v>
      </c>
      <c r="AI323" s="64"/>
      <c r="AJ323" s="1"/>
      <c r="AK323" s="65">
        <v>0</v>
      </c>
      <c r="AL323" s="1"/>
      <c r="AM323" s="1"/>
      <c r="AN323" s="81"/>
      <c r="AO323" s="81"/>
    </row>
    <row r="324" spans="1:41" s="26" customFormat="1" hidden="1" x14ac:dyDescent="0.25">
      <c r="A324" s="22" t="s">
        <v>1073</v>
      </c>
      <c r="B324" s="2" t="s">
        <v>197</v>
      </c>
      <c r="C324" s="21">
        <v>3</v>
      </c>
      <c r="D324" s="23">
        <v>1200</v>
      </c>
      <c r="E324" s="23"/>
      <c r="F324" s="28"/>
      <c r="G324" s="3" t="s">
        <v>1074</v>
      </c>
      <c r="H324" s="6"/>
      <c r="I324" s="6"/>
      <c r="J324" s="6">
        <v>30</v>
      </c>
      <c r="K324" s="21"/>
      <c r="L324" s="21" t="s">
        <v>1075</v>
      </c>
      <c r="M324" s="6" t="s">
        <v>954</v>
      </c>
      <c r="N324" s="6"/>
      <c r="O324" s="6" t="s">
        <v>380</v>
      </c>
      <c r="P324" s="6"/>
      <c r="Q324" s="27"/>
      <c r="R324" s="28" t="s">
        <v>946</v>
      </c>
      <c r="S324" s="6"/>
      <c r="T324" s="1">
        <v>2.272259</v>
      </c>
      <c r="U324" s="1">
        <v>4.8117080000000003</v>
      </c>
      <c r="V324" s="1">
        <v>6.0278349999999996</v>
      </c>
      <c r="W324" s="1">
        <v>4.7809720000000002</v>
      </c>
      <c r="X324" s="1">
        <v>4.7154549999999995</v>
      </c>
      <c r="Y324" s="1">
        <f t="shared" si="15"/>
        <v>4.5216457999999999</v>
      </c>
      <c r="Z324" s="10"/>
      <c r="AA324" s="10"/>
      <c r="AB324" s="10"/>
      <c r="AC324" s="10"/>
      <c r="AD324" s="10"/>
      <c r="AE324" s="10"/>
      <c r="AF324" s="10"/>
      <c r="AG324" s="38">
        <f t="shared" si="16"/>
        <v>0</v>
      </c>
      <c r="AH324" s="51" t="str">
        <f t="shared" si="17"/>
        <v xml:space="preserve"> </v>
      </c>
      <c r="AI324" s="64"/>
      <c r="AJ324" s="1"/>
      <c r="AK324" s="65">
        <v>0</v>
      </c>
      <c r="AL324" s="1"/>
      <c r="AM324" s="1"/>
      <c r="AN324" s="81"/>
      <c r="AO324" s="81"/>
    </row>
    <row r="325" spans="1:41" s="26" customFormat="1" hidden="1" x14ac:dyDescent="0.25">
      <c r="A325" s="22" t="s">
        <v>252</v>
      </c>
      <c r="B325" s="2" t="s">
        <v>172</v>
      </c>
      <c r="C325" s="21">
        <v>8</v>
      </c>
      <c r="D325" s="23">
        <v>1300</v>
      </c>
      <c r="E325" s="23"/>
      <c r="F325" s="28"/>
      <c r="G325" s="3" t="s">
        <v>1076</v>
      </c>
      <c r="H325" s="4"/>
      <c r="I325" s="6" t="s">
        <v>942</v>
      </c>
      <c r="J325" s="4">
        <v>69</v>
      </c>
      <c r="K325" s="5">
        <v>15</v>
      </c>
      <c r="L325" s="5" t="s">
        <v>39</v>
      </c>
      <c r="M325" s="4" t="s">
        <v>954</v>
      </c>
      <c r="N325" s="4"/>
      <c r="O325" s="4" t="s">
        <v>277</v>
      </c>
      <c r="P325" s="4"/>
      <c r="Q325" s="24"/>
      <c r="R325" s="25" t="s">
        <v>946</v>
      </c>
      <c r="S325" s="6" t="s">
        <v>177</v>
      </c>
      <c r="T325" s="1">
        <v>1.3049849999999998</v>
      </c>
      <c r="U325" s="1">
        <v>1.9769999999999999</v>
      </c>
      <c r="V325" s="1">
        <v>2.6135000000000002</v>
      </c>
      <c r="W325" s="1">
        <v>3.5903899999999997</v>
      </c>
      <c r="X325" s="1">
        <v>11.4114</v>
      </c>
      <c r="Y325" s="1">
        <f t="shared" si="15"/>
        <v>4.1794549999999999</v>
      </c>
      <c r="Z325" s="10"/>
      <c r="AA325" s="10"/>
      <c r="AB325" s="10"/>
      <c r="AC325" s="10"/>
      <c r="AD325" s="10"/>
      <c r="AE325" s="10"/>
      <c r="AF325" s="10"/>
      <c r="AG325" s="38">
        <f t="shared" si="16"/>
        <v>0</v>
      </c>
      <c r="AH325" s="51" t="str">
        <f t="shared" si="17"/>
        <v xml:space="preserve"> </v>
      </c>
      <c r="AI325" s="64"/>
      <c r="AJ325" s="1"/>
      <c r="AK325" s="65">
        <v>0</v>
      </c>
      <c r="AL325" s="1"/>
      <c r="AM325" s="1"/>
      <c r="AN325" s="81"/>
      <c r="AO325" s="81"/>
    </row>
    <row r="326" spans="1:41" s="26" customFormat="1" hidden="1" x14ac:dyDescent="0.25">
      <c r="A326" s="3" t="s">
        <v>1077</v>
      </c>
      <c r="B326" s="2" t="s">
        <v>172</v>
      </c>
      <c r="C326" s="21">
        <v>4</v>
      </c>
      <c r="D326" s="23">
        <v>1350</v>
      </c>
      <c r="E326" s="23"/>
      <c r="F326" s="28"/>
      <c r="G326" s="3" t="s">
        <v>1060</v>
      </c>
      <c r="H326" s="4"/>
      <c r="I326" s="6" t="s">
        <v>942</v>
      </c>
      <c r="J326" s="4">
        <v>59</v>
      </c>
      <c r="K326" s="5">
        <v>26</v>
      </c>
      <c r="L326" s="5" t="s">
        <v>1075</v>
      </c>
      <c r="M326" s="4" t="s">
        <v>1078</v>
      </c>
      <c r="N326" s="4"/>
      <c r="O326" s="4" t="s">
        <v>380</v>
      </c>
      <c r="P326" s="4"/>
      <c r="Q326" s="24"/>
      <c r="R326" s="25" t="s">
        <v>946</v>
      </c>
      <c r="S326" s="6" t="s">
        <v>177</v>
      </c>
      <c r="T326" s="1">
        <v>2.6553249999999999</v>
      </c>
      <c r="U326" s="1">
        <v>3.2084979999999996</v>
      </c>
      <c r="V326" s="1">
        <v>5.4247099999999993</v>
      </c>
      <c r="W326" s="1">
        <v>5.3173699999999995</v>
      </c>
      <c r="X326" s="1">
        <v>3.7868939999999998</v>
      </c>
      <c r="Y326" s="1">
        <f t="shared" si="15"/>
        <v>4.0785593999999996</v>
      </c>
      <c r="Z326" s="10"/>
      <c r="AA326" s="10"/>
      <c r="AB326" s="10"/>
      <c r="AC326" s="10"/>
      <c r="AD326" s="10"/>
      <c r="AE326" s="10"/>
      <c r="AF326" s="10"/>
      <c r="AG326" s="38">
        <f t="shared" si="16"/>
        <v>0</v>
      </c>
      <c r="AH326" s="51" t="str">
        <f t="shared" si="17"/>
        <v xml:space="preserve"> </v>
      </c>
      <c r="AI326" s="64"/>
      <c r="AJ326" s="1"/>
      <c r="AK326" s="65">
        <v>0</v>
      </c>
      <c r="AL326" s="1"/>
      <c r="AM326" s="1"/>
      <c r="AN326" s="81"/>
      <c r="AO326" s="81"/>
    </row>
    <row r="327" spans="1:41" s="26" customFormat="1" ht="33.75" hidden="1" x14ac:dyDescent="0.25">
      <c r="A327" s="22" t="s">
        <v>839</v>
      </c>
      <c r="B327" s="2" t="s">
        <v>172</v>
      </c>
      <c r="C327" s="21">
        <v>2</v>
      </c>
      <c r="D327" s="23">
        <v>1100</v>
      </c>
      <c r="E327" s="23"/>
      <c r="F327" s="28"/>
      <c r="G327" s="3" t="s">
        <v>1049</v>
      </c>
      <c r="H327" s="6"/>
      <c r="I327" s="6"/>
      <c r="J327" s="6">
        <v>63</v>
      </c>
      <c r="K327" s="21"/>
      <c r="L327" s="21" t="s">
        <v>191</v>
      </c>
      <c r="M327" s="4" t="s">
        <v>954</v>
      </c>
      <c r="N327" s="6" t="s">
        <v>1050</v>
      </c>
      <c r="O327" s="6" t="s">
        <v>380</v>
      </c>
      <c r="P327" s="6"/>
      <c r="Q327" s="27"/>
      <c r="R327" s="28" t="s">
        <v>946</v>
      </c>
      <c r="S327" s="6"/>
      <c r="T327" s="1">
        <v>0.69523200000000007</v>
      </c>
      <c r="U327" s="1">
        <v>3.4761600000000001</v>
      </c>
      <c r="V327" s="1">
        <v>5.8225680000000004</v>
      </c>
      <c r="W327" s="1">
        <v>4.9100760000000001</v>
      </c>
      <c r="X327" s="1">
        <v>4.5624599999999997</v>
      </c>
      <c r="Y327" s="1">
        <f t="shared" si="15"/>
        <v>3.8932992</v>
      </c>
      <c r="Z327" s="10" t="s">
        <v>168</v>
      </c>
      <c r="AA327" s="10" t="s">
        <v>168</v>
      </c>
      <c r="AB327" s="10" t="s">
        <v>168</v>
      </c>
      <c r="AC327" s="10" t="s">
        <v>168</v>
      </c>
      <c r="AD327" s="10" t="s">
        <v>168</v>
      </c>
      <c r="AE327" s="10" t="s">
        <v>168</v>
      </c>
      <c r="AF327" s="10" t="s">
        <v>168</v>
      </c>
      <c r="AG327" s="38">
        <f t="shared" si="16"/>
        <v>1</v>
      </c>
      <c r="AH327" s="51">
        <f t="shared" si="17"/>
        <v>3.8932992</v>
      </c>
      <c r="AI327" s="64">
        <v>3</v>
      </c>
      <c r="AJ327" s="62" t="s">
        <v>1079</v>
      </c>
      <c r="AK327" s="65">
        <v>0</v>
      </c>
      <c r="AL327" s="1"/>
      <c r="AM327" s="1" t="s">
        <v>1016</v>
      </c>
      <c r="AN327" s="81">
        <v>46235</v>
      </c>
      <c r="AO327" s="81" t="s">
        <v>180</v>
      </c>
    </row>
    <row r="328" spans="1:41" s="26" customFormat="1" hidden="1" x14ac:dyDescent="0.25">
      <c r="A328" s="3" t="s">
        <v>1080</v>
      </c>
      <c r="B328" s="2" t="s">
        <v>172</v>
      </c>
      <c r="C328" s="21">
        <v>8</v>
      </c>
      <c r="D328" s="23">
        <v>1200</v>
      </c>
      <c r="E328" s="23"/>
      <c r="F328" s="28"/>
      <c r="G328" s="3" t="s">
        <v>1024</v>
      </c>
      <c r="H328" s="4"/>
      <c r="I328" s="4" t="s">
        <v>942</v>
      </c>
      <c r="J328" s="4">
        <v>59</v>
      </c>
      <c r="K328" s="5"/>
      <c r="L328" s="5" t="s">
        <v>45</v>
      </c>
      <c r="M328" s="4" t="s">
        <v>240</v>
      </c>
      <c r="N328" s="4"/>
      <c r="O328" s="4" t="s">
        <v>380</v>
      </c>
      <c r="P328" s="4"/>
      <c r="Q328" s="24"/>
      <c r="R328" s="25" t="s">
        <v>946</v>
      </c>
      <c r="S328" s="4" t="s">
        <v>177</v>
      </c>
      <c r="T328" s="1">
        <v>2.07612</v>
      </c>
      <c r="U328" s="1">
        <v>3.9792299999999994</v>
      </c>
      <c r="V328" s="1">
        <v>4.7750759999999994</v>
      </c>
      <c r="W328" s="1">
        <v>4.1522399999999999</v>
      </c>
      <c r="X328" s="1">
        <v>3.5294039999999995</v>
      </c>
      <c r="Y328" s="1">
        <f t="shared" si="15"/>
        <v>3.7024139999999996</v>
      </c>
      <c r="Z328" s="10"/>
      <c r="AA328" s="10"/>
      <c r="AB328" s="10"/>
      <c r="AC328" s="10"/>
      <c r="AD328" s="10"/>
      <c r="AE328" s="10"/>
      <c r="AF328" s="10"/>
      <c r="AG328" s="38">
        <f t="shared" si="16"/>
        <v>0</v>
      </c>
      <c r="AH328" s="51" t="str">
        <f t="shared" si="17"/>
        <v xml:space="preserve"> </v>
      </c>
      <c r="AI328" s="64"/>
      <c r="AJ328" s="1"/>
      <c r="AK328" s="65">
        <v>0</v>
      </c>
      <c r="AL328" s="1"/>
      <c r="AM328" s="1"/>
      <c r="AN328" s="81"/>
      <c r="AO328" s="81"/>
    </row>
    <row r="329" spans="1:41" s="26" customFormat="1" hidden="1" x14ac:dyDescent="0.25">
      <c r="A329" s="3" t="s">
        <v>1081</v>
      </c>
      <c r="B329" s="2" t="s">
        <v>172</v>
      </c>
      <c r="C329" s="21">
        <v>8</v>
      </c>
      <c r="D329" s="23">
        <v>1200</v>
      </c>
      <c r="E329" s="23"/>
      <c r="F329" s="28"/>
      <c r="G329" s="3" t="s">
        <v>1024</v>
      </c>
      <c r="H329" s="4"/>
      <c r="I329" s="4" t="s">
        <v>942</v>
      </c>
      <c r="J329" s="4">
        <v>59</v>
      </c>
      <c r="K329" s="5"/>
      <c r="L329" s="5" t="s">
        <v>45</v>
      </c>
      <c r="M329" s="4" t="s">
        <v>240</v>
      </c>
      <c r="N329" s="4"/>
      <c r="O329" s="4" t="s">
        <v>380</v>
      </c>
      <c r="P329" s="4"/>
      <c r="Q329" s="24"/>
      <c r="R329" s="25" t="s">
        <v>946</v>
      </c>
      <c r="S329" s="4" t="s">
        <v>177</v>
      </c>
      <c r="T329" s="1">
        <v>1.3953960000000001</v>
      </c>
      <c r="U329" s="1">
        <v>4.2637099999999997</v>
      </c>
      <c r="V329" s="1">
        <v>4.7094615000000006</v>
      </c>
      <c r="W329" s="1">
        <v>3.4884900000000001</v>
      </c>
      <c r="X329" s="1">
        <v>2.4419430000000002</v>
      </c>
      <c r="Y329" s="1">
        <f t="shared" si="15"/>
        <v>3.2598001000000005</v>
      </c>
      <c r="Z329" s="10"/>
      <c r="AA329" s="10"/>
      <c r="AB329" s="10"/>
      <c r="AC329" s="10"/>
      <c r="AD329" s="10"/>
      <c r="AE329" s="10"/>
      <c r="AF329" s="10"/>
      <c r="AG329" s="38">
        <f t="shared" si="16"/>
        <v>0</v>
      </c>
      <c r="AH329" s="51" t="str">
        <f t="shared" si="17"/>
        <v xml:space="preserve"> </v>
      </c>
      <c r="AI329" s="64"/>
      <c r="AJ329" s="1"/>
      <c r="AK329" s="65">
        <v>0</v>
      </c>
      <c r="AL329" s="1"/>
      <c r="AM329" s="1"/>
      <c r="AN329" s="81"/>
      <c r="AO329" s="81"/>
    </row>
    <row r="330" spans="1:41" s="26" customFormat="1" hidden="1" x14ac:dyDescent="0.25">
      <c r="A330" s="3" t="s">
        <v>1082</v>
      </c>
      <c r="B330" s="2" t="s">
        <v>172</v>
      </c>
      <c r="C330" s="21">
        <v>9.5</v>
      </c>
      <c r="D330" s="23">
        <v>1200</v>
      </c>
      <c r="E330" s="23"/>
      <c r="F330" s="28"/>
      <c r="G330" s="3" t="s">
        <v>183</v>
      </c>
      <c r="H330" s="6"/>
      <c r="I330" s="6" t="s">
        <v>942</v>
      </c>
      <c r="J330" s="6">
        <v>69</v>
      </c>
      <c r="K330" s="21"/>
      <c r="L330" s="5" t="s">
        <v>1083</v>
      </c>
      <c r="M330" s="6" t="s">
        <v>240</v>
      </c>
      <c r="N330" s="6"/>
      <c r="O330" s="6" t="s">
        <v>380</v>
      </c>
      <c r="P330" s="6"/>
      <c r="Q330" s="27"/>
      <c r="R330" s="28" t="s">
        <v>946</v>
      </c>
      <c r="S330" s="6" t="s">
        <v>177</v>
      </c>
      <c r="T330" s="1">
        <v>2.0330710000000001</v>
      </c>
      <c r="U330" s="1">
        <v>2.1059039999999998</v>
      </c>
      <c r="V330" s="1">
        <v>3.3130320000000002</v>
      </c>
      <c r="W330" s="1">
        <v>3.3668720000000003</v>
      </c>
      <c r="X330" s="1">
        <v>2.7273800000000001</v>
      </c>
      <c r="Y330" s="1">
        <f t="shared" si="15"/>
        <v>2.7092518000000001</v>
      </c>
      <c r="Z330" s="10"/>
      <c r="AA330" s="10"/>
      <c r="AB330" s="10"/>
      <c r="AC330" s="10"/>
      <c r="AD330" s="10"/>
      <c r="AE330" s="10"/>
      <c r="AF330" s="10"/>
      <c r="AG330" s="38">
        <f t="shared" si="16"/>
        <v>0</v>
      </c>
      <c r="AH330" s="51" t="str">
        <f t="shared" si="17"/>
        <v xml:space="preserve"> </v>
      </c>
      <c r="AI330" s="64"/>
      <c r="AJ330" s="1"/>
      <c r="AK330" s="65">
        <v>0</v>
      </c>
      <c r="AL330" s="1"/>
      <c r="AM330" s="1"/>
      <c r="AN330" s="81"/>
      <c r="AO330" s="81"/>
    </row>
    <row r="331" spans="1:41" s="26" customFormat="1" hidden="1" x14ac:dyDescent="0.25">
      <c r="A331" s="3" t="s">
        <v>1084</v>
      </c>
      <c r="B331" s="2" t="s">
        <v>197</v>
      </c>
      <c r="C331" s="21">
        <v>3</v>
      </c>
      <c r="D331" s="23">
        <v>1200</v>
      </c>
      <c r="E331" s="23"/>
      <c r="F331" s="28"/>
      <c r="G331" s="3" t="s">
        <v>1085</v>
      </c>
      <c r="H331" s="6"/>
      <c r="I331" s="6"/>
      <c r="J331" s="6">
        <v>30</v>
      </c>
      <c r="K331" s="21"/>
      <c r="L331" s="21" t="s">
        <v>1075</v>
      </c>
      <c r="M331" s="6" t="s">
        <v>1086</v>
      </c>
      <c r="N331" s="6"/>
      <c r="O331" s="6" t="s">
        <v>380</v>
      </c>
      <c r="P331" s="6"/>
      <c r="Q331" s="27"/>
      <c r="R331" s="28" t="s">
        <v>946</v>
      </c>
      <c r="S331" s="6"/>
      <c r="T331" s="1">
        <v>1.5802130000000001</v>
      </c>
      <c r="U331" s="1">
        <v>2.5903640000000006</v>
      </c>
      <c r="V331" s="1">
        <v>3.1031240000000002</v>
      </c>
      <c r="W331" s="1">
        <v>3.0013880000000004</v>
      </c>
      <c r="X331" s="1">
        <v>3.0764360000000006</v>
      </c>
      <c r="Y331" s="1">
        <f t="shared" si="15"/>
        <v>2.6703050000000004</v>
      </c>
      <c r="Z331" s="10"/>
      <c r="AA331" s="10"/>
      <c r="AB331" s="10"/>
      <c r="AC331" s="10"/>
      <c r="AD331" s="10"/>
      <c r="AE331" s="10"/>
      <c r="AF331" s="10"/>
      <c r="AG331" s="38">
        <f t="shared" si="16"/>
        <v>0</v>
      </c>
      <c r="AH331" s="51" t="str">
        <f t="shared" si="17"/>
        <v xml:space="preserve"> </v>
      </c>
      <c r="AI331" s="64"/>
      <c r="AJ331" s="1"/>
      <c r="AK331" s="65">
        <v>0</v>
      </c>
      <c r="AL331" s="1"/>
      <c r="AM331" s="1"/>
      <c r="AN331" s="81"/>
      <c r="AO331" s="81"/>
    </row>
    <row r="332" spans="1:41" s="26" customFormat="1" hidden="1" x14ac:dyDescent="0.25">
      <c r="A332" s="3" t="s">
        <v>1087</v>
      </c>
      <c r="B332" s="2" t="s">
        <v>172</v>
      </c>
      <c r="C332" s="21">
        <v>6</v>
      </c>
      <c r="D332" s="23">
        <v>250</v>
      </c>
      <c r="E332" s="23"/>
      <c r="F332" s="28"/>
      <c r="G332" s="3" t="s">
        <v>1088</v>
      </c>
      <c r="H332" s="6"/>
      <c r="I332" s="6"/>
      <c r="J332" s="6">
        <v>30</v>
      </c>
      <c r="K332" s="21"/>
      <c r="L332" s="21" t="s">
        <v>1083</v>
      </c>
      <c r="M332" s="6" t="s">
        <v>1089</v>
      </c>
      <c r="N332" s="6"/>
      <c r="O332" s="6" t="s">
        <v>380</v>
      </c>
      <c r="P332" s="6"/>
      <c r="Q332" s="27"/>
      <c r="R332" s="28" t="s">
        <v>946</v>
      </c>
      <c r="S332" s="6"/>
      <c r="T332" s="1">
        <v>2.6527500000000002</v>
      </c>
      <c r="U332" s="1">
        <v>2.0514600000000001</v>
      </c>
      <c r="V332" s="1">
        <v>2.9828700000000001</v>
      </c>
      <c r="W332" s="1">
        <v>2.6999100000000005</v>
      </c>
      <c r="X332" s="1">
        <v>2.8413900000000005</v>
      </c>
      <c r="Y332" s="1">
        <f t="shared" si="15"/>
        <v>2.6456760000000004</v>
      </c>
      <c r="Z332" s="10"/>
      <c r="AA332" s="10"/>
      <c r="AB332" s="10"/>
      <c r="AC332" s="10"/>
      <c r="AD332" s="10"/>
      <c r="AE332" s="10"/>
      <c r="AF332" s="10"/>
      <c r="AG332" s="38">
        <f t="shared" si="16"/>
        <v>0</v>
      </c>
      <c r="AH332" s="51" t="str">
        <f t="shared" si="17"/>
        <v xml:space="preserve"> </v>
      </c>
      <c r="AI332" s="64"/>
      <c r="AJ332" s="1"/>
      <c r="AK332" s="65">
        <v>0</v>
      </c>
      <c r="AL332" s="1"/>
      <c r="AM332" s="1"/>
      <c r="AN332" s="81"/>
      <c r="AO332" s="81"/>
    </row>
    <row r="333" spans="1:41" s="26" customFormat="1" hidden="1" x14ac:dyDescent="0.25">
      <c r="A333" s="3" t="s">
        <v>1090</v>
      </c>
      <c r="B333" s="2" t="s">
        <v>172</v>
      </c>
      <c r="C333" s="21">
        <v>8</v>
      </c>
      <c r="D333" s="23">
        <v>1200</v>
      </c>
      <c r="E333" s="23"/>
      <c r="F333" s="28"/>
      <c r="G333" s="3" t="s">
        <v>1024</v>
      </c>
      <c r="H333" s="4"/>
      <c r="I333" s="4" t="s">
        <v>942</v>
      </c>
      <c r="J333" s="4">
        <v>59</v>
      </c>
      <c r="K333" s="5"/>
      <c r="L333" s="5" t="s">
        <v>45</v>
      </c>
      <c r="M333" s="4" t="s">
        <v>240</v>
      </c>
      <c r="N333" s="4"/>
      <c r="O333" s="4" t="s">
        <v>380</v>
      </c>
      <c r="P333" s="4"/>
      <c r="Q333" s="24"/>
      <c r="R333" s="25" t="s">
        <v>946</v>
      </c>
      <c r="S333" s="4" t="s">
        <v>177</v>
      </c>
      <c r="T333" s="1">
        <v>0.67893800000000004</v>
      </c>
      <c r="U333" s="1">
        <v>2.0434479999999997</v>
      </c>
      <c r="V333" s="1">
        <v>2.3026880000000003</v>
      </c>
      <c r="W333" s="1">
        <v>2.3037390000000006</v>
      </c>
      <c r="X333" s="1">
        <v>2.4850200000000005</v>
      </c>
      <c r="Y333" s="1">
        <f t="shared" si="15"/>
        <v>1.9627666000000001</v>
      </c>
      <c r="Z333" s="10"/>
      <c r="AA333" s="10"/>
      <c r="AB333" s="10"/>
      <c r="AC333" s="10"/>
      <c r="AD333" s="10"/>
      <c r="AE333" s="10"/>
      <c r="AF333" s="10"/>
      <c r="AG333" s="38">
        <f t="shared" si="16"/>
        <v>0</v>
      </c>
      <c r="AH333" s="51" t="str">
        <f t="shared" si="17"/>
        <v xml:space="preserve"> </v>
      </c>
      <c r="AI333" s="64"/>
      <c r="AJ333" s="1"/>
      <c r="AK333" s="65">
        <v>0</v>
      </c>
      <c r="AL333" s="1"/>
      <c r="AM333" s="1"/>
      <c r="AN333" s="81"/>
      <c r="AO333" s="81"/>
    </row>
    <row r="334" spans="1:41" s="26" customFormat="1" hidden="1" x14ac:dyDescent="0.25">
      <c r="A334" s="22" t="s">
        <v>1091</v>
      </c>
      <c r="B334" s="2" t="s">
        <v>1017</v>
      </c>
      <c r="C334" s="21">
        <v>1.5</v>
      </c>
      <c r="D334" s="23">
        <v>1200</v>
      </c>
      <c r="E334" s="23"/>
      <c r="F334" s="28"/>
      <c r="G334" s="3" t="s">
        <v>1092</v>
      </c>
      <c r="H334" s="6"/>
      <c r="I334" s="6" t="s">
        <v>942</v>
      </c>
      <c r="J334" s="6">
        <v>69</v>
      </c>
      <c r="K334" s="21">
        <v>18</v>
      </c>
      <c r="L334" s="21" t="s">
        <v>45</v>
      </c>
      <c r="M334" s="6" t="s">
        <v>1054</v>
      </c>
      <c r="N334" s="6" t="s">
        <v>1093</v>
      </c>
      <c r="O334" s="6" t="s">
        <v>380</v>
      </c>
      <c r="P334" s="6"/>
      <c r="Q334" s="27"/>
      <c r="R334" s="28" t="s">
        <v>946</v>
      </c>
      <c r="S334" s="6" t="s">
        <v>177</v>
      </c>
      <c r="T334" s="1">
        <v>1.7976189999999999</v>
      </c>
      <c r="U334" s="1">
        <v>1.6111439999999997</v>
      </c>
      <c r="V334" s="1">
        <v>2.4167160000000001</v>
      </c>
      <c r="W334" s="1">
        <v>1.71557</v>
      </c>
      <c r="X334" s="1">
        <v>1.04426</v>
      </c>
      <c r="Y334" s="1">
        <f t="shared" si="15"/>
        <v>1.7170617999999997</v>
      </c>
      <c r="Z334" s="10"/>
      <c r="AA334" s="10"/>
      <c r="AB334" s="10"/>
      <c r="AC334" s="10"/>
      <c r="AD334" s="10"/>
      <c r="AE334" s="10"/>
      <c r="AF334" s="10"/>
      <c r="AG334" s="38">
        <f t="shared" si="16"/>
        <v>0</v>
      </c>
      <c r="AH334" s="51" t="str">
        <f t="shared" si="17"/>
        <v xml:space="preserve"> </v>
      </c>
      <c r="AI334" s="64"/>
      <c r="AJ334" s="1"/>
      <c r="AK334" s="65">
        <v>0</v>
      </c>
      <c r="AL334" s="1"/>
      <c r="AM334" s="1"/>
      <c r="AN334" s="81"/>
      <c r="AO334" s="81"/>
    </row>
    <row r="335" spans="1:41" s="26" customFormat="1" hidden="1" x14ac:dyDescent="0.25">
      <c r="A335" s="22" t="s">
        <v>1094</v>
      </c>
      <c r="B335" s="2" t="s">
        <v>172</v>
      </c>
      <c r="C335" s="21">
        <v>8</v>
      </c>
      <c r="D335" s="23">
        <v>1200</v>
      </c>
      <c r="E335" s="23"/>
      <c r="F335" s="28"/>
      <c r="G335" s="3" t="s">
        <v>1095</v>
      </c>
      <c r="H335" s="4"/>
      <c r="I335" s="6"/>
      <c r="J335" s="4">
        <v>63</v>
      </c>
      <c r="K335" s="5"/>
      <c r="L335" s="5" t="s">
        <v>191</v>
      </c>
      <c r="M335" s="4" t="s">
        <v>1054</v>
      </c>
      <c r="N335" s="4"/>
      <c r="O335" s="4" t="s">
        <v>380</v>
      </c>
      <c r="P335" s="4"/>
      <c r="Q335" s="24"/>
      <c r="R335" s="25" t="s">
        <v>946</v>
      </c>
      <c r="S335" s="6"/>
      <c r="T335" s="1">
        <v>1.6583999999999999</v>
      </c>
      <c r="U335" s="1">
        <v>0.82919999999999994</v>
      </c>
      <c r="V335" s="1">
        <v>2.4876</v>
      </c>
      <c r="W335" s="1">
        <v>1.6583999999999999</v>
      </c>
      <c r="X335" s="1">
        <v>1.6583999999999999</v>
      </c>
      <c r="Y335" s="1">
        <f t="shared" si="15"/>
        <v>1.6583999999999999</v>
      </c>
      <c r="Z335" s="10"/>
      <c r="AA335" s="10"/>
      <c r="AB335" s="10"/>
      <c r="AC335" s="10"/>
      <c r="AD335" s="10"/>
      <c r="AE335" s="10"/>
      <c r="AF335" s="10"/>
      <c r="AG335" s="38">
        <f t="shared" si="16"/>
        <v>0</v>
      </c>
      <c r="AH335" s="51" t="str">
        <f t="shared" si="17"/>
        <v xml:space="preserve"> </v>
      </c>
      <c r="AI335" s="64"/>
      <c r="AJ335" s="1"/>
      <c r="AK335" s="65">
        <v>0</v>
      </c>
      <c r="AL335" s="1"/>
      <c r="AM335" s="1"/>
      <c r="AN335" s="81"/>
      <c r="AO335" s="81"/>
    </row>
    <row r="336" spans="1:41" s="26" customFormat="1" hidden="1" x14ac:dyDescent="0.25">
      <c r="A336" s="3" t="s">
        <v>430</v>
      </c>
      <c r="B336" s="2"/>
      <c r="C336" s="21"/>
      <c r="D336" s="23"/>
      <c r="E336" s="23"/>
      <c r="F336" s="28" t="s">
        <v>432</v>
      </c>
      <c r="G336" s="3"/>
      <c r="H336" s="4"/>
      <c r="I336" s="6"/>
      <c r="J336" s="4"/>
      <c r="K336" s="5"/>
      <c r="L336" s="5" t="s">
        <v>45</v>
      </c>
      <c r="M336" s="4" t="s">
        <v>240</v>
      </c>
      <c r="N336" s="4"/>
      <c r="O336" s="4" t="s">
        <v>380</v>
      </c>
      <c r="P336" s="4"/>
      <c r="Q336" s="24"/>
      <c r="R336" s="25" t="s">
        <v>946</v>
      </c>
      <c r="S336" s="6" t="s">
        <v>177</v>
      </c>
      <c r="T336" s="1">
        <v>1.2027600000000003</v>
      </c>
      <c r="U336" s="1">
        <v>0.54325500000000004</v>
      </c>
      <c r="V336" s="1">
        <v>1.4909850000000002</v>
      </c>
      <c r="W336" s="1">
        <v>3.5324040000000001</v>
      </c>
      <c r="X336" s="1">
        <v>1.1568750000000001</v>
      </c>
      <c r="Y336" s="1">
        <f t="shared" si="15"/>
        <v>1.5852558000000001</v>
      </c>
      <c r="Z336" s="10"/>
      <c r="AA336" s="10"/>
      <c r="AB336" s="10"/>
      <c r="AC336" s="10"/>
      <c r="AD336" s="10"/>
      <c r="AE336" s="10"/>
      <c r="AF336" s="10"/>
      <c r="AG336" s="38">
        <f t="shared" si="16"/>
        <v>0</v>
      </c>
      <c r="AH336" s="51" t="str">
        <f t="shared" si="17"/>
        <v xml:space="preserve"> </v>
      </c>
      <c r="AI336" s="64"/>
      <c r="AJ336" s="1"/>
      <c r="AK336" s="65">
        <v>0</v>
      </c>
      <c r="AL336" s="1"/>
      <c r="AM336" s="1"/>
      <c r="AN336" s="81"/>
      <c r="AO336" s="81"/>
    </row>
    <row r="337" spans="1:41" s="26" customFormat="1" hidden="1" x14ac:dyDescent="0.25">
      <c r="A337" s="22" t="s">
        <v>1096</v>
      </c>
      <c r="B337" s="2" t="s">
        <v>1017</v>
      </c>
      <c r="C337" s="21">
        <v>1.5</v>
      </c>
      <c r="D337" s="23">
        <v>1030</v>
      </c>
      <c r="E337" s="23"/>
      <c r="F337" s="28"/>
      <c r="G337" s="3" t="s">
        <v>1092</v>
      </c>
      <c r="H337" s="6"/>
      <c r="I337" s="6" t="s">
        <v>953</v>
      </c>
      <c r="J337" s="6">
        <v>69</v>
      </c>
      <c r="K337" s="21">
        <v>19</v>
      </c>
      <c r="L337" s="21" t="s">
        <v>45</v>
      </c>
      <c r="M337" s="6" t="s">
        <v>1054</v>
      </c>
      <c r="N337" s="6" t="s">
        <v>1093</v>
      </c>
      <c r="O337" s="6" t="s">
        <v>380</v>
      </c>
      <c r="P337" s="6"/>
      <c r="Q337" s="27"/>
      <c r="R337" s="28" t="s">
        <v>946</v>
      </c>
      <c r="S337" s="6" t="s">
        <v>177</v>
      </c>
      <c r="T337" s="1">
        <v>1.0814820000000001</v>
      </c>
      <c r="U337" s="1">
        <v>1.4628200000000002</v>
      </c>
      <c r="V337" s="1">
        <v>0.98892800000000014</v>
      </c>
      <c r="W337" s="1">
        <v>2.1691930000000004</v>
      </c>
      <c r="X337" s="1">
        <v>2.0604769999999997</v>
      </c>
      <c r="Y337" s="1">
        <f t="shared" si="15"/>
        <v>1.5525800000000001</v>
      </c>
      <c r="Z337" s="10"/>
      <c r="AA337" s="10"/>
      <c r="AB337" s="10"/>
      <c r="AC337" s="10"/>
      <c r="AD337" s="10"/>
      <c r="AE337" s="10"/>
      <c r="AF337" s="10"/>
      <c r="AG337" s="38">
        <f t="shared" si="16"/>
        <v>0</v>
      </c>
      <c r="AH337" s="51" t="str">
        <f t="shared" si="17"/>
        <v xml:space="preserve"> </v>
      </c>
      <c r="AI337" s="64"/>
      <c r="AJ337" s="1"/>
      <c r="AK337" s="65">
        <v>0</v>
      </c>
      <c r="AL337" s="1"/>
      <c r="AM337" s="1"/>
      <c r="AN337" s="81"/>
      <c r="AO337" s="81"/>
    </row>
    <row r="338" spans="1:41" s="26" customFormat="1" hidden="1" x14ac:dyDescent="0.25">
      <c r="A338" s="3" t="s">
        <v>857</v>
      </c>
      <c r="B338" s="2" t="s">
        <v>172</v>
      </c>
      <c r="C338" s="21">
        <v>4</v>
      </c>
      <c r="D338" s="6">
        <v>1200</v>
      </c>
      <c r="E338" s="23"/>
      <c r="F338" s="28"/>
      <c r="G338" s="3" t="s">
        <v>1097</v>
      </c>
      <c r="H338" s="6"/>
      <c r="I338" s="6"/>
      <c r="J338" s="6">
        <v>30</v>
      </c>
      <c r="K338" s="21"/>
      <c r="L338" s="21" t="s">
        <v>1083</v>
      </c>
      <c r="M338" s="6" t="s">
        <v>260</v>
      </c>
      <c r="N338" s="6"/>
      <c r="O338" s="6" t="s">
        <v>380</v>
      </c>
      <c r="P338" s="6"/>
      <c r="Q338" s="27"/>
      <c r="R338" s="28" t="s">
        <v>946</v>
      </c>
      <c r="S338" s="6"/>
      <c r="T338" s="1">
        <v>0.133322</v>
      </c>
      <c r="U338" s="1">
        <v>0.12425</v>
      </c>
      <c r="V338" s="1">
        <v>1.9765000000000001</v>
      </c>
      <c r="W338" s="1">
        <v>5.3096810000000003</v>
      </c>
      <c r="X338" s="1">
        <v>0.112124</v>
      </c>
      <c r="Y338" s="1">
        <f t="shared" si="15"/>
        <v>1.5311754</v>
      </c>
      <c r="Z338" s="10"/>
      <c r="AA338" s="10"/>
      <c r="AB338" s="10"/>
      <c r="AC338" s="10"/>
      <c r="AD338" s="10"/>
      <c r="AE338" s="10"/>
      <c r="AF338" s="10"/>
      <c r="AG338" s="38">
        <f t="shared" si="16"/>
        <v>0</v>
      </c>
      <c r="AH338" s="51" t="str">
        <f t="shared" si="17"/>
        <v xml:space="preserve"> </v>
      </c>
      <c r="AI338" s="64"/>
      <c r="AJ338" s="1"/>
      <c r="AK338" s="65">
        <v>0</v>
      </c>
      <c r="AL338" s="1"/>
      <c r="AM338" s="1"/>
      <c r="AN338" s="81"/>
      <c r="AO338" s="81"/>
    </row>
    <row r="339" spans="1:41" s="26" customFormat="1" hidden="1" x14ac:dyDescent="0.25">
      <c r="A339" s="22" t="s">
        <v>1098</v>
      </c>
      <c r="B339" s="2" t="s">
        <v>172</v>
      </c>
      <c r="C339" s="21">
        <v>3</v>
      </c>
      <c r="D339" s="23">
        <v>1200</v>
      </c>
      <c r="E339" s="23"/>
      <c r="F339" s="28"/>
      <c r="G339" s="3" t="s">
        <v>1099</v>
      </c>
      <c r="H339" s="6"/>
      <c r="I339" s="6"/>
      <c r="J339" s="6">
        <v>30</v>
      </c>
      <c r="K339" s="21"/>
      <c r="L339" s="21" t="s">
        <v>1100</v>
      </c>
      <c r="M339" s="6" t="s">
        <v>260</v>
      </c>
      <c r="N339" s="6"/>
      <c r="O339" s="6" t="s">
        <v>380</v>
      </c>
      <c r="P339" s="6"/>
      <c r="Q339" s="27"/>
      <c r="R339" s="28" t="s">
        <v>946</v>
      </c>
      <c r="S339" s="6"/>
      <c r="T339" s="1">
        <v>0</v>
      </c>
      <c r="U339" s="1">
        <v>0.59279999999999999</v>
      </c>
      <c r="V339" s="1">
        <v>2.2229999999999999</v>
      </c>
      <c r="W339" s="1">
        <v>1.7784</v>
      </c>
      <c r="X339" s="1">
        <v>2.0748000000000002</v>
      </c>
      <c r="Y339" s="1">
        <f t="shared" si="15"/>
        <v>1.3338000000000001</v>
      </c>
      <c r="Z339" s="10"/>
      <c r="AA339" s="10"/>
      <c r="AB339" s="10"/>
      <c r="AC339" s="10"/>
      <c r="AD339" s="10"/>
      <c r="AE339" s="10"/>
      <c r="AF339" s="10"/>
      <c r="AG339" s="38">
        <f t="shared" si="16"/>
        <v>0</v>
      </c>
      <c r="AH339" s="51" t="str">
        <f t="shared" si="17"/>
        <v xml:space="preserve"> </v>
      </c>
      <c r="AI339" s="64"/>
      <c r="AJ339" s="1"/>
      <c r="AK339" s="65">
        <v>0</v>
      </c>
      <c r="AL339" s="1"/>
      <c r="AM339" s="1"/>
      <c r="AN339" s="81"/>
      <c r="AO339" s="81"/>
    </row>
    <row r="340" spans="1:41" s="26" customFormat="1" hidden="1" x14ac:dyDescent="0.25">
      <c r="A340" s="3" t="s">
        <v>1101</v>
      </c>
      <c r="B340" s="2" t="s">
        <v>172</v>
      </c>
      <c r="C340" s="21">
        <v>6</v>
      </c>
      <c r="D340" s="23">
        <v>1100</v>
      </c>
      <c r="E340" s="23"/>
      <c r="F340" s="28"/>
      <c r="G340" s="3" t="s">
        <v>1102</v>
      </c>
      <c r="H340" s="6"/>
      <c r="I340" s="6"/>
      <c r="J340" s="6">
        <v>30</v>
      </c>
      <c r="K340" s="21"/>
      <c r="L340" s="21" t="s">
        <v>1075</v>
      </c>
      <c r="M340" s="6" t="s">
        <v>260</v>
      </c>
      <c r="N340" s="6"/>
      <c r="O340" s="6" t="s">
        <v>380</v>
      </c>
      <c r="P340" s="6"/>
      <c r="Q340" s="27"/>
      <c r="R340" s="28" t="s">
        <v>946</v>
      </c>
      <c r="S340" s="6"/>
      <c r="T340" s="1">
        <v>0.55078399999999994</v>
      </c>
      <c r="U340" s="1">
        <v>0.819882</v>
      </c>
      <c r="V340" s="1">
        <v>1.8877350000000002</v>
      </c>
      <c r="W340" s="1">
        <v>1.8323929999999999</v>
      </c>
      <c r="X340" s="1">
        <v>1.4162059999999999</v>
      </c>
      <c r="Y340" s="1">
        <f t="shared" si="15"/>
        <v>1.3013999999999999</v>
      </c>
      <c r="Z340" s="10"/>
      <c r="AA340" s="10"/>
      <c r="AB340" s="10"/>
      <c r="AC340" s="10"/>
      <c r="AD340" s="10"/>
      <c r="AE340" s="10"/>
      <c r="AF340" s="10"/>
      <c r="AG340" s="38">
        <f t="shared" si="16"/>
        <v>0</v>
      </c>
      <c r="AH340" s="51" t="str">
        <f t="shared" si="17"/>
        <v xml:space="preserve"> </v>
      </c>
      <c r="AI340" s="64"/>
      <c r="AJ340" s="1"/>
      <c r="AK340" s="65">
        <v>0</v>
      </c>
      <c r="AL340" s="1"/>
      <c r="AM340" s="1"/>
      <c r="AN340" s="81"/>
      <c r="AO340" s="81"/>
    </row>
    <row r="341" spans="1:41" s="26" customFormat="1" hidden="1" x14ac:dyDescent="0.25">
      <c r="A341" s="22" t="s">
        <v>1103</v>
      </c>
      <c r="B341" s="2" t="s">
        <v>172</v>
      </c>
      <c r="C341" s="21">
        <v>3</v>
      </c>
      <c r="D341" s="23">
        <v>1150</v>
      </c>
      <c r="E341" s="23"/>
      <c r="F341" s="28"/>
      <c r="G341" s="3" t="s">
        <v>1104</v>
      </c>
      <c r="H341" s="4"/>
      <c r="I341" s="4"/>
      <c r="J341" s="4">
        <v>30</v>
      </c>
      <c r="K341" s="5"/>
      <c r="L341" s="5" t="s">
        <v>1075</v>
      </c>
      <c r="M341" s="4" t="s">
        <v>534</v>
      </c>
      <c r="N341" s="4"/>
      <c r="O341" s="4" t="s">
        <v>380</v>
      </c>
      <c r="P341" s="4"/>
      <c r="Q341" s="24"/>
      <c r="R341" s="25" t="s">
        <v>946</v>
      </c>
      <c r="S341" s="4"/>
      <c r="T341" s="1">
        <v>1.1233599999999999</v>
      </c>
      <c r="U341" s="1">
        <v>0.99497599999999986</v>
      </c>
      <c r="V341" s="1">
        <v>1.476416</v>
      </c>
      <c r="W341" s="1">
        <v>1.3480319999999999</v>
      </c>
      <c r="X341" s="1">
        <v>1.4122239999999999</v>
      </c>
      <c r="Y341" s="1">
        <f t="shared" si="15"/>
        <v>1.2710016</v>
      </c>
      <c r="Z341" s="10"/>
      <c r="AA341" s="10"/>
      <c r="AB341" s="10"/>
      <c r="AC341" s="10"/>
      <c r="AD341" s="10"/>
      <c r="AE341" s="10"/>
      <c r="AF341" s="10"/>
      <c r="AG341" s="38">
        <f t="shared" si="16"/>
        <v>0</v>
      </c>
      <c r="AH341" s="51" t="str">
        <f t="shared" si="17"/>
        <v xml:space="preserve"> </v>
      </c>
      <c r="AI341" s="64"/>
      <c r="AJ341" s="1"/>
      <c r="AK341" s="65">
        <v>0</v>
      </c>
      <c r="AL341" s="1"/>
      <c r="AM341" s="1"/>
      <c r="AN341" s="81"/>
      <c r="AO341" s="81"/>
    </row>
    <row r="342" spans="1:41" s="26" customFormat="1" hidden="1" x14ac:dyDescent="0.25">
      <c r="A342" s="22" t="s">
        <v>1105</v>
      </c>
      <c r="B342" s="2" t="s">
        <v>172</v>
      </c>
      <c r="C342" s="21">
        <v>3</v>
      </c>
      <c r="D342" s="23">
        <v>1200</v>
      </c>
      <c r="E342" s="23"/>
      <c r="F342" s="28"/>
      <c r="G342" s="3" t="s">
        <v>1000</v>
      </c>
      <c r="H342" s="6"/>
      <c r="I342" s="6"/>
      <c r="J342" s="6">
        <v>30</v>
      </c>
      <c r="K342" s="21"/>
      <c r="L342" s="21" t="s">
        <v>1075</v>
      </c>
      <c r="M342" s="6" t="s">
        <v>534</v>
      </c>
      <c r="N342" s="6"/>
      <c r="O342" s="6" t="s">
        <v>380</v>
      </c>
      <c r="P342" s="6"/>
      <c r="Q342" s="27"/>
      <c r="R342" s="28" t="s">
        <v>946</v>
      </c>
      <c r="S342" s="6"/>
      <c r="T342" s="1">
        <v>0.62863999999999998</v>
      </c>
      <c r="U342" s="1">
        <v>1.034656</v>
      </c>
      <c r="V342" s="1">
        <v>1.496864</v>
      </c>
      <c r="W342" s="1">
        <v>1.3650039999999999</v>
      </c>
      <c r="X342" s="1">
        <v>1.4459579999999999</v>
      </c>
      <c r="Y342" s="1">
        <f t="shared" si="15"/>
        <v>1.1942244</v>
      </c>
      <c r="Z342" s="10"/>
      <c r="AA342" s="10"/>
      <c r="AB342" s="10"/>
      <c r="AC342" s="10"/>
      <c r="AD342" s="10"/>
      <c r="AE342" s="10"/>
      <c r="AF342" s="10"/>
      <c r="AG342" s="38">
        <f t="shared" si="16"/>
        <v>0</v>
      </c>
      <c r="AH342" s="51" t="str">
        <f t="shared" si="17"/>
        <v xml:space="preserve"> </v>
      </c>
      <c r="AI342" s="64"/>
      <c r="AJ342" s="1"/>
      <c r="AK342" s="65">
        <v>0</v>
      </c>
      <c r="AL342" s="1"/>
      <c r="AM342" s="1"/>
      <c r="AN342" s="81"/>
      <c r="AO342" s="81"/>
    </row>
    <row r="343" spans="1:41" s="26" customFormat="1" hidden="1" x14ac:dyDescent="0.25">
      <c r="A343" s="3" t="s">
        <v>1106</v>
      </c>
      <c r="B343" s="2" t="s">
        <v>172</v>
      </c>
      <c r="C343" s="21">
        <v>4</v>
      </c>
      <c r="D343" s="23">
        <v>1350</v>
      </c>
      <c r="E343" s="23"/>
      <c r="F343" s="28"/>
      <c r="G343" s="3" t="s">
        <v>1060</v>
      </c>
      <c r="H343" s="4"/>
      <c r="I343" s="6" t="s">
        <v>942</v>
      </c>
      <c r="J343" s="4">
        <v>59</v>
      </c>
      <c r="K343" s="5">
        <v>26</v>
      </c>
      <c r="L343" s="5" t="s">
        <v>1075</v>
      </c>
      <c r="M343" s="4" t="s">
        <v>1078</v>
      </c>
      <c r="N343" s="4"/>
      <c r="O343" s="4" t="s">
        <v>380</v>
      </c>
      <c r="P343" s="4"/>
      <c r="Q343" s="24"/>
      <c r="R343" s="25" t="s">
        <v>946</v>
      </c>
      <c r="S343" s="6" t="s">
        <v>177</v>
      </c>
      <c r="T343" s="1">
        <v>0.513625</v>
      </c>
      <c r="U343" s="1">
        <v>0.69265999999999994</v>
      </c>
      <c r="V343" s="1">
        <v>1.27806</v>
      </c>
      <c r="W343" s="1">
        <v>2.3162089999999997</v>
      </c>
      <c r="X343" s="1">
        <v>0.94598000000000004</v>
      </c>
      <c r="Y343" s="1">
        <f t="shared" ref="Y343:Y406" si="18">AVERAGE(T343:X343)</f>
        <v>1.1493068000000002</v>
      </c>
      <c r="Z343" s="10"/>
      <c r="AA343" s="10"/>
      <c r="AB343" s="10"/>
      <c r="AC343" s="10"/>
      <c r="AD343" s="10"/>
      <c r="AE343" s="10"/>
      <c r="AF343" s="10"/>
      <c r="AG343" s="38">
        <f t="shared" ref="AG343:AG406" si="19">COUNTIF(Z343:AF343,"X")/7</f>
        <v>0</v>
      </c>
      <c r="AH343" s="51" t="str">
        <f t="shared" ref="AH343:AH406" si="20">IF(AG343=100%,Y343," ")</f>
        <v xml:space="preserve"> </v>
      </c>
      <c r="AI343" s="64"/>
      <c r="AJ343" s="1"/>
      <c r="AK343" s="65">
        <v>0</v>
      </c>
      <c r="AL343" s="1"/>
      <c r="AM343" s="1"/>
      <c r="AN343" s="81"/>
      <c r="AO343" s="81"/>
    </row>
    <row r="344" spans="1:41" s="26" customFormat="1" hidden="1" x14ac:dyDescent="0.25">
      <c r="A344" s="22" t="s">
        <v>1107</v>
      </c>
      <c r="B344" s="2" t="s">
        <v>172</v>
      </c>
      <c r="C344" s="21">
        <v>0.7</v>
      </c>
      <c r="D344" s="23">
        <v>101</v>
      </c>
      <c r="E344" s="23">
        <v>25</v>
      </c>
      <c r="F344" s="77">
        <v>3.5000000000000003E-2</v>
      </c>
      <c r="G344" s="3" t="s">
        <v>1108</v>
      </c>
      <c r="H344" s="6"/>
      <c r="I344" s="6"/>
      <c r="J344" s="6">
        <v>30</v>
      </c>
      <c r="K344" s="21"/>
      <c r="L344" s="21" t="s">
        <v>1075</v>
      </c>
      <c r="M344" s="6" t="s">
        <v>260</v>
      </c>
      <c r="N344" s="6"/>
      <c r="O344" s="6" t="s">
        <v>380</v>
      </c>
      <c r="P344" s="6"/>
      <c r="Q344" s="27"/>
      <c r="R344" s="28" t="s">
        <v>946</v>
      </c>
      <c r="S344" s="6"/>
      <c r="T344" s="1">
        <v>0.26402399999999998</v>
      </c>
      <c r="U344" s="1">
        <v>1.7601599999999999</v>
      </c>
      <c r="V344" s="1">
        <v>1.584144</v>
      </c>
      <c r="W344" s="1">
        <v>1.144104</v>
      </c>
      <c r="X344" s="1">
        <v>0.96808799999999995</v>
      </c>
      <c r="Y344" s="1">
        <f t="shared" si="18"/>
        <v>1.144104</v>
      </c>
      <c r="Z344" s="10"/>
      <c r="AA344" s="10"/>
      <c r="AB344" s="10"/>
      <c r="AC344" s="10"/>
      <c r="AD344" s="10"/>
      <c r="AE344" s="10"/>
      <c r="AF344" s="10"/>
      <c r="AG344" s="38">
        <f t="shared" si="19"/>
        <v>0</v>
      </c>
      <c r="AH344" s="51" t="str">
        <f t="shared" si="20"/>
        <v xml:space="preserve"> </v>
      </c>
      <c r="AI344" s="64"/>
      <c r="AJ344" s="1"/>
      <c r="AK344" s="65">
        <v>0</v>
      </c>
      <c r="AL344" s="1"/>
      <c r="AM344" s="1"/>
      <c r="AN344" s="81"/>
      <c r="AO344" s="81"/>
    </row>
    <row r="345" spans="1:41" s="26" customFormat="1" hidden="1" x14ac:dyDescent="0.25">
      <c r="A345" s="3" t="s">
        <v>1109</v>
      </c>
      <c r="B345" s="2" t="s">
        <v>172</v>
      </c>
      <c r="C345" s="21">
        <v>9.5</v>
      </c>
      <c r="D345" s="23">
        <v>1200</v>
      </c>
      <c r="E345" s="23"/>
      <c r="F345" s="28"/>
      <c r="G345" s="3" t="s">
        <v>1026</v>
      </c>
      <c r="H345" s="4"/>
      <c r="I345" s="4" t="s">
        <v>942</v>
      </c>
      <c r="J345" s="4">
        <v>59</v>
      </c>
      <c r="K345" s="5"/>
      <c r="L345" s="5" t="s">
        <v>1075</v>
      </c>
      <c r="M345" s="4" t="s">
        <v>1110</v>
      </c>
      <c r="N345" s="4"/>
      <c r="O345" s="4" t="s">
        <v>380</v>
      </c>
      <c r="P345" s="4"/>
      <c r="Q345" s="24"/>
      <c r="R345" s="25" t="s">
        <v>946</v>
      </c>
      <c r="S345" s="4" t="s">
        <v>177</v>
      </c>
      <c r="T345" s="1">
        <v>0.19603999999999996</v>
      </c>
      <c r="U345" s="1">
        <v>0.60305099999999989</v>
      </c>
      <c r="V345" s="1">
        <v>2.1315740000000005</v>
      </c>
      <c r="W345" s="1">
        <v>1.2734700000000001</v>
      </c>
      <c r="X345" s="1">
        <v>1.499622</v>
      </c>
      <c r="Y345" s="1">
        <f t="shared" si="18"/>
        <v>1.1407514000000003</v>
      </c>
      <c r="Z345" s="10"/>
      <c r="AA345" s="10"/>
      <c r="AB345" s="10"/>
      <c r="AC345" s="10"/>
      <c r="AD345" s="10"/>
      <c r="AE345" s="10"/>
      <c r="AF345" s="10"/>
      <c r="AG345" s="38">
        <f t="shared" si="19"/>
        <v>0</v>
      </c>
      <c r="AH345" s="51" t="str">
        <f t="shared" si="20"/>
        <v xml:space="preserve"> </v>
      </c>
      <c r="AI345" s="64"/>
      <c r="AJ345" s="1"/>
      <c r="AK345" s="65">
        <v>0</v>
      </c>
      <c r="AL345" s="1"/>
      <c r="AM345" s="1"/>
      <c r="AN345" s="81"/>
      <c r="AO345" s="81"/>
    </row>
    <row r="346" spans="1:41" s="26" customFormat="1" hidden="1" x14ac:dyDescent="0.25">
      <c r="A346" s="3" t="s">
        <v>848</v>
      </c>
      <c r="B346" s="2" t="s">
        <v>172</v>
      </c>
      <c r="C346" s="21">
        <v>3</v>
      </c>
      <c r="D346" s="23">
        <v>1200</v>
      </c>
      <c r="E346" s="23"/>
      <c r="F346" s="28"/>
      <c r="G346" s="3" t="s">
        <v>1026</v>
      </c>
      <c r="H346" s="4"/>
      <c r="I346" s="6" t="s">
        <v>942</v>
      </c>
      <c r="J346" s="4">
        <v>59</v>
      </c>
      <c r="K346" s="5"/>
      <c r="L346" s="5" t="s">
        <v>45</v>
      </c>
      <c r="M346" s="4" t="s">
        <v>240</v>
      </c>
      <c r="N346" s="4"/>
      <c r="O346" s="4" t="s">
        <v>380</v>
      </c>
      <c r="P346" s="4"/>
      <c r="Q346" s="24"/>
      <c r="R346" s="25" t="s">
        <v>946</v>
      </c>
      <c r="S346" s="4" t="s">
        <v>177</v>
      </c>
      <c r="T346" s="1">
        <v>0.44255</v>
      </c>
      <c r="U346" s="1">
        <v>1.3843840000000001</v>
      </c>
      <c r="V346" s="1">
        <v>1.132538</v>
      </c>
      <c r="W346" s="1">
        <v>1.5112719999999999</v>
      </c>
      <c r="X346" s="1">
        <v>1.1362319999999999</v>
      </c>
      <c r="Y346" s="1">
        <f t="shared" si="18"/>
        <v>1.1213951999999998</v>
      </c>
      <c r="Z346" s="10"/>
      <c r="AA346" s="10"/>
      <c r="AB346" s="10"/>
      <c r="AC346" s="10"/>
      <c r="AD346" s="10"/>
      <c r="AE346" s="10"/>
      <c r="AF346" s="10"/>
      <c r="AG346" s="38">
        <f t="shared" si="19"/>
        <v>0</v>
      </c>
      <c r="AH346" s="51" t="str">
        <f t="shared" si="20"/>
        <v xml:space="preserve"> </v>
      </c>
      <c r="AI346" s="64"/>
      <c r="AJ346" s="1"/>
      <c r="AK346" s="65">
        <v>0</v>
      </c>
      <c r="AL346" s="1"/>
      <c r="AM346" s="1"/>
      <c r="AN346" s="81"/>
      <c r="AO346" s="81"/>
    </row>
    <row r="347" spans="1:41" s="26" customFormat="1" hidden="1" x14ac:dyDescent="0.25">
      <c r="A347" s="22" t="s">
        <v>1111</v>
      </c>
      <c r="B347" s="2" t="s">
        <v>172</v>
      </c>
      <c r="C347" s="21">
        <v>12</v>
      </c>
      <c r="D347" s="23">
        <v>1100</v>
      </c>
      <c r="E347" s="23"/>
      <c r="F347" s="28"/>
      <c r="G347" s="3" t="s">
        <v>1112</v>
      </c>
      <c r="H347" s="4"/>
      <c r="I347" s="4"/>
      <c r="J347" s="4"/>
      <c r="K347" s="5"/>
      <c r="L347" s="5" t="s">
        <v>1075</v>
      </c>
      <c r="M347" s="4" t="s">
        <v>240</v>
      </c>
      <c r="N347" s="4"/>
      <c r="O347" s="4"/>
      <c r="P347" s="4"/>
      <c r="Q347" s="24"/>
      <c r="R347" s="25" t="s">
        <v>946</v>
      </c>
      <c r="S347" s="4"/>
      <c r="T347" s="1">
        <v>2.1799079999999997</v>
      </c>
      <c r="U347" s="1">
        <v>0</v>
      </c>
      <c r="V347" s="1">
        <v>0.611904</v>
      </c>
      <c r="W347" s="1">
        <v>1.223808</v>
      </c>
      <c r="X347" s="1">
        <v>1.52976</v>
      </c>
      <c r="Y347" s="1">
        <f t="shared" si="18"/>
        <v>1.109076</v>
      </c>
      <c r="Z347" s="10"/>
      <c r="AA347" s="10"/>
      <c r="AB347" s="10"/>
      <c r="AC347" s="10"/>
      <c r="AD347" s="10"/>
      <c r="AE347" s="10"/>
      <c r="AF347" s="10"/>
      <c r="AG347" s="38">
        <f t="shared" si="19"/>
        <v>0</v>
      </c>
      <c r="AH347" s="51" t="str">
        <f t="shared" si="20"/>
        <v xml:space="preserve"> </v>
      </c>
      <c r="AI347" s="64"/>
      <c r="AJ347" s="1"/>
      <c r="AK347" s="65">
        <v>0</v>
      </c>
      <c r="AL347" s="1"/>
      <c r="AM347" s="1"/>
      <c r="AN347" s="81"/>
      <c r="AO347" s="81"/>
    </row>
    <row r="348" spans="1:41" s="26" customFormat="1" hidden="1" x14ac:dyDescent="0.25">
      <c r="A348" s="3" t="s">
        <v>1113</v>
      </c>
      <c r="B348" s="2" t="s">
        <v>172</v>
      </c>
      <c r="C348" s="21">
        <v>8</v>
      </c>
      <c r="D348" s="23">
        <v>1200</v>
      </c>
      <c r="E348" s="23"/>
      <c r="F348" s="28"/>
      <c r="G348" s="3" t="s">
        <v>1024</v>
      </c>
      <c r="H348" s="4"/>
      <c r="I348" s="4" t="s">
        <v>942</v>
      </c>
      <c r="J348" s="4">
        <v>59</v>
      </c>
      <c r="K348" s="5"/>
      <c r="L348" s="5" t="s">
        <v>45</v>
      </c>
      <c r="M348" s="4" t="s">
        <v>240</v>
      </c>
      <c r="N348" s="4"/>
      <c r="O348" s="4" t="s">
        <v>380</v>
      </c>
      <c r="P348" s="4"/>
      <c r="Q348" s="24"/>
      <c r="R348" s="25" t="s">
        <v>946</v>
      </c>
      <c r="S348" s="4" t="s">
        <v>177</v>
      </c>
      <c r="T348" s="1">
        <v>0.58589000000000002</v>
      </c>
      <c r="U348" s="1">
        <v>0.67281999999999997</v>
      </c>
      <c r="V348" s="1">
        <v>1.47096</v>
      </c>
      <c r="W348" s="1">
        <v>1.251674</v>
      </c>
      <c r="X348" s="1">
        <v>1.3259580000000002</v>
      </c>
      <c r="Y348" s="1">
        <f t="shared" si="18"/>
        <v>1.0614604000000001</v>
      </c>
      <c r="Z348" s="10"/>
      <c r="AA348" s="10"/>
      <c r="AB348" s="10"/>
      <c r="AC348" s="10"/>
      <c r="AD348" s="10"/>
      <c r="AE348" s="10"/>
      <c r="AF348" s="10"/>
      <c r="AG348" s="38">
        <f t="shared" si="19"/>
        <v>0</v>
      </c>
      <c r="AH348" s="51" t="str">
        <f t="shared" si="20"/>
        <v xml:space="preserve"> </v>
      </c>
      <c r="AI348" s="64"/>
      <c r="AJ348" s="1"/>
      <c r="AK348" s="65">
        <v>0</v>
      </c>
      <c r="AL348" s="1"/>
      <c r="AM348" s="1"/>
      <c r="AN348" s="81"/>
      <c r="AO348" s="81"/>
    </row>
    <row r="349" spans="1:41" s="26" customFormat="1" hidden="1" x14ac:dyDescent="0.25">
      <c r="A349" s="22" t="s">
        <v>1114</v>
      </c>
      <c r="B349" s="2" t="s">
        <v>172</v>
      </c>
      <c r="C349" s="21">
        <v>0.7</v>
      </c>
      <c r="D349" s="23">
        <v>60</v>
      </c>
      <c r="E349" s="23">
        <v>70</v>
      </c>
      <c r="F349" s="77">
        <v>3.5000000000000003E-2</v>
      </c>
      <c r="G349" s="3" t="s">
        <v>1097</v>
      </c>
      <c r="H349" s="4"/>
      <c r="I349" s="6"/>
      <c r="J349" s="4">
        <v>30</v>
      </c>
      <c r="K349" s="5"/>
      <c r="L349" s="5" t="s">
        <v>1075</v>
      </c>
      <c r="M349" s="4" t="s">
        <v>260</v>
      </c>
      <c r="N349" s="4"/>
      <c r="O349" s="4" t="s">
        <v>380</v>
      </c>
      <c r="P349" s="4"/>
      <c r="Q349" s="24"/>
      <c r="R349" s="25" t="s">
        <v>946</v>
      </c>
      <c r="S349" s="6"/>
      <c r="T349" s="1">
        <v>1.0863720000000001</v>
      </c>
      <c r="U349" s="1">
        <v>0.57479999999999998</v>
      </c>
      <c r="V349" s="1">
        <v>0.95799999999999996</v>
      </c>
      <c r="W349" s="1">
        <v>1.5749519999999999</v>
      </c>
      <c r="X349" s="1">
        <v>0.81621600000000005</v>
      </c>
      <c r="Y349" s="1">
        <f t="shared" si="18"/>
        <v>1.002068</v>
      </c>
      <c r="Z349" s="10"/>
      <c r="AA349" s="10"/>
      <c r="AB349" s="10"/>
      <c r="AC349" s="10"/>
      <c r="AD349" s="10"/>
      <c r="AE349" s="10"/>
      <c r="AF349" s="10"/>
      <c r="AG349" s="38">
        <f t="shared" si="19"/>
        <v>0</v>
      </c>
      <c r="AH349" s="51" t="str">
        <f t="shared" si="20"/>
        <v xml:space="preserve"> </v>
      </c>
      <c r="AI349" s="64"/>
      <c r="AJ349" s="1"/>
      <c r="AK349" s="65">
        <v>0</v>
      </c>
      <c r="AL349" s="1"/>
      <c r="AM349" s="1"/>
      <c r="AN349" s="81"/>
      <c r="AO349" s="81"/>
    </row>
    <row r="350" spans="1:41" s="26" customFormat="1" hidden="1" x14ac:dyDescent="0.25">
      <c r="A350" s="3" t="s">
        <v>1115</v>
      </c>
      <c r="B350" s="2" t="s">
        <v>172</v>
      </c>
      <c r="C350" s="21">
        <v>6</v>
      </c>
      <c r="D350" s="6">
        <v>1200</v>
      </c>
      <c r="E350" s="23"/>
      <c r="F350" s="28"/>
      <c r="G350" s="3" t="s">
        <v>1104</v>
      </c>
      <c r="H350" s="4"/>
      <c r="I350" s="6"/>
      <c r="J350" s="4">
        <v>30</v>
      </c>
      <c r="K350" s="5"/>
      <c r="L350" s="5" t="s">
        <v>1075</v>
      </c>
      <c r="M350" s="4" t="s">
        <v>260</v>
      </c>
      <c r="N350" s="4"/>
      <c r="O350" s="4" t="s">
        <v>380</v>
      </c>
      <c r="P350" s="4"/>
      <c r="Q350" s="24"/>
      <c r="R350" s="25" t="s">
        <v>946</v>
      </c>
      <c r="S350" s="6"/>
      <c r="T350" s="1">
        <v>0.51615199999999994</v>
      </c>
      <c r="U350" s="1">
        <v>0.97841999999999996</v>
      </c>
      <c r="V350" s="1">
        <v>1.2194800000000001</v>
      </c>
      <c r="W350" s="1">
        <v>1.1485799999999999</v>
      </c>
      <c r="X350" s="1">
        <v>1.1343999999999999</v>
      </c>
      <c r="Y350" s="1">
        <f t="shared" si="18"/>
        <v>0.99940639999999981</v>
      </c>
      <c r="Z350" s="10"/>
      <c r="AA350" s="10"/>
      <c r="AB350" s="10"/>
      <c r="AC350" s="10"/>
      <c r="AD350" s="10"/>
      <c r="AE350" s="10"/>
      <c r="AF350" s="10"/>
      <c r="AG350" s="38">
        <f t="shared" si="19"/>
        <v>0</v>
      </c>
      <c r="AH350" s="51" t="str">
        <f t="shared" si="20"/>
        <v xml:space="preserve"> </v>
      </c>
      <c r="AI350" s="64"/>
      <c r="AJ350" s="1"/>
      <c r="AK350" s="65">
        <v>0</v>
      </c>
      <c r="AL350" s="1"/>
      <c r="AM350" s="1"/>
      <c r="AN350" s="81"/>
      <c r="AO350" s="81"/>
    </row>
    <row r="351" spans="1:41" s="26" customFormat="1" hidden="1" x14ac:dyDescent="0.25">
      <c r="A351" s="22" t="s">
        <v>1116</v>
      </c>
      <c r="B351" s="2" t="s">
        <v>1017</v>
      </c>
      <c r="C351" s="21">
        <v>1.5</v>
      </c>
      <c r="D351" s="23">
        <v>1030</v>
      </c>
      <c r="E351" s="23"/>
      <c r="F351" s="28"/>
      <c r="G351" s="3" t="s">
        <v>1092</v>
      </c>
      <c r="H351" s="6"/>
      <c r="I351" s="6" t="s">
        <v>953</v>
      </c>
      <c r="J351" s="6">
        <v>69</v>
      </c>
      <c r="K351" s="21">
        <v>19</v>
      </c>
      <c r="L351" s="21" t="s">
        <v>45</v>
      </c>
      <c r="M351" s="6" t="s">
        <v>1054</v>
      </c>
      <c r="N351" s="6" t="s">
        <v>1093</v>
      </c>
      <c r="O351" s="6" t="s">
        <v>380</v>
      </c>
      <c r="P351" s="6"/>
      <c r="Q351" s="27"/>
      <c r="R351" s="28" t="s">
        <v>946</v>
      </c>
      <c r="S351" s="6" t="s">
        <v>177</v>
      </c>
      <c r="T351" s="1">
        <v>0.53820800000000002</v>
      </c>
      <c r="U351" s="1">
        <v>1.0430999999999999</v>
      </c>
      <c r="V351" s="1">
        <v>1.0430999999999999</v>
      </c>
      <c r="W351" s="1">
        <v>1.1348399999999998</v>
      </c>
      <c r="X351" s="1">
        <v>1.22658</v>
      </c>
      <c r="Y351" s="1">
        <f t="shared" si="18"/>
        <v>0.99716559999999999</v>
      </c>
      <c r="Z351" s="10"/>
      <c r="AA351" s="10"/>
      <c r="AB351" s="10"/>
      <c r="AC351" s="10"/>
      <c r="AD351" s="10"/>
      <c r="AE351" s="10"/>
      <c r="AF351" s="10"/>
      <c r="AG351" s="38">
        <f t="shared" si="19"/>
        <v>0</v>
      </c>
      <c r="AH351" s="51" t="str">
        <f t="shared" si="20"/>
        <v xml:space="preserve"> </v>
      </c>
      <c r="AI351" s="64"/>
      <c r="AJ351" s="1"/>
      <c r="AK351" s="65">
        <v>0</v>
      </c>
      <c r="AL351" s="1"/>
      <c r="AM351" s="1"/>
      <c r="AN351" s="81"/>
      <c r="AO351" s="81"/>
    </row>
    <row r="352" spans="1:41" s="26" customFormat="1" hidden="1" x14ac:dyDescent="0.25">
      <c r="A352" s="22" t="s">
        <v>1117</v>
      </c>
      <c r="B352" s="2" t="s">
        <v>172</v>
      </c>
      <c r="C352" s="21">
        <v>3</v>
      </c>
      <c r="D352" s="6">
        <v>1200</v>
      </c>
      <c r="E352" s="23"/>
      <c r="F352" s="28"/>
      <c r="G352" s="3" t="s">
        <v>1118</v>
      </c>
      <c r="H352" s="4"/>
      <c r="I352" s="6"/>
      <c r="J352" s="4">
        <v>30</v>
      </c>
      <c r="K352" s="5"/>
      <c r="L352" s="5" t="s">
        <v>1075</v>
      </c>
      <c r="M352" s="4" t="s">
        <v>260</v>
      </c>
      <c r="N352" s="4"/>
      <c r="O352" s="4" t="s">
        <v>380</v>
      </c>
      <c r="P352" s="4"/>
      <c r="Q352" s="24"/>
      <c r="R352" s="25" t="s">
        <v>946</v>
      </c>
      <c r="S352" s="6"/>
      <c r="T352" s="1">
        <v>4.6122999999999997E-2</v>
      </c>
      <c r="U352" s="1">
        <v>0.25590000000000002</v>
      </c>
      <c r="V352" s="1">
        <v>1.9593179999999999</v>
      </c>
      <c r="W352" s="1">
        <v>1.540708</v>
      </c>
      <c r="X352" s="1">
        <v>0.81938999999999995</v>
      </c>
      <c r="Y352" s="1">
        <f t="shared" si="18"/>
        <v>0.92428779999999988</v>
      </c>
      <c r="Z352" s="10"/>
      <c r="AA352" s="10"/>
      <c r="AB352" s="10"/>
      <c r="AC352" s="10"/>
      <c r="AD352" s="10"/>
      <c r="AE352" s="10"/>
      <c r="AF352" s="10"/>
      <c r="AG352" s="38">
        <f t="shared" si="19"/>
        <v>0</v>
      </c>
      <c r="AH352" s="51" t="str">
        <f t="shared" si="20"/>
        <v xml:space="preserve"> </v>
      </c>
      <c r="AI352" s="64"/>
      <c r="AJ352" s="1"/>
      <c r="AK352" s="65">
        <v>0</v>
      </c>
      <c r="AL352" s="1"/>
      <c r="AM352" s="1"/>
      <c r="AN352" s="81"/>
      <c r="AO352" s="81"/>
    </row>
    <row r="353" spans="1:41" s="26" customFormat="1" hidden="1" x14ac:dyDescent="0.25">
      <c r="A353" s="3" t="s">
        <v>936</v>
      </c>
      <c r="B353" s="2" t="s">
        <v>172</v>
      </c>
      <c r="C353" s="21">
        <v>3</v>
      </c>
      <c r="D353" s="23">
        <v>1200</v>
      </c>
      <c r="E353" s="23"/>
      <c r="F353" s="28"/>
      <c r="G353" s="3" t="s">
        <v>1026</v>
      </c>
      <c r="H353" s="4"/>
      <c r="I353" s="6" t="s">
        <v>942</v>
      </c>
      <c r="J353" s="4">
        <v>59</v>
      </c>
      <c r="K353" s="5"/>
      <c r="L353" s="5" t="s">
        <v>45</v>
      </c>
      <c r="M353" s="4" t="s">
        <v>240</v>
      </c>
      <c r="N353" s="4"/>
      <c r="O353" s="4" t="s">
        <v>380</v>
      </c>
      <c r="P353" s="4"/>
      <c r="Q353" s="24"/>
      <c r="R353" s="25" t="s">
        <v>946</v>
      </c>
      <c r="S353" s="4" t="s">
        <v>177</v>
      </c>
      <c r="T353" s="1">
        <v>0.19428499999999999</v>
      </c>
      <c r="U353" s="1">
        <v>0.78507000000000005</v>
      </c>
      <c r="V353" s="1">
        <v>1.177605</v>
      </c>
      <c r="W353" s="1">
        <v>1.0467599999999999</v>
      </c>
      <c r="X353" s="1">
        <v>1.2169550000000002</v>
      </c>
      <c r="Y353" s="1">
        <f t="shared" si="18"/>
        <v>0.884135</v>
      </c>
      <c r="Z353" s="10"/>
      <c r="AA353" s="10"/>
      <c r="AB353" s="10"/>
      <c r="AC353" s="10"/>
      <c r="AD353" s="10"/>
      <c r="AE353" s="10"/>
      <c r="AF353" s="10"/>
      <c r="AG353" s="38">
        <f t="shared" si="19"/>
        <v>0</v>
      </c>
      <c r="AH353" s="51" t="str">
        <f t="shared" si="20"/>
        <v xml:space="preserve"> </v>
      </c>
      <c r="AI353" s="64"/>
      <c r="AJ353" s="1"/>
      <c r="AK353" s="65">
        <v>0</v>
      </c>
      <c r="AL353" s="1"/>
      <c r="AM353" s="1"/>
      <c r="AN353" s="81"/>
      <c r="AO353" s="81"/>
    </row>
    <row r="354" spans="1:41" s="26" customFormat="1" hidden="1" x14ac:dyDescent="0.25">
      <c r="A354" s="3" t="s">
        <v>1119</v>
      </c>
      <c r="B354" s="2" t="s">
        <v>172</v>
      </c>
      <c r="C354" s="21">
        <v>4</v>
      </c>
      <c r="D354" s="6">
        <v>1200</v>
      </c>
      <c r="E354" s="23"/>
      <c r="F354" s="28"/>
      <c r="G354" s="3" t="s">
        <v>1118</v>
      </c>
      <c r="H354" s="4"/>
      <c r="I354" s="4"/>
      <c r="J354" s="4">
        <v>30</v>
      </c>
      <c r="K354" s="5"/>
      <c r="L354" s="5" t="s">
        <v>1075</v>
      </c>
      <c r="M354" s="4" t="s">
        <v>260</v>
      </c>
      <c r="N354" s="4"/>
      <c r="O354" s="4" t="s">
        <v>380</v>
      </c>
      <c r="P354" s="4"/>
      <c r="Q354" s="24"/>
      <c r="R354" s="25" t="s">
        <v>946</v>
      </c>
      <c r="S354" s="4"/>
      <c r="T354" s="1">
        <v>0.24301600000000001</v>
      </c>
      <c r="U354" s="1">
        <v>0.679512</v>
      </c>
      <c r="V354" s="1">
        <v>1.3679539999999999</v>
      </c>
      <c r="W354" s="1">
        <v>1.1476919999999999</v>
      </c>
      <c r="X354" s="1">
        <v>0.92478199999999988</v>
      </c>
      <c r="Y354" s="1">
        <f t="shared" si="18"/>
        <v>0.8725911999999999</v>
      </c>
      <c r="Z354" s="10"/>
      <c r="AA354" s="10"/>
      <c r="AB354" s="10"/>
      <c r="AC354" s="10"/>
      <c r="AD354" s="10"/>
      <c r="AE354" s="10"/>
      <c r="AF354" s="10"/>
      <c r="AG354" s="38">
        <f t="shared" si="19"/>
        <v>0</v>
      </c>
      <c r="AH354" s="51" t="str">
        <f t="shared" si="20"/>
        <v xml:space="preserve"> </v>
      </c>
      <c r="AI354" s="64"/>
      <c r="AJ354" s="1"/>
      <c r="AK354" s="65">
        <v>0</v>
      </c>
      <c r="AL354" s="1"/>
      <c r="AM354" s="1"/>
      <c r="AN354" s="81"/>
      <c r="AO354" s="81"/>
    </row>
    <row r="355" spans="1:41" s="26" customFormat="1" hidden="1" x14ac:dyDescent="0.25">
      <c r="A355" s="22" t="s">
        <v>1120</v>
      </c>
      <c r="B355" s="2" t="s">
        <v>1017</v>
      </c>
      <c r="C355" s="21">
        <v>1.5</v>
      </c>
      <c r="D355" s="23">
        <v>1200</v>
      </c>
      <c r="E355" s="23"/>
      <c r="F355" s="28"/>
      <c r="G355" s="3" t="s">
        <v>1092</v>
      </c>
      <c r="H355" s="6"/>
      <c r="I355" s="6" t="s">
        <v>942</v>
      </c>
      <c r="J355" s="6">
        <v>69</v>
      </c>
      <c r="K355" s="21">
        <v>18</v>
      </c>
      <c r="L355" s="21" t="s">
        <v>45</v>
      </c>
      <c r="M355" s="6" t="s">
        <v>1054</v>
      </c>
      <c r="N355" s="6" t="s">
        <v>1093</v>
      </c>
      <c r="O355" s="6" t="s">
        <v>380</v>
      </c>
      <c r="P355" s="6"/>
      <c r="Q355" s="27"/>
      <c r="R355" s="28" t="s">
        <v>946</v>
      </c>
      <c r="S355" s="6" t="s">
        <v>177</v>
      </c>
      <c r="T355" s="1">
        <v>0.64631700000000003</v>
      </c>
      <c r="U355" s="1">
        <v>0.78210599999999997</v>
      </c>
      <c r="V355" s="1">
        <v>0.91246400000000005</v>
      </c>
      <c r="W355" s="1">
        <v>0.99392199999999997</v>
      </c>
      <c r="X355" s="1">
        <v>0.99392199999999997</v>
      </c>
      <c r="Y355" s="1">
        <f t="shared" si="18"/>
        <v>0.86574619999999991</v>
      </c>
      <c r="Z355" s="10"/>
      <c r="AA355" s="10"/>
      <c r="AB355" s="10"/>
      <c r="AC355" s="10"/>
      <c r="AD355" s="10"/>
      <c r="AE355" s="10"/>
      <c r="AF355" s="10"/>
      <c r="AG355" s="38">
        <f t="shared" si="19"/>
        <v>0</v>
      </c>
      <c r="AH355" s="51" t="str">
        <f t="shared" si="20"/>
        <v xml:space="preserve"> </v>
      </c>
      <c r="AI355" s="64"/>
      <c r="AJ355" s="1"/>
      <c r="AK355" s="65">
        <v>0</v>
      </c>
      <c r="AL355" s="1"/>
      <c r="AM355" s="1"/>
      <c r="AN355" s="81"/>
      <c r="AO355" s="81"/>
    </row>
    <row r="356" spans="1:41" s="26" customFormat="1" hidden="1" x14ac:dyDescent="0.25">
      <c r="A356" s="3" t="s">
        <v>581</v>
      </c>
      <c r="B356" s="2" t="s">
        <v>172</v>
      </c>
      <c r="C356" s="21">
        <v>4</v>
      </c>
      <c r="D356" s="6">
        <v>1200</v>
      </c>
      <c r="E356" s="23"/>
      <c r="F356" s="28"/>
      <c r="G356" s="3" t="s">
        <v>1104</v>
      </c>
      <c r="H356" s="6"/>
      <c r="I356" s="6"/>
      <c r="J356" s="6">
        <v>30</v>
      </c>
      <c r="K356" s="21"/>
      <c r="L356" s="21" t="s">
        <v>1075</v>
      </c>
      <c r="M356" s="6" t="s">
        <v>260</v>
      </c>
      <c r="N356" s="6"/>
      <c r="O356" s="6" t="s">
        <v>380</v>
      </c>
      <c r="P356" s="6"/>
      <c r="Q356" s="27"/>
      <c r="R356" s="28" t="s">
        <v>946</v>
      </c>
      <c r="S356" s="6"/>
      <c r="T356" s="1">
        <v>0.33734000000000003</v>
      </c>
      <c r="U356" s="1">
        <v>0.52724000000000004</v>
      </c>
      <c r="V356" s="1">
        <v>0.89552000000000009</v>
      </c>
      <c r="W356" s="1">
        <v>1.6804140000000003</v>
      </c>
      <c r="X356" s="1">
        <v>0.8265800000000002</v>
      </c>
      <c r="Y356" s="1">
        <f t="shared" si="18"/>
        <v>0.85341880000000003</v>
      </c>
      <c r="Z356" s="10"/>
      <c r="AA356" s="10"/>
      <c r="AB356" s="10"/>
      <c r="AC356" s="10"/>
      <c r="AD356" s="10"/>
      <c r="AE356" s="10"/>
      <c r="AF356" s="10"/>
      <c r="AG356" s="38">
        <f t="shared" si="19"/>
        <v>0</v>
      </c>
      <c r="AH356" s="51" t="str">
        <f t="shared" si="20"/>
        <v xml:space="preserve"> </v>
      </c>
      <c r="AI356" s="64"/>
      <c r="AJ356" s="1"/>
      <c r="AK356" s="65">
        <v>0</v>
      </c>
      <c r="AL356" s="1"/>
      <c r="AM356" s="1"/>
      <c r="AN356" s="81"/>
      <c r="AO356" s="81"/>
    </row>
    <row r="357" spans="1:41" s="26" customFormat="1" hidden="1" x14ac:dyDescent="0.25">
      <c r="A357" s="22" t="s">
        <v>1121</v>
      </c>
      <c r="B357" s="2" t="s">
        <v>1017</v>
      </c>
      <c r="C357" s="21">
        <v>1.5</v>
      </c>
      <c r="D357" s="23">
        <v>490</v>
      </c>
      <c r="E357" s="23"/>
      <c r="F357" s="28"/>
      <c r="G357" s="3" t="s">
        <v>1122</v>
      </c>
      <c r="H357" s="1"/>
      <c r="I357" s="6"/>
      <c r="J357" s="4">
        <v>63</v>
      </c>
      <c r="K357" s="5"/>
      <c r="L357" s="5" t="s">
        <v>1123</v>
      </c>
      <c r="M357" s="1" t="s">
        <v>1124</v>
      </c>
      <c r="N357" s="4"/>
      <c r="O357" s="80" t="s">
        <v>380</v>
      </c>
      <c r="P357" s="1"/>
      <c r="Q357" s="1"/>
      <c r="R357" s="25" t="s">
        <v>946</v>
      </c>
      <c r="S357" s="7"/>
      <c r="T357" s="1">
        <v>0.50129999999999997</v>
      </c>
      <c r="U357" s="1">
        <v>0</v>
      </c>
      <c r="V357" s="1">
        <v>0.80208000000000002</v>
      </c>
      <c r="W357" s="1">
        <v>1.2031200000000002</v>
      </c>
      <c r="X357" s="1">
        <v>1.2031200000000002</v>
      </c>
      <c r="Y357" s="1">
        <f t="shared" si="18"/>
        <v>0.74192400000000003</v>
      </c>
      <c r="Z357" s="10"/>
      <c r="AA357" s="10"/>
      <c r="AB357" s="10"/>
      <c r="AC357" s="10"/>
      <c r="AD357" s="10"/>
      <c r="AE357" s="10"/>
      <c r="AF357" s="10"/>
      <c r="AG357" s="38">
        <f t="shared" si="19"/>
        <v>0</v>
      </c>
      <c r="AH357" s="51" t="str">
        <f t="shared" si="20"/>
        <v xml:space="preserve"> </v>
      </c>
      <c r="AI357" s="64"/>
      <c r="AJ357" s="1"/>
      <c r="AK357" s="65">
        <v>0</v>
      </c>
      <c r="AL357" s="1"/>
      <c r="AM357" s="1"/>
      <c r="AN357" s="81"/>
      <c r="AO357" s="81"/>
    </row>
    <row r="358" spans="1:41" s="26" customFormat="1" hidden="1" x14ac:dyDescent="0.25">
      <c r="A358" s="22" t="s">
        <v>1125</v>
      </c>
      <c r="B358" s="2" t="s">
        <v>172</v>
      </c>
      <c r="C358" s="21">
        <v>2</v>
      </c>
      <c r="D358" s="23">
        <v>1150</v>
      </c>
      <c r="E358" s="23"/>
      <c r="F358" s="28"/>
      <c r="G358" s="3" t="s">
        <v>1000</v>
      </c>
      <c r="H358" s="6"/>
      <c r="I358" s="6"/>
      <c r="J358" s="6">
        <v>30</v>
      </c>
      <c r="K358" s="21"/>
      <c r="L358" s="21" t="s">
        <v>1075</v>
      </c>
      <c r="M358" s="6" t="s">
        <v>534</v>
      </c>
      <c r="N358" s="6"/>
      <c r="O358" s="6" t="s">
        <v>380</v>
      </c>
      <c r="P358" s="6"/>
      <c r="Q358" s="27"/>
      <c r="R358" s="28" t="s">
        <v>946</v>
      </c>
      <c r="S358" s="6"/>
      <c r="T358" s="1">
        <v>0.55519399999999997</v>
      </c>
      <c r="U358" s="1">
        <v>0.59198400000000007</v>
      </c>
      <c r="V358" s="1">
        <v>0.82501600000000008</v>
      </c>
      <c r="W358" s="1">
        <v>0.7263440000000001</v>
      </c>
      <c r="X358" s="1">
        <v>0.73994400000000005</v>
      </c>
      <c r="Y358" s="1">
        <f t="shared" si="18"/>
        <v>0.68769639999999999</v>
      </c>
      <c r="Z358" s="10"/>
      <c r="AA358" s="10"/>
      <c r="AB358" s="10"/>
      <c r="AC358" s="10"/>
      <c r="AD358" s="10"/>
      <c r="AE358" s="10"/>
      <c r="AF358" s="10"/>
      <c r="AG358" s="38">
        <f t="shared" si="19"/>
        <v>0</v>
      </c>
      <c r="AH358" s="51" t="str">
        <f t="shared" si="20"/>
        <v xml:space="preserve"> </v>
      </c>
      <c r="AI358" s="64"/>
      <c r="AJ358" s="1"/>
      <c r="AK358" s="65">
        <v>0</v>
      </c>
      <c r="AL358" s="1"/>
      <c r="AM358" s="1"/>
      <c r="AN358" s="81"/>
      <c r="AO358" s="81"/>
    </row>
    <row r="359" spans="1:41" s="26" customFormat="1" hidden="1" x14ac:dyDescent="0.25">
      <c r="A359" s="3" t="s">
        <v>1126</v>
      </c>
      <c r="B359" s="2" t="s">
        <v>172</v>
      </c>
      <c r="C359" s="21">
        <v>8</v>
      </c>
      <c r="D359" s="23">
        <v>1200</v>
      </c>
      <c r="E359" s="23"/>
      <c r="F359" s="28"/>
      <c r="G359" s="3" t="s">
        <v>1024</v>
      </c>
      <c r="H359" s="4"/>
      <c r="I359" s="4" t="s">
        <v>942</v>
      </c>
      <c r="J359" s="4">
        <v>59</v>
      </c>
      <c r="K359" s="5"/>
      <c r="L359" s="5" t="s">
        <v>45</v>
      </c>
      <c r="M359" s="4" t="s">
        <v>240</v>
      </c>
      <c r="N359" s="4"/>
      <c r="O359" s="4" t="s">
        <v>380</v>
      </c>
      <c r="P359" s="4"/>
      <c r="Q359" s="24"/>
      <c r="R359" s="25" t="s">
        <v>946</v>
      </c>
      <c r="S359" s="4" t="s">
        <v>177</v>
      </c>
      <c r="T359" s="1">
        <v>0.1953</v>
      </c>
      <c r="U359" s="1">
        <v>0.55800000000000005</v>
      </c>
      <c r="V359" s="1">
        <v>0.75329999999999997</v>
      </c>
      <c r="W359" s="1">
        <v>0.80910000000000004</v>
      </c>
      <c r="X359" s="1">
        <v>1.0470599999999999</v>
      </c>
      <c r="Y359" s="1">
        <f t="shared" si="18"/>
        <v>0.67255199999999993</v>
      </c>
      <c r="Z359" s="10"/>
      <c r="AA359" s="10"/>
      <c r="AB359" s="10"/>
      <c r="AC359" s="10"/>
      <c r="AD359" s="10"/>
      <c r="AE359" s="10"/>
      <c r="AF359" s="10"/>
      <c r="AG359" s="38">
        <f t="shared" si="19"/>
        <v>0</v>
      </c>
      <c r="AH359" s="51" t="str">
        <f t="shared" si="20"/>
        <v xml:space="preserve"> </v>
      </c>
      <c r="AI359" s="64"/>
      <c r="AJ359" s="1"/>
      <c r="AK359" s="65">
        <v>0</v>
      </c>
      <c r="AL359" s="1"/>
      <c r="AM359" s="1"/>
      <c r="AN359" s="81"/>
      <c r="AO359" s="81"/>
    </row>
    <row r="360" spans="1:41" s="26" customFormat="1" hidden="1" x14ac:dyDescent="0.25">
      <c r="A360" s="22" t="s">
        <v>1127</v>
      </c>
      <c r="B360" s="2" t="s">
        <v>1017</v>
      </c>
      <c r="C360" s="21">
        <v>1.5</v>
      </c>
      <c r="D360" s="23">
        <v>1030</v>
      </c>
      <c r="E360" s="23"/>
      <c r="F360" s="28"/>
      <c r="G360" s="3" t="s">
        <v>1092</v>
      </c>
      <c r="H360" s="6"/>
      <c r="I360" s="6" t="s">
        <v>953</v>
      </c>
      <c r="J360" s="6">
        <v>69</v>
      </c>
      <c r="K360" s="21">
        <v>19</v>
      </c>
      <c r="L360" s="21" t="s">
        <v>45</v>
      </c>
      <c r="M360" s="6" t="s">
        <v>1054</v>
      </c>
      <c r="N360" s="6" t="s">
        <v>1093</v>
      </c>
      <c r="O360" s="6" t="s">
        <v>380</v>
      </c>
      <c r="P360" s="6"/>
      <c r="Q360" s="27"/>
      <c r="R360" s="28" t="s">
        <v>946</v>
      </c>
      <c r="S360" s="6" t="s">
        <v>177</v>
      </c>
      <c r="T360" s="1">
        <v>0.38534999999999997</v>
      </c>
      <c r="U360" s="1">
        <v>0.49324799999999996</v>
      </c>
      <c r="V360" s="1">
        <v>0.86318399999999995</v>
      </c>
      <c r="W360" s="1">
        <v>0.61656</v>
      </c>
      <c r="X360" s="1">
        <v>0.86318399999999995</v>
      </c>
      <c r="Y360" s="1">
        <f t="shared" si="18"/>
        <v>0.64430520000000002</v>
      </c>
      <c r="Z360" s="10"/>
      <c r="AA360" s="10"/>
      <c r="AB360" s="10"/>
      <c r="AC360" s="10"/>
      <c r="AD360" s="10"/>
      <c r="AE360" s="10"/>
      <c r="AF360" s="10"/>
      <c r="AG360" s="38">
        <f t="shared" si="19"/>
        <v>0</v>
      </c>
      <c r="AH360" s="51" t="str">
        <f t="shared" si="20"/>
        <v xml:space="preserve"> </v>
      </c>
      <c r="AI360" s="64"/>
      <c r="AJ360" s="1"/>
      <c r="AK360" s="65">
        <v>0</v>
      </c>
      <c r="AL360" s="1"/>
      <c r="AM360" s="1"/>
      <c r="AN360" s="81"/>
      <c r="AO360" s="81"/>
    </row>
    <row r="361" spans="1:41" s="26" customFormat="1" hidden="1" x14ac:dyDescent="0.25">
      <c r="A361" s="3" t="s">
        <v>551</v>
      </c>
      <c r="B361" s="2" t="s">
        <v>172</v>
      </c>
      <c r="C361" s="21">
        <v>4.75</v>
      </c>
      <c r="D361" s="6">
        <v>1200</v>
      </c>
      <c r="E361" s="23"/>
      <c r="F361" s="28"/>
      <c r="G361" s="3" t="s">
        <v>1104</v>
      </c>
      <c r="H361" s="6"/>
      <c r="I361" s="6"/>
      <c r="J361" s="6">
        <v>30</v>
      </c>
      <c r="K361" s="21"/>
      <c r="L361" s="21" t="s">
        <v>1075</v>
      </c>
      <c r="M361" s="6" t="s">
        <v>260</v>
      </c>
      <c r="N361" s="6"/>
      <c r="O361" s="6" t="s">
        <v>380</v>
      </c>
      <c r="P361" s="6"/>
      <c r="Q361" s="27"/>
      <c r="R361" s="28" t="s">
        <v>946</v>
      </c>
      <c r="S361" s="6"/>
      <c r="T361" s="1">
        <v>0.49746299999999999</v>
      </c>
      <c r="U361" s="1">
        <v>0.55403000000000002</v>
      </c>
      <c r="V361" s="1">
        <v>0.75757999999999992</v>
      </c>
      <c r="W361" s="1">
        <v>0.66586999999999996</v>
      </c>
      <c r="X361" s="1">
        <v>0.66800000000000015</v>
      </c>
      <c r="Y361" s="1">
        <f t="shared" si="18"/>
        <v>0.62858859999999994</v>
      </c>
      <c r="Z361" s="10"/>
      <c r="AA361" s="10"/>
      <c r="AB361" s="10"/>
      <c r="AC361" s="10"/>
      <c r="AD361" s="10"/>
      <c r="AE361" s="10"/>
      <c r="AF361" s="10"/>
      <c r="AG361" s="38">
        <f t="shared" si="19"/>
        <v>0</v>
      </c>
      <c r="AH361" s="51" t="str">
        <f t="shared" si="20"/>
        <v xml:space="preserve"> </v>
      </c>
      <c r="AI361" s="64"/>
      <c r="AJ361" s="1"/>
      <c r="AK361" s="65">
        <v>0</v>
      </c>
      <c r="AL361" s="1"/>
      <c r="AM361" s="1"/>
      <c r="AN361" s="81"/>
      <c r="AO361" s="81"/>
    </row>
    <row r="362" spans="1:41" s="26" customFormat="1" hidden="1" x14ac:dyDescent="0.25">
      <c r="A362" s="3" t="s">
        <v>1128</v>
      </c>
      <c r="B362" s="2" t="s">
        <v>172</v>
      </c>
      <c r="C362" s="21">
        <v>1.6</v>
      </c>
      <c r="D362" s="23">
        <v>105</v>
      </c>
      <c r="E362" s="23">
        <v>42</v>
      </c>
      <c r="F362" s="77">
        <v>7.0000000000000007E-2</v>
      </c>
      <c r="G362" s="3" t="s">
        <v>1038</v>
      </c>
      <c r="H362" s="6"/>
      <c r="I362" s="6"/>
      <c r="J362" s="6">
        <v>30</v>
      </c>
      <c r="K362" s="21"/>
      <c r="L362" s="21" t="s">
        <v>1075</v>
      </c>
      <c r="M362" s="6" t="s">
        <v>1129</v>
      </c>
      <c r="N362" s="6"/>
      <c r="O362" s="6" t="s">
        <v>380</v>
      </c>
      <c r="P362" s="6"/>
      <c r="Q362" s="27"/>
      <c r="R362" s="28" t="s">
        <v>946</v>
      </c>
      <c r="S362" s="6"/>
      <c r="T362" s="1">
        <v>7.1764000000000008E-2</v>
      </c>
      <c r="U362" s="1">
        <v>0.32983200000000001</v>
      </c>
      <c r="V362" s="1">
        <v>0.75625599999999993</v>
      </c>
      <c r="W362" s="1">
        <v>1.037776</v>
      </c>
      <c r="X362" s="1">
        <v>0.87660000000000016</v>
      </c>
      <c r="Y362" s="1">
        <f t="shared" si="18"/>
        <v>0.61444560000000004</v>
      </c>
      <c r="Z362" s="10"/>
      <c r="AA362" s="10"/>
      <c r="AB362" s="10"/>
      <c r="AC362" s="10"/>
      <c r="AD362" s="10"/>
      <c r="AE362" s="10"/>
      <c r="AF362" s="10"/>
      <c r="AG362" s="38">
        <f t="shared" si="19"/>
        <v>0</v>
      </c>
      <c r="AH362" s="51" t="str">
        <f t="shared" si="20"/>
        <v xml:space="preserve"> </v>
      </c>
      <c r="AI362" s="64"/>
      <c r="AJ362" s="1"/>
      <c r="AK362" s="65">
        <v>0</v>
      </c>
      <c r="AL362" s="1"/>
      <c r="AM362" s="1"/>
      <c r="AN362" s="81"/>
      <c r="AO362" s="81"/>
    </row>
    <row r="363" spans="1:41" s="26" customFormat="1" hidden="1" x14ac:dyDescent="0.25">
      <c r="A363" s="22" t="s">
        <v>1130</v>
      </c>
      <c r="B363" s="2" t="s">
        <v>1017</v>
      </c>
      <c r="C363" s="21">
        <v>1.5</v>
      </c>
      <c r="D363" s="23">
        <v>755</v>
      </c>
      <c r="E363" s="23"/>
      <c r="F363" s="28"/>
      <c r="G363" s="3" t="s">
        <v>1122</v>
      </c>
      <c r="H363" s="6"/>
      <c r="I363" s="6"/>
      <c r="J363" s="6">
        <v>63</v>
      </c>
      <c r="K363" s="21"/>
      <c r="L363" s="21" t="s">
        <v>1123</v>
      </c>
      <c r="M363" s="6" t="s">
        <v>1124</v>
      </c>
      <c r="N363" s="6"/>
      <c r="O363" s="6" t="s">
        <v>380</v>
      </c>
      <c r="P363" s="6"/>
      <c r="Q363" s="27"/>
      <c r="R363" s="28" t="s">
        <v>946</v>
      </c>
      <c r="S363" s="6"/>
      <c r="T363" s="1">
        <v>0.26280799999999999</v>
      </c>
      <c r="U363" s="1">
        <v>0.46929999999999994</v>
      </c>
      <c r="V363" s="1">
        <v>0.93859999999999988</v>
      </c>
      <c r="W363" s="1">
        <v>0.56315999999999988</v>
      </c>
      <c r="X363" s="1">
        <v>0.56315999999999988</v>
      </c>
      <c r="Y363" s="1">
        <f t="shared" si="18"/>
        <v>0.55940559999999995</v>
      </c>
      <c r="Z363" s="10"/>
      <c r="AA363" s="10"/>
      <c r="AB363" s="10"/>
      <c r="AC363" s="10"/>
      <c r="AD363" s="10"/>
      <c r="AE363" s="10"/>
      <c r="AF363" s="10"/>
      <c r="AG363" s="38">
        <f t="shared" si="19"/>
        <v>0</v>
      </c>
      <c r="AH363" s="51" t="str">
        <f t="shared" si="20"/>
        <v xml:space="preserve"> </v>
      </c>
      <c r="AI363" s="64"/>
      <c r="AJ363" s="1"/>
      <c r="AK363" s="65">
        <v>0</v>
      </c>
      <c r="AL363" s="1"/>
      <c r="AM363" s="1"/>
      <c r="AN363" s="81"/>
      <c r="AO363" s="81"/>
    </row>
    <row r="364" spans="1:41" s="26" customFormat="1" hidden="1" x14ac:dyDescent="0.25">
      <c r="A364" s="3" t="s">
        <v>852</v>
      </c>
      <c r="B364" s="2" t="s">
        <v>172</v>
      </c>
      <c r="C364" s="21">
        <v>4</v>
      </c>
      <c r="D364" s="23">
        <v>1250</v>
      </c>
      <c r="E364" s="23"/>
      <c r="F364" s="28"/>
      <c r="G364" s="3" t="s">
        <v>1000</v>
      </c>
      <c r="H364" s="6"/>
      <c r="I364" s="6"/>
      <c r="J364" s="6">
        <v>30</v>
      </c>
      <c r="K364" s="21"/>
      <c r="L364" s="21" t="s">
        <v>1075</v>
      </c>
      <c r="M364" s="6" t="s">
        <v>534</v>
      </c>
      <c r="N364" s="6"/>
      <c r="O364" s="6" t="s">
        <v>380</v>
      </c>
      <c r="P364" s="6"/>
      <c r="Q364" s="27"/>
      <c r="R364" s="28" t="s">
        <v>946</v>
      </c>
      <c r="S364" s="6"/>
      <c r="T364" s="1">
        <v>0.17756400000000003</v>
      </c>
      <c r="U364" s="1">
        <v>0.53421000000000007</v>
      </c>
      <c r="V364" s="1">
        <v>0.64325999999999994</v>
      </c>
      <c r="W364" s="1">
        <v>0.65564999999999996</v>
      </c>
      <c r="X364" s="1">
        <v>0.57002999999999993</v>
      </c>
      <c r="Y364" s="1">
        <f t="shared" si="18"/>
        <v>0.51614280000000001</v>
      </c>
      <c r="Z364" s="10"/>
      <c r="AA364" s="10"/>
      <c r="AB364" s="10"/>
      <c r="AC364" s="10"/>
      <c r="AD364" s="10"/>
      <c r="AE364" s="10"/>
      <c r="AF364" s="10"/>
      <c r="AG364" s="38">
        <f t="shared" si="19"/>
        <v>0</v>
      </c>
      <c r="AH364" s="51" t="str">
        <f t="shared" si="20"/>
        <v xml:space="preserve"> </v>
      </c>
      <c r="AI364" s="64"/>
      <c r="AJ364" s="1"/>
      <c r="AK364" s="65">
        <v>0</v>
      </c>
      <c r="AL364" s="1"/>
      <c r="AM364" s="1"/>
      <c r="AN364" s="81"/>
      <c r="AO364" s="81"/>
    </row>
    <row r="365" spans="1:41" s="26" customFormat="1" hidden="1" x14ac:dyDescent="0.25">
      <c r="A365" s="22" t="s">
        <v>1131</v>
      </c>
      <c r="B365" s="2" t="s">
        <v>172</v>
      </c>
      <c r="C365" s="21">
        <v>3</v>
      </c>
      <c r="D365" s="23">
        <v>1150</v>
      </c>
      <c r="E365" s="23"/>
      <c r="F365" s="28"/>
      <c r="G365" s="3" t="s">
        <v>1104</v>
      </c>
      <c r="H365" s="6"/>
      <c r="I365" s="6"/>
      <c r="J365" s="6">
        <v>30</v>
      </c>
      <c r="K365" s="21"/>
      <c r="L365" s="21" t="s">
        <v>1075</v>
      </c>
      <c r="M365" s="6" t="s">
        <v>534</v>
      </c>
      <c r="N365" s="6"/>
      <c r="O365" s="6" t="s">
        <v>380</v>
      </c>
      <c r="P365" s="6"/>
      <c r="Q365" s="27"/>
      <c r="R365" s="28" t="s">
        <v>946</v>
      </c>
      <c r="S365" s="6"/>
      <c r="T365" s="1">
        <v>0.43119999999999997</v>
      </c>
      <c r="U365" s="1">
        <v>0.38192000000000004</v>
      </c>
      <c r="V365" s="1">
        <v>0.56672</v>
      </c>
      <c r="W365" s="1">
        <v>0.51744000000000001</v>
      </c>
      <c r="X365" s="1">
        <v>0.54208000000000001</v>
      </c>
      <c r="Y365" s="1">
        <f t="shared" si="18"/>
        <v>0.48787200000000003</v>
      </c>
      <c r="Z365" s="10"/>
      <c r="AA365" s="10"/>
      <c r="AB365" s="10"/>
      <c r="AC365" s="10"/>
      <c r="AD365" s="10"/>
      <c r="AE365" s="10"/>
      <c r="AF365" s="10"/>
      <c r="AG365" s="38">
        <f t="shared" si="19"/>
        <v>0</v>
      </c>
      <c r="AH365" s="51" t="str">
        <f t="shared" si="20"/>
        <v xml:space="preserve"> </v>
      </c>
      <c r="AI365" s="64"/>
      <c r="AJ365" s="1"/>
      <c r="AK365" s="65">
        <v>0</v>
      </c>
      <c r="AL365" s="1"/>
      <c r="AM365" s="1"/>
      <c r="AN365" s="81"/>
      <c r="AO365" s="81"/>
    </row>
    <row r="366" spans="1:41" s="26" customFormat="1" hidden="1" x14ac:dyDescent="0.25">
      <c r="A366" s="3" t="s">
        <v>1132</v>
      </c>
      <c r="B366" s="2" t="s">
        <v>172</v>
      </c>
      <c r="C366" s="21">
        <v>4.75</v>
      </c>
      <c r="D366" s="23">
        <v>1250</v>
      </c>
      <c r="E366" s="23"/>
      <c r="F366" s="28"/>
      <c r="G366" s="3" t="s">
        <v>1133</v>
      </c>
      <c r="H366" s="6"/>
      <c r="I366" s="6"/>
      <c r="J366" s="6">
        <v>30</v>
      </c>
      <c r="K366" s="21"/>
      <c r="L366" s="21" t="s">
        <v>1075</v>
      </c>
      <c r="M366" s="6" t="s">
        <v>534</v>
      </c>
      <c r="N366" s="6"/>
      <c r="O366" s="6" t="s">
        <v>380</v>
      </c>
      <c r="P366" s="6"/>
      <c r="Q366" s="27"/>
      <c r="R366" s="28" t="s">
        <v>946</v>
      </c>
      <c r="S366" s="6"/>
      <c r="T366" s="1">
        <v>0.65366400000000002</v>
      </c>
      <c r="U366" s="1">
        <v>0.39365800000000001</v>
      </c>
      <c r="V366" s="1">
        <v>0.47989200000000004</v>
      </c>
      <c r="W366" s="1">
        <v>0.50192800000000004</v>
      </c>
      <c r="X366" s="1">
        <v>0.38481900000000002</v>
      </c>
      <c r="Y366" s="1">
        <f t="shared" si="18"/>
        <v>0.48279220000000012</v>
      </c>
      <c r="Z366" s="10"/>
      <c r="AA366" s="10"/>
      <c r="AB366" s="10"/>
      <c r="AC366" s="10"/>
      <c r="AD366" s="10"/>
      <c r="AE366" s="10"/>
      <c r="AF366" s="10"/>
      <c r="AG366" s="38">
        <f t="shared" si="19"/>
        <v>0</v>
      </c>
      <c r="AH366" s="51" t="str">
        <f t="shared" si="20"/>
        <v xml:space="preserve"> </v>
      </c>
      <c r="AI366" s="64"/>
      <c r="AJ366" s="1"/>
      <c r="AK366" s="65">
        <v>0</v>
      </c>
      <c r="AL366" s="1"/>
      <c r="AM366" s="1"/>
      <c r="AN366" s="81"/>
      <c r="AO366" s="81"/>
    </row>
    <row r="367" spans="1:41" s="26" customFormat="1" hidden="1" x14ac:dyDescent="0.25">
      <c r="A367" s="3" t="s">
        <v>932</v>
      </c>
      <c r="B367" s="2" t="s">
        <v>172</v>
      </c>
      <c r="C367" s="21">
        <v>4</v>
      </c>
      <c r="D367" s="6">
        <v>1150</v>
      </c>
      <c r="E367" s="23"/>
      <c r="F367" s="28"/>
      <c r="G367" s="3" t="s">
        <v>1134</v>
      </c>
      <c r="H367" s="6"/>
      <c r="I367" s="6"/>
      <c r="J367" s="6">
        <v>30</v>
      </c>
      <c r="K367" s="21"/>
      <c r="L367" s="21" t="s">
        <v>1075</v>
      </c>
      <c r="M367" s="6" t="s">
        <v>1089</v>
      </c>
      <c r="N367" s="6"/>
      <c r="O367" s="6" t="s">
        <v>380</v>
      </c>
      <c r="P367" s="6"/>
      <c r="Q367" s="27"/>
      <c r="R367" s="28" t="s">
        <v>946</v>
      </c>
      <c r="S367" s="6"/>
      <c r="T367" s="1">
        <v>0.507656</v>
      </c>
      <c r="U367" s="1">
        <v>0.47086199999999995</v>
      </c>
      <c r="V367" s="1">
        <v>0.467034</v>
      </c>
      <c r="W367" s="1">
        <v>0.47546400000000005</v>
      </c>
      <c r="X367" s="1">
        <v>0.47220600000000001</v>
      </c>
      <c r="Y367" s="1">
        <f t="shared" si="18"/>
        <v>0.47864440000000003</v>
      </c>
      <c r="Z367" s="10"/>
      <c r="AA367" s="10"/>
      <c r="AB367" s="10"/>
      <c r="AC367" s="10"/>
      <c r="AD367" s="10"/>
      <c r="AE367" s="10"/>
      <c r="AF367" s="10"/>
      <c r="AG367" s="38">
        <f t="shared" si="19"/>
        <v>0</v>
      </c>
      <c r="AH367" s="51" t="str">
        <f t="shared" si="20"/>
        <v xml:space="preserve"> </v>
      </c>
      <c r="AI367" s="64"/>
      <c r="AJ367" s="1"/>
      <c r="AK367" s="65">
        <v>0</v>
      </c>
      <c r="AL367" s="1"/>
      <c r="AM367" s="1"/>
      <c r="AN367" s="81"/>
      <c r="AO367" s="81"/>
    </row>
    <row r="368" spans="1:41" s="26" customFormat="1" hidden="1" x14ac:dyDescent="0.25">
      <c r="A368" s="3" t="s">
        <v>867</v>
      </c>
      <c r="B368" s="2" t="s">
        <v>172</v>
      </c>
      <c r="C368" s="21">
        <v>6</v>
      </c>
      <c r="D368" s="6">
        <v>1200</v>
      </c>
      <c r="E368" s="23"/>
      <c r="F368" s="28"/>
      <c r="G368" s="3" t="s">
        <v>1088</v>
      </c>
      <c r="H368" s="6"/>
      <c r="I368" s="6"/>
      <c r="J368" s="6">
        <v>30</v>
      </c>
      <c r="K368" s="21"/>
      <c r="L368" s="21" t="s">
        <v>1100</v>
      </c>
      <c r="M368" s="6" t="s">
        <v>1089</v>
      </c>
      <c r="N368" s="6"/>
      <c r="O368" s="6" t="s">
        <v>380</v>
      </c>
      <c r="P368" s="6"/>
      <c r="Q368" s="27"/>
      <c r="R368" s="28" t="s">
        <v>946</v>
      </c>
      <c r="S368" s="6"/>
      <c r="T368" s="1">
        <v>4.9019999999999994E-2</v>
      </c>
      <c r="U368" s="1">
        <v>0.26648500000000003</v>
      </c>
      <c r="V368" s="1">
        <v>0.84908500000000009</v>
      </c>
      <c r="W368" s="1">
        <v>0.69509999999999994</v>
      </c>
      <c r="X368" s="1">
        <v>0.49550499999999997</v>
      </c>
      <c r="Y368" s="1">
        <f t="shared" si="18"/>
        <v>0.47103900000000004</v>
      </c>
      <c r="Z368" s="10"/>
      <c r="AA368" s="10"/>
      <c r="AB368" s="10"/>
      <c r="AC368" s="10"/>
      <c r="AD368" s="10"/>
      <c r="AE368" s="10"/>
      <c r="AF368" s="10"/>
      <c r="AG368" s="38">
        <f t="shared" si="19"/>
        <v>0</v>
      </c>
      <c r="AH368" s="51" t="str">
        <f t="shared" si="20"/>
        <v xml:space="preserve"> </v>
      </c>
      <c r="AI368" s="64"/>
      <c r="AJ368" s="1"/>
      <c r="AK368" s="65">
        <v>0</v>
      </c>
      <c r="AL368" s="1"/>
      <c r="AM368" s="1"/>
      <c r="AN368" s="81"/>
      <c r="AO368" s="81"/>
    </row>
    <row r="369" spans="1:41" s="26" customFormat="1" hidden="1" x14ac:dyDescent="0.25">
      <c r="A369" s="3" t="s">
        <v>1135</v>
      </c>
      <c r="B369" s="2" t="s">
        <v>172</v>
      </c>
      <c r="C369" s="21">
        <v>7</v>
      </c>
      <c r="D369" s="23">
        <v>1200</v>
      </c>
      <c r="E369" s="23"/>
      <c r="F369" s="28"/>
      <c r="G369" s="3" t="s">
        <v>1133</v>
      </c>
      <c r="H369" s="4"/>
      <c r="I369" s="6"/>
      <c r="J369" s="4">
        <v>30</v>
      </c>
      <c r="K369" s="5"/>
      <c r="L369" s="5" t="s">
        <v>1136</v>
      </c>
      <c r="M369" s="4" t="s">
        <v>534</v>
      </c>
      <c r="N369" s="4"/>
      <c r="O369" s="4" t="s">
        <v>380</v>
      </c>
      <c r="P369" s="4"/>
      <c r="Q369" s="24"/>
      <c r="R369" s="25" t="s">
        <v>946</v>
      </c>
      <c r="S369" s="6"/>
      <c r="T369" s="1">
        <v>0.73379499999999998</v>
      </c>
      <c r="U369" s="1">
        <v>0.39249499999999998</v>
      </c>
      <c r="V369" s="1">
        <v>0.32423499999999994</v>
      </c>
      <c r="W369" s="1">
        <v>0.34983500000000001</v>
      </c>
      <c r="X369" s="1">
        <v>0.30291500000000005</v>
      </c>
      <c r="Y369" s="1">
        <f t="shared" si="18"/>
        <v>0.420655</v>
      </c>
      <c r="Z369" s="10"/>
      <c r="AA369" s="10"/>
      <c r="AB369" s="10"/>
      <c r="AC369" s="10"/>
      <c r="AD369" s="10"/>
      <c r="AE369" s="10"/>
      <c r="AF369" s="10"/>
      <c r="AG369" s="38">
        <f t="shared" si="19"/>
        <v>0</v>
      </c>
      <c r="AH369" s="51" t="str">
        <f t="shared" si="20"/>
        <v xml:space="preserve"> </v>
      </c>
      <c r="AI369" s="64"/>
      <c r="AJ369" s="1"/>
      <c r="AK369" s="65">
        <v>0</v>
      </c>
      <c r="AL369" s="1"/>
      <c r="AM369" s="1"/>
      <c r="AN369" s="81"/>
      <c r="AO369" s="81"/>
    </row>
    <row r="370" spans="1:41" s="26" customFormat="1" hidden="1" x14ac:dyDescent="0.25">
      <c r="A370" s="22" t="s">
        <v>1137</v>
      </c>
      <c r="B370" s="2" t="s">
        <v>1017</v>
      </c>
      <c r="C370" s="21">
        <v>1.06</v>
      </c>
      <c r="D370" s="23" t="s">
        <v>1138</v>
      </c>
      <c r="E370" s="23"/>
      <c r="F370" s="28"/>
      <c r="G370" s="3" t="s">
        <v>1139</v>
      </c>
      <c r="H370" s="6"/>
      <c r="I370" s="6"/>
      <c r="J370" s="6">
        <v>30</v>
      </c>
      <c r="K370" s="21"/>
      <c r="L370" s="21" t="s">
        <v>1100</v>
      </c>
      <c r="M370" s="4" t="s">
        <v>260</v>
      </c>
      <c r="N370" s="6"/>
      <c r="O370" s="6" t="s">
        <v>380</v>
      </c>
      <c r="P370" s="6"/>
      <c r="Q370" s="27"/>
      <c r="R370" s="28" t="s">
        <v>946</v>
      </c>
      <c r="S370" s="6"/>
      <c r="T370" s="1">
        <v>0</v>
      </c>
      <c r="U370" s="1">
        <v>0.25295000000000001</v>
      </c>
      <c r="V370" s="1">
        <v>0.75885000000000002</v>
      </c>
      <c r="W370" s="1">
        <v>0.50590000000000002</v>
      </c>
      <c r="X370" s="1">
        <v>0.50590000000000002</v>
      </c>
      <c r="Y370" s="1">
        <f t="shared" si="18"/>
        <v>0.40472000000000002</v>
      </c>
      <c r="Z370" s="10"/>
      <c r="AA370" s="10"/>
      <c r="AB370" s="10"/>
      <c r="AC370" s="10"/>
      <c r="AD370" s="10"/>
      <c r="AE370" s="10"/>
      <c r="AF370" s="10"/>
      <c r="AG370" s="38">
        <f t="shared" si="19"/>
        <v>0</v>
      </c>
      <c r="AH370" s="51" t="str">
        <f t="shared" si="20"/>
        <v xml:space="preserve"> </v>
      </c>
      <c r="AI370" s="64"/>
      <c r="AJ370" s="1"/>
      <c r="AK370" s="65">
        <v>0</v>
      </c>
      <c r="AL370" s="1"/>
      <c r="AM370" s="1"/>
      <c r="AN370" s="81"/>
      <c r="AO370" s="81"/>
    </row>
    <row r="371" spans="1:41" s="26" customFormat="1" hidden="1" x14ac:dyDescent="0.25">
      <c r="A371" s="22" t="s">
        <v>1140</v>
      </c>
      <c r="B371" s="2" t="s">
        <v>1017</v>
      </c>
      <c r="C371" s="21">
        <v>1.9</v>
      </c>
      <c r="D371" s="6">
        <v>1200</v>
      </c>
      <c r="E371" s="23"/>
      <c r="F371" s="28"/>
      <c r="G371" s="3" t="s">
        <v>1141</v>
      </c>
      <c r="H371" s="6"/>
      <c r="I371" s="6"/>
      <c r="J371" s="6">
        <v>30</v>
      </c>
      <c r="K371" s="21"/>
      <c r="L371" s="21" t="s">
        <v>1100</v>
      </c>
      <c r="M371" s="6" t="s">
        <v>1124</v>
      </c>
      <c r="N371" s="6"/>
      <c r="O371" s="6" t="s">
        <v>380</v>
      </c>
      <c r="P371" s="6"/>
      <c r="Q371" s="27"/>
      <c r="R371" s="28" t="s">
        <v>946</v>
      </c>
      <c r="S371" s="6"/>
      <c r="T371" s="1">
        <v>0.24564800000000003</v>
      </c>
      <c r="U371" s="1">
        <v>0.34012800000000004</v>
      </c>
      <c r="V371" s="1">
        <v>0.51019199999999998</v>
      </c>
      <c r="W371" s="1">
        <v>0.51019200000000009</v>
      </c>
      <c r="X371" s="1">
        <v>0.34012800000000004</v>
      </c>
      <c r="Y371" s="1">
        <f t="shared" si="18"/>
        <v>0.38925759999999998</v>
      </c>
      <c r="Z371" s="10"/>
      <c r="AA371" s="10"/>
      <c r="AB371" s="10"/>
      <c r="AC371" s="10"/>
      <c r="AD371" s="10"/>
      <c r="AE371" s="10"/>
      <c r="AF371" s="10"/>
      <c r="AG371" s="38">
        <f t="shared" si="19"/>
        <v>0</v>
      </c>
      <c r="AH371" s="51" t="str">
        <f t="shared" si="20"/>
        <v xml:space="preserve"> </v>
      </c>
      <c r="AI371" s="64"/>
      <c r="AJ371" s="1"/>
      <c r="AK371" s="65">
        <v>0</v>
      </c>
      <c r="AL371" s="1"/>
      <c r="AM371" s="1"/>
      <c r="AN371" s="81"/>
      <c r="AO371" s="81"/>
    </row>
    <row r="372" spans="1:41" s="26" customFormat="1" hidden="1" x14ac:dyDescent="0.25">
      <c r="A372" s="22" t="s">
        <v>1142</v>
      </c>
      <c r="B372" s="2" t="s">
        <v>1017</v>
      </c>
      <c r="C372" s="21">
        <v>1.5</v>
      </c>
      <c r="D372" s="23">
        <v>490</v>
      </c>
      <c r="E372" s="23"/>
      <c r="F372" s="28"/>
      <c r="G372" s="3" t="s">
        <v>1122</v>
      </c>
      <c r="H372" s="4"/>
      <c r="I372" s="4"/>
      <c r="J372" s="4">
        <v>63</v>
      </c>
      <c r="K372" s="5"/>
      <c r="L372" s="5" t="s">
        <v>1123</v>
      </c>
      <c r="M372" s="4" t="s">
        <v>1124</v>
      </c>
      <c r="N372" s="4"/>
      <c r="O372" s="4" t="s">
        <v>380</v>
      </c>
      <c r="P372" s="4"/>
      <c r="Q372" s="24"/>
      <c r="R372" s="25" t="s">
        <v>946</v>
      </c>
      <c r="S372" s="4"/>
      <c r="T372" s="1">
        <v>0</v>
      </c>
      <c r="U372" s="1">
        <v>0.35058400000000001</v>
      </c>
      <c r="V372" s="1">
        <v>0.35058400000000001</v>
      </c>
      <c r="W372" s="1">
        <v>0.52587600000000001</v>
      </c>
      <c r="X372" s="1">
        <v>0.70116800000000001</v>
      </c>
      <c r="Y372" s="1">
        <f t="shared" si="18"/>
        <v>0.3856424</v>
      </c>
      <c r="Z372" s="10"/>
      <c r="AA372" s="10"/>
      <c r="AB372" s="10"/>
      <c r="AC372" s="10"/>
      <c r="AD372" s="10"/>
      <c r="AE372" s="10"/>
      <c r="AF372" s="10"/>
      <c r="AG372" s="38">
        <f t="shared" si="19"/>
        <v>0</v>
      </c>
      <c r="AH372" s="51" t="str">
        <f t="shared" si="20"/>
        <v xml:space="preserve"> </v>
      </c>
      <c r="AI372" s="64"/>
      <c r="AJ372" s="1"/>
      <c r="AK372" s="65">
        <v>0</v>
      </c>
      <c r="AL372" s="1"/>
      <c r="AM372" s="1"/>
      <c r="AN372" s="81"/>
      <c r="AO372" s="81"/>
    </row>
    <row r="373" spans="1:41" s="26" customFormat="1" hidden="1" x14ac:dyDescent="0.25">
      <c r="A373" s="3" t="s">
        <v>1143</v>
      </c>
      <c r="B373" s="2" t="s">
        <v>172</v>
      </c>
      <c r="C373" s="21">
        <v>4.75</v>
      </c>
      <c r="D373" s="6">
        <v>1200</v>
      </c>
      <c r="E373" s="23"/>
      <c r="F373" s="28"/>
      <c r="G373" s="3" t="s">
        <v>1144</v>
      </c>
      <c r="H373" s="4"/>
      <c r="I373" s="6"/>
      <c r="J373" s="4">
        <v>30</v>
      </c>
      <c r="K373" s="5"/>
      <c r="L373" s="5" t="s">
        <v>1100</v>
      </c>
      <c r="M373" s="4" t="s">
        <v>1054</v>
      </c>
      <c r="N373" s="4"/>
      <c r="O373" s="4" t="s">
        <v>380</v>
      </c>
      <c r="P373" s="4"/>
      <c r="Q373" s="24"/>
      <c r="R373" s="25" t="s">
        <v>946</v>
      </c>
      <c r="S373" s="6"/>
      <c r="T373" s="1">
        <v>3.5153999999999998E-2</v>
      </c>
      <c r="U373" s="1">
        <v>1.8600000000000002E-2</v>
      </c>
      <c r="V373" s="1">
        <v>0.43727000000000005</v>
      </c>
      <c r="W373" s="1">
        <v>0.96623400000000015</v>
      </c>
      <c r="X373" s="1">
        <v>0.46000200000000002</v>
      </c>
      <c r="Y373" s="1">
        <f t="shared" si="18"/>
        <v>0.38345200000000002</v>
      </c>
      <c r="Z373" s="10"/>
      <c r="AA373" s="10"/>
      <c r="AB373" s="10"/>
      <c r="AC373" s="10"/>
      <c r="AD373" s="10"/>
      <c r="AE373" s="10"/>
      <c r="AF373" s="10"/>
      <c r="AG373" s="38">
        <f t="shared" si="19"/>
        <v>0</v>
      </c>
      <c r="AH373" s="51" t="str">
        <f t="shared" si="20"/>
        <v xml:space="preserve"> </v>
      </c>
      <c r="AI373" s="64"/>
      <c r="AJ373" s="1"/>
      <c r="AK373" s="65">
        <v>0</v>
      </c>
      <c r="AL373" s="1"/>
      <c r="AM373" s="1"/>
      <c r="AN373" s="81"/>
      <c r="AO373" s="81"/>
    </row>
    <row r="374" spans="1:41" s="26" customFormat="1" hidden="1" x14ac:dyDescent="0.25">
      <c r="A374" s="3" t="s">
        <v>1145</v>
      </c>
      <c r="B374" s="2" t="s">
        <v>172</v>
      </c>
      <c r="C374" s="21">
        <v>9.5</v>
      </c>
      <c r="D374" s="23">
        <v>1250</v>
      </c>
      <c r="E374" s="23"/>
      <c r="F374" s="28"/>
      <c r="G374" s="3" t="s">
        <v>1133</v>
      </c>
      <c r="H374" s="4"/>
      <c r="I374" s="6"/>
      <c r="J374" s="4">
        <v>30</v>
      </c>
      <c r="K374" s="5"/>
      <c r="L374" s="5" t="s">
        <v>1075</v>
      </c>
      <c r="M374" s="4" t="s">
        <v>534</v>
      </c>
      <c r="N374" s="4"/>
      <c r="O374" s="4" t="s">
        <v>380</v>
      </c>
      <c r="P374" s="4"/>
      <c r="Q374" s="24"/>
      <c r="R374" s="25" t="s">
        <v>946</v>
      </c>
      <c r="S374" s="6"/>
      <c r="T374" s="1">
        <v>0.62061599999999995</v>
      </c>
      <c r="U374" s="1">
        <v>0.348416</v>
      </c>
      <c r="V374" s="1">
        <v>0.30486399999999997</v>
      </c>
      <c r="W374" s="1">
        <v>0.30486399999999997</v>
      </c>
      <c r="X374" s="1">
        <v>0.174208</v>
      </c>
      <c r="Y374" s="1">
        <f t="shared" si="18"/>
        <v>0.35059359999999995</v>
      </c>
      <c r="Z374" s="10"/>
      <c r="AA374" s="10"/>
      <c r="AB374" s="10"/>
      <c r="AC374" s="10"/>
      <c r="AD374" s="10"/>
      <c r="AE374" s="10"/>
      <c r="AF374" s="10"/>
      <c r="AG374" s="38">
        <f t="shared" si="19"/>
        <v>0</v>
      </c>
      <c r="AH374" s="51" t="str">
        <f t="shared" si="20"/>
        <v xml:space="preserve"> </v>
      </c>
      <c r="AI374" s="64"/>
      <c r="AJ374" s="1"/>
      <c r="AK374" s="65">
        <v>0</v>
      </c>
      <c r="AL374" s="1"/>
      <c r="AM374" s="1"/>
      <c r="AN374" s="81"/>
      <c r="AO374" s="81"/>
    </row>
    <row r="375" spans="1:41" s="26" customFormat="1" hidden="1" x14ac:dyDescent="0.25">
      <c r="A375" s="22" t="s">
        <v>1146</v>
      </c>
      <c r="B375" s="2" t="s">
        <v>1017</v>
      </c>
      <c r="C375" s="21">
        <v>1.5</v>
      </c>
      <c r="D375" s="23">
        <v>490</v>
      </c>
      <c r="E375" s="23"/>
      <c r="F375" s="28"/>
      <c r="G375" s="3" t="s">
        <v>1122</v>
      </c>
      <c r="H375" s="4"/>
      <c r="I375" s="6"/>
      <c r="J375" s="4">
        <v>63</v>
      </c>
      <c r="K375" s="5"/>
      <c r="L375" s="5" t="s">
        <v>1123</v>
      </c>
      <c r="M375" s="4" t="s">
        <v>1124</v>
      </c>
      <c r="N375" s="4"/>
      <c r="O375" s="4" t="s">
        <v>380</v>
      </c>
      <c r="P375" s="4"/>
      <c r="Q375" s="24"/>
      <c r="R375" s="25" t="s">
        <v>946</v>
      </c>
      <c r="S375" s="6"/>
      <c r="T375" s="1">
        <v>0.18548699999999999</v>
      </c>
      <c r="U375" s="1">
        <v>0.37824799999999997</v>
      </c>
      <c r="V375" s="1">
        <v>0.37824799999999997</v>
      </c>
      <c r="W375" s="1">
        <v>0.37824799999999997</v>
      </c>
      <c r="X375" s="1">
        <v>0.37824799999999997</v>
      </c>
      <c r="Y375" s="1">
        <f t="shared" si="18"/>
        <v>0.33969579999999999</v>
      </c>
      <c r="Z375" s="10"/>
      <c r="AA375" s="10"/>
      <c r="AB375" s="10"/>
      <c r="AC375" s="10"/>
      <c r="AD375" s="10"/>
      <c r="AE375" s="10"/>
      <c r="AF375" s="10"/>
      <c r="AG375" s="38">
        <f t="shared" si="19"/>
        <v>0</v>
      </c>
      <c r="AH375" s="51" t="str">
        <f t="shared" si="20"/>
        <v xml:space="preserve"> </v>
      </c>
      <c r="AI375" s="64"/>
      <c r="AJ375" s="1"/>
      <c r="AK375" s="65">
        <v>0</v>
      </c>
      <c r="AL375" s="1"/>
      <c r="AM375" s="1"/>
      <c r="AN375" s="81"/>
      <c r="AO375" s="81"/>
    </row>
    <row r="376" spans="1:41" s="26" customFormat="1" hidden="1" x14ac:dyDescent="0.25">
      <c r="A376" s="3" t="s">
        <v>1147</v>
      </c>
      <c r="B376" s="2" t="s">
        <v>172</v>
      </c>
      <c r="C376" s="21">
        <v>7</v>
      </c>
      <c r="D376" s="23">
        <v>1000</v>
      </c>
      <c r="E376" s="23"/>
      <c r="F376" s="28"/>
      <c r="G376" s="3" t="s">
        <v>1108</v>
      </c>
      <c r="H376" s="6"/>
      <c r="I376" s="6"/>
      <c r="J376" s="6">
        <v>30</v>
      </c>
      <c r="K376" s="5"/>
      <c r="L376" s="5" t="s">
        <v>1100</v>
      </c>
      <c r="M376" s="4" t="s">
        <v>954</v>
      </c>
      <c r="N376" s="6"/>
      <c r="O376" s="6" t="s">
        <v>380</v>
      </c>
      <c r="P376" s="6"/>
      <c r="Q376" s="27"/>
      <c r="R376" s="28" t="s">
        <v>946</v>
      </c>
      <c r="S376" s="6"/>
      <c r="T376" s="1">
        <v>0</v>
      </c>
      <c r="U376" s="1">
        <v>0.2301</v>
      </c>
      <c r="V376" s="1">
        <v>0.53689999999999993</v>
      </c>
      <c r="W376" s="1">
        <v>0.49854999999999999</v>
      </c>
      <c r="X376" s="1">
        <v>0.36816000000000004</v>
      </c>
      <c r="Y376" s="1">
        <f t="shared" si="18"/>
        <v>0.32674199999999998</v>
      </c>
      <c r="Z376" s="10"/>
      <c r="AA376" s="10"/>
      <c r="AB376" s="10"/>
      <c r="AC376" s="10"/>
      <c r="AD376" s="10"/>
      <c r="AE376" s="10"/>
      <c r="AF376" s="10"/>
      <c r="AG376" s="38">
        <f t="shared" si="19"/>
        <v>0</v>
      </c>
      <c r="AH376" s="51" t="str">
        <f t="shared" si="20"/>
        <v xml:space="preserve"> </v>
      </c>
      <c r="AI376" s="64"/>
      <c r="AJ376" s="1"/>
      <c r="AK376" s="65">
        <v>0</v>
      </c>
      <c r="AL376" s="1"/>
      <c r="AM376" s="1"/>
      <c r="AN376" s="81"/>
      <c r="AO376" s="81"/>
    </row>
    <row r="377" spans="1:41" s="26" customFormat="1" hidden="1" x14ac:dyDescent="0.25">
      <c r="A377" s="22" t="s">
        <v>1148</v>
      </c>
      <c r="B377" s="2" t="s">
        <v>172</v>
      </c>
      <c r="C377" s="21">
        <v>2</v>
      </c>
      <c r="D377" s="6">
        <v>1200</v>
      </c>
      <c r="E377" s="23"/>
      <c r="F377" s="28"/>
      <c r="G377" s="3" t="s">
        <v>1038</v>
      </c>
      <c r="H377" s="4"/>
      <c r="I377" s="4"/>
      <c r="J377" s="4">
        <v>30</v>
      </c>
      <c r="K377" s="5"/>
      <c r="L377" s="5" t="s">
        <v>1100</v>
      </c>
      <c r="M377" s="4" t="s">
        <v>1129</v>
      </c>
      <c r="N377" s="4"/>
      <c r="O377" s="4" t="s">
        <v>380</v>
      </c>
      <c r="P377" s="4"/>
      <c r="Q377" s="24"/>
      <c r="R377" s="25" t="s">
        <v>946</v>
      </c>
      <c r="S377" s="4"/>
      <c r="T377" s="1">
        <v>1.3120000000000003E-2</v>
      </c>
      <c r="U377" s="1">
        <v>0.15301200000000004</v>
      </c>
      <c r="V377" s="1">
        <v>0.40147200000000011</v>
      </c>
      <c r="W377" s="1">
        <v>0.50446400000000002</v>
      </c>
      <c r="X377" s="1">
        <v>0.42607200000000001</v>
      </c>
      <c r="Y377" s="1">
        <f t="shared" si="18"/>
        <v>0.29962800000000006</v>
      </c>
      <c r="Z377" s="10"/>
      <c r="AA377" s="10"/>
      <c r="AB377" s="10"/>
      <c r="AC377" s="10"/>
      <c r="AD377" s="10"/>
      <c r="AE377" s="10"/>
      <c r="AF377" s="10"/>
      <c r="AG377" s="38">
        <f t="shared" si="19"/>
        <v>0</v>
      </c>
      <c r="AH377" s="51" t="str">
        <f t="shared" si="20"/>
        <v xml:space="preserve"> </v>
      </c>
      <c r="AI377" s="64"/>
      <c r="AJ377" s="1"/>
      <c r="AK377" s="65">
        <v>0</v>
      </c>
      <c r="AL377" s="1"/>
      <c r="AM377" s="1"/>
      <c r="AN377" s="81"/>
      <c r="AO377" s="81"/>
    </row>
    <row r="378" spans="1:41" s="26" customFormat="1" hidden="1" x14ac:dyDescent="0.25">
      <c r="A378" s="22" t="s">
        <v>1149</v>
      </c>
      <c r="B378" s="2" t="s">
        <v>172</v>
      </c>
      <c r="C378" s="21">
        <v>2</v>
      </c>
      <c r="D378" s="6">
        <v>1050</v>
      </c>
      <c r="E378" s="23"/>
      <c r="F378" s="28"/>
      <c r="G378" s="3" t="s">
        <v>1150</v>
      </c>
      <c r="H378" s="6"/>
      <c r="I378" s="6"/>
      <c r="J378" s="6">
        <v>30</v>
      </c>
      <c r="K378" s="21"/>
      <c r="L378" s="21" t="s">
        <v>1100</v>
      </c>
      <c r="M378" s="4" t="s">
        <v>260</v>
      </c>
      <c r="N378" s="6"/>
      <c r="O378" s="6" t="s">
        <v>380</v>
      </c>
      <c r="P378" s="6"/>
      <c r="Q378" s="27"/>
      <c r="R378" s="28" t="s">
        <v>946</v>
      </c>
      <c r="S378" s="6"/>
      <c r="T378" s="1">
        <v>0</v>
      </c>
      <c r="U378" s="1">
        <v>7.5456000000000009E-2</v>
      </c>
      <c r="V378" s="1">
        <v>0.57942399999999994</v>
      </c>
      <c r="W378" s="1">
        <v>0.32435599999999998</v>
      </c>
      <c r="X378" s="1">
        <v>0.342526</v>
      </c>
      <c r="Y378" s="1">
        <f t="shared" si="18"/>
        <v>0.26435239999999999</v>
      </c>
      <c r="Z378" s="10"/>
      <c r="AA378" s="10"/>
      <c r="AB378" s="10"/>
      <c r="AC378" s="10"/>
      <c r="AD378" s="10"/>
      <c r="AE378" s="10"/>
      <c r="AF378" s="10"/>
      <c r="AG378" s="38">
        <f t="shared" si="19"/>
        <v>0</v>
      </c>
      <c r="AH378" s="51" t="str">
        <f t="shared" si="20"/>
        <v xml:space="preserve"> </v>
      </c>
      <c r="AI378" s="64"/>
      <c r="AJ378" s="1"/>
      <c r="AK378" s="65">
        <v>0</v>
      </c>
      <c r="AL378" s="1"/>
      <c r="AM378" s="1"/>
      <c r="AN378" s="81"/>
      <c r="AO378" s="81"/>
    </row>
    <row r="379" spans="1:41" s="26" customFormat="1" hidden="1" x14ac:dyDescent="0.25">
      <c r="A379" s="22" t="s">
        <v>1151</v>
      </c>
      <c r="B379" s="2" t="s">
        <v>1017</v>
      </c>
      <c r="C379" s="21">
        <v>1.5</v>
      </c>
      <c r="D379" s="23">
        <v>1200</v>
      </c>
      <c r="E379" s="23"/>
      <c r="F379" s="28"/>
      <c r="G379" s="3" t="s">
        <v>1152</v>
      </c>
      <c r="H379" s="6"/>
      <c r="I379" s="6"/>
      <c r="J379" s="6">
        <v>30</v>
      </c>
      <c r="K379" s="21"/>
      <c r="L379" s="21" t="s">
        <v>1136</v>
      </c>
      <c r="M379" s="6" t="s">
        <v>260</v>
      </c>
      <c r="N379" s="6"/>
      <c r="O379" s="6" t="s">
        <v>380</v>
      </c>
      <c r="P379" s="6"/>
      <c r="Q379" s="27"/>
      <c r="R379" s="28" t="s">
        <v>946</v>
      </c>
      <c r="S379" s="6"/>
      <c r="T379" s="1">
        <v>0</v>
      </c>
      <c r="U379" s="1">
        <v>0</v>
      </c>
      <c r="V379" s="1">
        <v>0.46367999999999998</v>
      </c>
      <c r="W379" s="1">
        <v>0.34776000000000001</v>
      </c>
      <c r="X379" s="1">
        <v>0.33326999999999996</v>
      </c>
      <c r="Y379" s="1">
        <f t="shared" si="18"/>
        <v>0.22894199999999998</v>
      </c>
      <c r="Z379" s="10"/>
      <c r="AA379" s="10"/>
      <c r="AB379" s="10"/>
      <c r="AC379" s="10"/>
      <c r="AD379" s="10"/>
      <c r="AE379" s="10"/>
      <c r="AF379" s="10"/>
      <c r="AG379" s="38">
        <f t="shared" si="19"/>
        <v>0</v>
      </c>
      <c r="AH379" s="51" t="str">
        <f t="shared" si="20"/>
        <v xml:space="preserve"> </v>
      </c>
      <c r="AI379" s="64"/>
      <c r="AJ379" s="1"/>
      <c r="AK379" s="65">
        <v>0</v>
      </c>
      <c r="AL379" s="1"/>
      <c r="AM379" s="1"/>
      <c r="AN379" s="81"/>
      <c r="AO379" s="81"/>
    </row>
    <row r="380" spans="1:41" s="26" customFormat="1" hidden="1" x14ac:dyDescent="0.25">
      <c r="A380" s="22" t="s">
        <v>1153</v>
      </c>
      <c r="B380" s="2" t="s">
        <v>1017</v>
      </c>
      <c r="C380" s="21">
        <v>1.5</v>
      </c>
      <c r="D380" s="6">
        <v>1100</v>
      </c>
      <c r="E380" s="23"/>
      <c r="F380" s="28"/>
      <c r="G380" s="3" t="s">
        <v>1154</v>
      </c>
      <c r="H380" s="4"/>
      <c r="I380" s="6"/>
      <c r="J380" s="4">
        <v>30</v>
      </c>
      <c r="K380" s="5"/>
      <c r="L380" s="5" t="s">
        <v>1100</v>
      </c>
      <c r="M380" s="4" t="s">
        <v>1155</v>
      </c>
      <c r="N380" s="4"/>
      <c r="O380" s="4" t="s">
        <v>380</v>
      </c>
      <c r="P380" s="4"/>
      <c r="Q380" s="24"/>
      <c r="R380" s="25" t="s">
        <v>946</v>
      </c>
      <c r="S380" s="6"/>
      <c r="T380" s="1">
        <v>0.40426000000000001</v>
      </c>
      <c r="U380" s="1">
        <v>0.15456999999999999</v>
      </c>
      <c r="V380" s="1">
        <v>0</v>
      </c>
      <c r="W380" s="1">
        <v>0.24969</v>
      </c>
      <c r="X380" s="1">
        <v>0.17835000000000004</v>
      </c>
      <c r="Y380" s="1">
        <f t="shared" si="18"/>
        <v>0.19737399999999999</v>
      </c>
      <c r="Z380" s="10"/>
      <c r="AA380" s="10"/>
      <c r="AB380" s="10"/>
      <c r="AC380" s="10"/>
      <c r="AD380" s="10"/>
      <c r="AE380" s="10"/>
      <c r="AF380" s="10"/>
      <c r="AG380" s="38">
        <f t="shared" si="19"/>
        <v>0</v>
      </c>
      <c r="AH380" s="51" t="str">
        <f t="shared" si="20"/>
        <v xml:space="preserve"> </v>
      </c>
      <c r="AI380" s="64"/>
      <c r="AJ380" s="1"/>
      <c r="AK380" s="65">
        <v>0</v>
      </c>
      <c r="AL380" s="1"/>
      <c r="AM380" s="1"/>
      <c r="AN380" s="81"/>
      <c r="AO380" s="81"/>
    </row>
    <row r="381" spans="1:41" s="26" customFormat="1" hidden="1" x14ac:dyDescent="0.25">
      <c r="A381" s="22" t="s">
        <v>1156</v>
      </c>
      <c r="B381" s="2" t="s">
        <v>172</v>
      </c>
      <c r="C381" s="21">
        <v>0.6</v>
      </c>
      <c r="D381" s="23">
        <v>333</v>
      </c>
      <c r="E381" s="23">
        <v>145</v>
      </c>
      <c r="F381" s="77">
        <v>0.02</v>
      </c>
      <c r="G381" s="3" t="s">
        <v>1034</v>
      </c>
      <c r="H381" s="6"/>
      <c r="I381" s="6"/>
      <c r="J381" s="6">
        <v>30</v>
      </c>
      <c r="K381" s="21"/>
      <c r="L381" s="21" t="s">
        <v>1100</v>
      </c>
      <c r="M381" s="4" t="s">
        <v>954</v>
      </c>
      <c r="N381" s="6"/>
      <c r="O381" s="6" t="s">
        <v>380</v>
      </c>
      <c r="P381" s="6"/>
      <c r="Q381" s="27"/>
      <c r="R381" s="28" t="s">
        <v>946</v>
      </c>
      <c r="S381" s="6"/>
      <c r="T381" s="1">
        <v>0</v>
      </c>
      <c r="U381" s="1">
        <v>0.92727599999999999</v>
      </c>
      <c r="V381" s="1">
        <v>0</v>
      </c>
      <c r="W381" s="1">
        <v>0</v>
      </c>
      <c r="X381" s="1">
        <v>0</v>
      </c>
      <c r="Y381" s="1">
        <f t="shared" si="18"/>
        <v>0.18545519999999999</v>
      </c>
      <c r="Z381" s="10"/>
      <c r="AA381" s="10"/>
      <c r="AB381" s="10"/>
      <c r="AC381" s="10"/>
      <c r="AD381" s="10"/>
      <c r="AE381" s="10"/>
      <c r="AF381" s="10"/>
      <c r="AG381" s="38">
        <f t="shared" si="19"/>
        <v>0</v>
      </c>
      <c r="AH381" s="51" t="str">
        <f t="shared" si="20"/>
        <v xml:space="preserve"> </v>
      </c>
      <c r="AI381" s="64"/>
      <c r="AJ381" s="1"/>
      <c r="AK381" s="65">
        <v>0</v>
      </c>
      <c r="AL381" s="1"/>
      <c r="AM381" s="1"/>
      <c r="AN381" s="81"/>
      <c r="AO381" s="81"/>
    </row>
    <row r="382" spans="1:41" s="26" customFormat="1" hidden="1" x14ac:dyDescent="0.25">
      <c r="A382" s="3" t="s">
        <v>1157</v>
      </c>
      <c r="B382" s="2" t="s">
        <v>172</v>
      </c>
      <c r="C382" s="21">
        <v>2</v>
      </c>
      <c r="D382" s="23">
        <v>1200</v>
      </c>
      <c r="E382" s="23"/>
      <c r="F382" s="28"/>
      <c r="G382" s="3" t="s">
        <v>1158</v>
      </c>
      <c r="H382" s="6"/>
      <c r="I382" s="6"/>
      <c r="J382" s="6">
        <v>31</v>
      </c>
      <c r="K382" s="21"/>
      <c r="L382" s="21" t="s">
        <v>1100</v>
      </c>
      <c r="M382" s="6"/>
      <c r="N382" s="6"/>
      <c r="O382" s="6"/>
      <c r="P382" s="6"/>
      <c r="Q382" s="27"/>
      <c r="R382" s="28" t="s">
        <v>946</v>
      </c>
      <c r="S382" s="6"/>
      <c r="T382" s="1">
        <v>0</v>
      </c>
      <c r="U382" s="1">
        <v>0.19782</v>
      </c>
      <c r="V382" s="1">
        <v>0.26375999999999999</v>
      </c>
      <c r="W382" s="1">
        <v>0.23738399999999998</v>
      </c>
      <c r="X382" s="1">
        <v>0.21100799999999997</v>
      </c>
      <c r="Y382" s="1">
        <f t="shared" si="18"/>
        <v>0.18199439999999997</v>
      </c>
      <c r="Z382" s="10"/>
      <c r="AA382" s="10"/>
      <c r="AB382" s="10"/>
      <c r="AC382" s="10"/>
      <c r="AD382" s="10"/>
      <c r="AE382" s="10"/>
      <c r="AF382" s="10"/>
      <c r="AG382" s="38">
        <f t="shared" si="19"/>
        <v>0</v>
      </c>
      <c r="AH382" s="51" t="str">
        <f t="shared" si="20"/>
        <v xml:space="preserve"> </v>
      </c>
      <c r="AI382" s="64"/>
      <c r="AJ382" s="1"/>
      <c r="AK382" s="65">
        <v>0</v>
      </c>
      <c r="AL382" s="1"/>
      <c r="AM382" s="1"/>
      <c r="AN382" s="81"/>
      <c r="AO382" s="81"/>
    </row>
    <row r="383" spans="1:41" s="26" customFormat="1" hidden="1" x14ac:dyDescent="0.25">
      <c r="A383" s="22" t="s">
        <v>1159</v>
      </c>
      <c r="B383" s="2" t="s">
        <v>172</v>
      </c>
      <c r="C383" s="21">
        <v>2</v>
      </c>
      <c r="D383" s="6">
        <v>1200</v>
      </c>
      <c r="E383" s="23"/>
      <c r="F383" s="28"/>
      <c r="G383" s="3" t="s">
        <v>1108</v>
      </c>
      <c r="H383" s="6"/>
      <c r="I383" s="6"/>
      <c r="J383" s="6">
        <v>30</v>
      </c>
      <c r="K383" s="21"/>
      <c r="L383" s="21" t="s">
        <v>1100</v>
      </c>
      <c r="M383" s="6" t="s">
        <v>1129</v>
      </c>
      <c r="N383" s="6"/>
      <c r="O383" s="6" t="s">
        <v>380</v>
      </c>
      <c r="P383" s="6"/>
      <c r="Q383" s="27"/>
      <c r="R383" s="28" t="s">
        <v>946</v>
      </c>
      <c r="S383" s="6"/>
      <c r="T383" s="1">
        <v>8.4847000000000006E-2</v>
      </c>
      <c r="U383" s="1">
        <v>0.13008799999999998</v>
      </c>
      <c r="V383" s="1">
        <v>0.150696</v>
      </c>
      <c r="W383" s="1">
        <v>0.26357400000000003</v>
      </c>
      <c r="X383" s="1">
        <v>0.21158800000000003</v>
      </c>
      <c r="Y383" s="1">
        <f t="shared" si="18"/>
        <v>0.16815859999999999</v>
      </c>
      <c r="Z383" s="10"/>
      <c r="AA383" s="10"/>
      <c r="AB383" s="10"/>
      <c r="AC383" s="10"/>
      <c r="AD383" s="10"/>
      <c r="AE383" s="10"/>
      <c r="AF383" s="10"/>
      <c r="AG383" s="38">
        <f t="shared" si="19"/>
        <v>0</v>
      </c>
      <c r="AH383" s="51" t="str">
        <f t="shared" si="20"/>
        <v xml:space="preserve"> </v>
      </c>
      <c r="AI383" s="64"/>
      <c r="AJ383" s="1"/>
      <c r="AK383" s="65">
        <v>0</v>
      </c>
      <c r="AL383" s="1"/>
      <c r="AM383" s="1"/>
      <c r="AN383" s="81"/>
      <c r="AO383" s="81"/>
    </row>
    <row r="384" spans="1:41" s="26" customFormat="1" hidden="1" x14ac:dyDescent="0.25">
      <c r="A384" s="22" t="s">
        <v>491</v>
      </c>
      <c r="B384" s="2" t="s">
        <v>172</v>
      </c>
      <c r="C384" s="21">
        <v>2.65</v>
      </c>
      <c r="D384" s="6">
        <v>1200</v>
      </c>
      <c r="E384" s="23"/>
      <c r="F384" s="28"/>
      <c r="G384" s="3" t="s">
        <v>1104</v>
      </c>
      <c r="H384" s="6"/>
      <c r="I384" s="6"/>
      <c r="J384" s="6">
        <v>30</v>
      </c>
      <c r="K384" s="21"/>
      <c r="L384" s="21" t="s">
        <v>1075</v>
      </c>
      <c r="M384" s="6" t="s">
        <v>260</v>
      </c>
      <c r="N384" s="6"/>
      <c r="O384" s="6" t="s">
        <v>380</v>
      </c>
      <c r="P384" s="6"/>
      <c r="Q384" s="27"/>
      <c r="R384" s="28" t="s">
        <v>946</v>
      </c>
      <c r="S384" s="6"/>
      <c r="T384" s="1">
        <v>3.8052000000000002E-2</v>
      </c>
      <c r="U384" s="1">
        <v>0.25367999999999996</v>
      </c>
      <c r="V384" s="1">
        <v>0.22831199999999999</v>
      </c>
      <c r="W384" s="1">
        <v>0.16489199999999998</v>
      </c>
      <c r="X384" s="1">
        <v>0.13952400000000001</v>
      </c>
      <c r="Y384" s="1">
        <f t="shared" si="18"/>
        <v>0.16489199999999998</v>
      </c>
      <c r="Z384" s="10"/>
      <c r="AA384" s="10"/>
      <c r="AB384" s="10"/>
      <c r="AC384" s="10"/>
      <c r="AD384" s="10"/>
      <c r="AE384" s="10"/>
      <c r="AF384" s="10"/>
      <c r="AG384" s="38">
        <f t="shared" si="19"/>
        <v>0</v>
      </c>
      <c r="AH384" s="51" t="str">
        <f t="shared" si="20"/>
        <v xml:space="preserve"> </v>
      </c>
      <c r="AI384" s="64"/>
      <c r="AJ384" s="1"/>
      <c r="AK384" s="65">
        <v>0</v>
      </c>
      <c r="AL384" s="1"/>
      <c r="AM384" s="1"/>
      <c r="AN384" s="81"/>
      <c r="AO384" s="81"/>
    </row>
    <row r="385" spans="1:41" s="26" customFormat="1" hidden="1" x14ac:dyDescent="0.25">
      <c r="A385" s="3" t="s">
        <v>1160</v>
      </c>
      <c r="B385" s="2" t="s">
        <v>172</v>
      </c>
      <c r="C385" s="21">
        <v>3</v>
      </c>
      <c r="D385" s="23">
        <v>1200</v>
      </c>
      <c r="E385" s="23"/>
      <c r="F385" s="28"/>
      <c r="G385" s="3" t="s">
        <v>1026</v>
      </c>
      <c r="H385" s="4"/>
      <c r="I385" s="6" t="s">
        <v>942</v>
      </c>
      <c r="J385" s="4">
        <v>59</v>
      </c>
      <c r="K385" s="5"/>
      <c r="L385" s="5" t="s">
        <v>45</v>
      </c>
      <c r="M385" s="4" t="s">
        <v>240</v>
      </c>
      <c r="N385" s="4"/>
      <c r="O385" s="4" t="s">
        <v>380</v>
      </c>
      <c r="P385" s="4"/>
      <c r="Q385" s="24"/>
      <c r="R385" s="25" t="s">
        <v>946</v>
      </c>
      <c r="S385" s="4" t="s">
        <v>177</v>
      </c>
      <c r="T385" s="1">
        <v>0.10269</v>
      </c>
      <c r="U385" s="1">
        <v>7.3349999999999999E-2</v>
      </c>
      <c r="V385" s="1">
        <v>7.3349999999999999E-2</v>
      </c>
      <c r="W385" s="1">
        <v>0.180675</v>
      </c>
      <c r="X385" s="1">
        <v>0.31734000000000001</v>
      </c>
      <c r="Y385" s="1">
        <f t="shared" si="18"/>
        <v>0.14948100000000003</v>
      </c>
      <c r="Z385" s="10"/>
      <c r="AA385" s="10"/>
      <c r="AB385" s="10"/>
      <c r="AC385" s="10"/>
      <c r="AD385" s="10"/>
      <c r="AE385" s="10"/>
      <c r="AF385" s="10"/>
      <c r="AG385" s="38">
        <f t="shared" si="19"/>
        <v>0</v>
      </c>
      <c r="AH385" s="51" t="str">
        <f t="shared" si="20"/>
        <v xml:space="preserve"> </v>
      </c>
      <c r="AI385" s="64"/>
      <c r="AJ385" s="1"/>
      <c r="AK385" s="65">
        <v>0</v>
      </c>
      <c r="AL385" s="1"/>
      <c r="AM385" s="1"/>
      <c r="AN385" s="81"/>
      <c r="AO385" s="81"/>
    </row>
    <row r="386" spans="1:41" s="26" customFormat="1" hidden="1" x14ac:dyDescent="0.25">
      <c r="A386" s="22" t="s">
        <v>672</v>
      </c>
      <c r="B386" s="2" t="s">
        <v>172</v>
      </c>
      <c r="C386" s="21">
        <v>2</v>
      </c>
      <c r="D386" s="6">
        <v>1200</v>
      </c>
      <c r="E386" s="23"/>
      <c r="F386" s="28"/>
      <c r="G386" s="3" t="s">
        <v>1161</v>
      </c>
      <c r="H386" s="6"/>
      <c r="I386" s="6"/>
      <c r="J386" s="6">
        <v>30</v>
      </c>
      <c r="K386" s="21"/>
      <c r="L386" s="21" t="s">
        <v>1100</v>
      </c>
      <c r="M386" s="6" t="s">
        <v>260</v>
      </c>
      <c r="N386" s="6"/>
      <c r="O386" s="6" t="s">
        <v>380</v>
      </c>
      <c r="P386" s="6"/>
      <c r="Q386" s="27"/>
      <c r="R386" s="28" t="s">
        <v>946</v>
      </c>
      <c r="S386" s="6"/>
      <c r="T386" s="1">
        <v>8.9759999999999993E-2</v>
      </c>
      <c r="U386" s="1">
        <v>5.3831999999999991E-2</v>
      </c>
      <c r="V386" s="1">
        <v>0.24535200000000001</v>
      </c>
      <c r="W386" s="1">
        <v>0.20796000000000001</v>
      </c>
      <c r="X386" s="1">
        <v>0.11865600000000001</v>
      </c>
      <c r="Y386" s="1">
        <f t="shared" si="18"/>
        <v>0.14311199999999999</v>
      </c>
      <c r="Z386" s="10"/>
      <c r="AA386" s="10"/>
      <c r="AB386" s="10"/>
      <c r="AC386" s="10"/>
      <c r="AD386" s="10"/>
      <c r="AE386" s="10"/>
      <c r="AF386" s="10"/>
      <c r="AG386" s="38">
        <f t="shared" si="19"/>
        <v>0</v>
      </c>
      <c r="AH386" s="51" t="str">
        <f t="shared" si="20"/>
        <v xml:space="preserve"> </v>
      </c>
      <c r="AI386" s="64"/>
      <c r="AJ386" s="1"/>
      <c r="AK386" s="65">
        <v>0</v>
      </c>
      <c r="AL386" s="1"/>
      <c r="AM386" s="1"/>
      <c r="AN386" s="81"/>
      <c r="AO386" s="81"/>
    </row>
    <row r="387" spans="1:41" s="26" customFormat="1" hidden="1" x14ac:dyDescent="0.25">
      <c r="A387" s="22" t="s">
        <v>482</v>
      </c>
      <c r="B387" s="2" t="s">
        <v>172</v>
      </c>
      <c r="C387" s="21">
        <v>2.65</v>
      </c>
      <c r="D387" s="6">
        <v>1200</v>
      </c>
      <c r="E387" s="23"/>
      <c r="F387" s="28"/>
      <c r="G387" s="3" t="s">
        <v>1162</v>
      </c>
      <c r="H387" s="6"/>
      <c r="I387" s="6"/>
      <c r="J387" s="6">
        <v>30</v>
      </c>
      <c r="K387" s="21"/>
      <c r="L387" s="21" t="s">
        <v>1075</v>
      </c>
      <c r="M387" s="4" t="s">
        <v>1163</v>
      </c>
      <c r="N387" s="6"/>
      <c r="O387" s="6" t="s">
        <v>380</v>
      </c>
      <c r="P387" s="6"/>
      <c r="Q387" s="27"/>
      <c r="R387" s="28" t="s">
        <v>946</v>
      </c>
      <c r="S387" s="6"/>
      <c r="T387" s="1">
        <v>0</v>
      </c>
      <c r="U387" s="1">
        <v>0.15246000000000001</v>
      </c>
      <c r="V387" s="1">
        <v>0.19601999999999997</v>
      </c>
      <c r="W387" s="1">
        <v>0.1368</v>
      </c>
      <c r="X387" s="1">
        <v>0.16335</v>
      </c>
      <c r="Y387" s="1">
        <f t="shared" si="18"/>
        <v>0.12972600000000001</v>
      </c>
      <c r="Z387" s="10"/>
      <c r="AA387" s="10"/>
      <c r="AB387" s="10"/>
      <c r="AC387" s="10"/>
      <c r="AD387" s="10"/>
      <c r="AE387" s="10"/>
      <c r="AF387" s="10"/>
      <c r="AG387" s="38">
        <f t="shared" si="19"/>
        <v>0</v>
      </c>
      <c r="AH387" s="51" t="str">
        <f t="shared" si="20"/>
        <v xml:space="preserve"> </v>
      </c>
      <c r="AI387" s="64"/>
      <c r="AJ387" s="1"/>
      <c r="AK387" s="65">
        <v>0</v>
      </c>
      <c r="AL387" s="1"/>
      <c r="AM387" s="1"/>
      <c r="AN387" s="81"/>
      <c r="AO387" s="81"/>
    </row>
    <row r="388" spans="1:41" s="26" customFormat="1" hidden="1" x14ac:dyDescent="0.25">
      <c r="A388" s="3" t="s">
        <v>1164</v>
      </c>
      <c r="B388" s="2" t="s">
        <v>172</v>
      </c>
      <c r="C388" s="21">
        <v>7</v>
      </c>
      <c r="D388" s="23">
        <v>1200</v>
      </c>
      <c r="E388" s="23"/>
      <c r="F388" s="28"/>
      <c r="G388" s="3" t="s">
        <v>1133</v>
      </c>
      <c r="H388" s="6"/>
      <c r="I388" s="6"/>
      <c r="J388" s="6">
        <v>30</v>
      </c>
      <c r="K388" s="21"/>
      <c r="L388" s="21" t="s">
        <v>1100</v>
      </c>
      <c r="M388" s="6" t="s">
        <v>534</v>
      </c>
      <c r="N388" s="6"/>
      <c r="O388" s="6" t="s">
        <v>380</v>
      </c>
      <c r="P388" s="6"/>
      <c r="Q388" s="27"/>
      <c r="R388" s="28" t="s">
        <v>946</v>
      </c>
      <c r="S388" s="6"/>
      <c r="T388" s="1">
        <v>0</v>
      </c>
      <c r="U388" s="1">
        <v>0</v>
      </c>
      <c r="V388" s="1">
        <v>0.18513600000000002</v>
      </c>
      <c r="W388" s="1">
        <v>0.18513600000000002</v>
      </c>
      <c r="X388" s="1">
        <v>0.18513600000000002</v>
      </c>
      <c r="Y388" s="1">
        <f t="shared" si="18"/>
        <v>0.11108160000000003</v>
      </c>
      <c r="Z388" s="10"/>
      <c r="AA388" s="10"/>
      <c r="AB388" s="10"/>
      <c r="AC388" s="10"/>
      <c r="AD388" s="10"/>
      <c r="AE388" s="10"/>
      <c r="AF388" s="10"/>
      <c r="AG388" s="38">
        <f t="shared" si="19"/>
        <v>0</v>
      </c>
      <c r="AH388" s="51" t="str">
        <f t="shared" si="20"/>
        <v xml:space="preserve"> </v>
      </c>
      <c r="AI388" s="64"/>
      <c r="AJ388" s="1"/>
      <c r="AK388" s="65">
        <v>0</v>
      </c>
      <c r="AL388" s="1"/>
      <c r="AM388" s="1"/>
      <c r="AN388" s="81"/>
      <c r="AO388" s="81"/>
    </row>
    <row r="389" spans="1:41" s="26" customFormat="1" hidden="1" x14ac:dyDescent="0.25">
      <c r="A389" s="22" t="s">
        <v>1165</v>
      </c>
      <c r="B389" s="2" t="s">
        <v>1017</v>
      </c>
      <c r="C389" s="21">
        <v>1.5</v>
      </c>
      <c r="D389" s="23">
        <v>1030</v>
      </c>
      <c r="E389" s="23"/>
      <c r="F389" s="28"/>
      <c r="G389" s="3" t="s">
        <v>1092</v>
      </c>
      <c r="H389" s="6"/>
      <c r="I389" s="6" t="s">
        <v>953</v>
      </c>
      <c r="J389" s="6">
        <v>69</v>
      </c>
      <c r="K389" s="21">
        <v>19</v>
      </c>
      <c r="L389" s="21" t="s">
        <v>45</v>
      </c>
      <c r="M389" s="6" t="s">
        <v>1054</v>
      </c>
      <c r="N389" s="6" t="s">
        <v>1093</v>
      </c>
      <c r="O389" s="6" t="s">
        <v>380</v>
      </c>
      <c r="P389" s="6"/>
      <c r="Q389" s="27"/>
      <c r="R389" s="28" t="s">
        <v>946</v>
      </c>
      <c r="S389" s="6" t="s">
        <v>177</v>
      </c>
      <c r="T389" s="1">
        <v>0</v>
      </c>
      <c r="U389" s="1">
        <v>0.17493</v>
      </c>
      <c r="V389" s="1">
        <v>0</v>
      </c>
      <c r="W389" s="1">
        <v>0.17493</v>
      </c>
      <c r="X389" s="1">
        <v>0</v>
      </c>
      <c r="Y389" s="1">
        <f t="shared" si="18"/>
        <v>6.9972000000000006E-2</v>
      </c>
      <c r="Z389" s="10"/>
      <c r="AA389" s="10"/>
      <c r="AB389" s="10"/>
      <c r="AC389" s="10"/>
      <c r="AD389" s="10"/>
      <c r="AE389" s="10"/>
      <c r="AF389" s="10"/>
      <c r="AG389" s="38">
        <f t="shared" si="19"/>
        <v>0</v>
      </c>
      <c r="AH389" s="51" t="str">
        <f t="shared" si="20"/>
        <v xml:space="preserve"> </v>
      </c>
      <c r="AI389" s="64"/>
      <c r="AJ389" s="1"/>
      <c r="AK389" s="65">
        <v>0</v>
      </c>
      <c r="AL389" s="1"/>
      <c r="AM389" s="1"/>
      <c r="AN389" s="81"/>
      <c r="AO389" s="81"/>
    </row>
    <row r="390" spans="1:41" s="26" customFormat="1" hidden="1" x14ac:dyDescent="0.25">
      <c r="A390" s="22" t="s">
        <v>1166</v>
      </c>
      <c r="B390" s="2" t="s">
        <v>1017</v>
      </c>
      <c r="C390" s="21">
        <v>1.5</v>
      </c>
      <c r="D390" s="23">
        <v>1200</v>
      </c>
      <c r="E390" s="23"/>
      <c r="F390" s="28"/>
      <c r="G390" s="3" t="s">
        <v>1092</v>
      </c>
      <c r="H390" s="6"/>
      <c r="I390" s="6" t="s">
        <v>942</v>
      </c>
      <c r="J390" s="6">
        <v>69</v>
      </c>
      <c r="K390" s="21">
        <v>18</v>
      </c>
      <c r="L390" s="21" t="s">
        <v>45</v>
      </c>
      <c r="M390" s="6" t="s">
        <v>1054</v>
      </c>
      <c r="N390" s="6" t="s">
        <v>1093</v>
      </c>
      <c r="O390" s="6" t="s">
        <v>380</v>
      </c>
      <c r="P390" s="6"/>
      <c r="Q390" s="27"/>
      <c r="R390" s="28" t="s">
        <v>946</v>
      </c>
      <c r="S390" s="6" t="s">
        <v>177</v>
      </c>
      <c r="T390" s="1">
        <v>0</v>
      </c>
      <c r="U390" s="1">
        <v>1.0199999999999999E-2</v>
      </c>
      <c r="V390" s="1">
        <v>4.0799999999999996E-2</v>
      </c>
      <c r="W390" s="1">
        <v>0.15134999999999998</v>
      </c>
      <c r="X390" s="1">
        <v>0.102025</v>
      </c>
      <c r="Y390" s="1">
        <f t="shared" si="18"/>
        <v>6.0874999999999992E-2</v>
      </c>
      <c r="Z390" s="10"/>
      <c r="AA390" s="10"/>
      <c r="AB390" s="10"/>
      <c r="AC390" s="10"/>
      <c r="AD390" s="10"/>
      <c r="AE390" s="10"/>
      <c r="AF390" s="10"/>
      <c r="AG390" s="38">
        <f t="shared" si="19"/>
        <v>0</v>
      </c>
      <c r="AH390" s="51" t="str">
        <f t="shared" si="20"/>
        <v xml:space="preserve"> </v>
      </c>
      <c r="AI390" s="64"/>
      <c r="AJ390" s="1"/>
      <c r="AK390" s="65">
        <v>0</v>
      </c>
      <c r="AL390" s="1"/>
      <c r="AM390" s="1"/>
      <c r="AN390" s="81"/>
      <c r="AO390" s="81"/>
    </row>
    <row r="391" spans="1:41" s="26" customFormat="1" hidden="1" x14ac:dyDescent="0.25">
      <c r="A391" s="22" t="s">
        <v>1167</v>
      </c>
      <c r="B391" s="2" t="s">
        <v>1017</v>
      </c>
      <c r="C391" s="21">
        <v>1.5</v>
      </c>
      <c r="D391" s="23">
        <v>755</v>
      </c>
      <c r="E391" s="23"/>
      <c r="F391" s="28"/>
      <c r="G391" s="3" t="s">
        <v>1122</v>
      </c>
      <c r="H391" s="4"/>
      <c r="I391" s="4"/>
      <c r="J391" s="4">
        <v>63</v>
      </c>
      <c r="K391" s="5"/>
      <c r="L391" s="5" t="s">
        <v>1123</v>
      </c>
      <c r="M391" s="4" t="s">
        <v>1124</v>
      </c>
      <c r="N391" s="4"/>
      <c r="O391" s="4" t="s">
        <v>380</v>
      </c>
      <c r="P391" s="4"/>
      <c r="Q391" s="24"/>
      <c r="R391" s="25" t="s">
        <v>946</v>
      </c>
      <c r="S391" s="4"/>
      <c r="T391" s="1">
        <v>0</v>
      </c>
      <c r="U391" s="1">
        <v>0</v>
      </c>
      <c r="V391" s="1">
        <v>0</v>
      </c>
      <c r="W391" s="1">
        <v>0</v>
      </c>
      <c r="X391" s="1">
        <v>0.29525999999999997</v>
      </c>
      <c r="Y391" s="1">
        <f t="shared" si="18"/>
        <v>5.9051999999999993E-2</v>
      </c>
      <c r="Z391" s="10"/>
      <c r="AA391" s="10"/>
      <c r="AB391" s="10"/>
      <c r="AC391" s="10"/>
      <c r="AD391" s="10"/>
      <c r="AE391" s="10"/>
      <c r="AF391" s="10"/>
      <c r="AG391" s="38">
        <f t="shared" si="19"/>
        <v>0</v>
      </c>
      <c r="AH391" s="51" t="str">
        <f t="shared" si="20"/>
        <v xml:space="preserve"> </v>
      </c>
      <c r="AI391" s="64"/>
      <c r="AJ391" s="1"/>
      <c r="AK391" s="65">
        <v>0</v>
      </c>
      <c r="AL391" s="1"/>
      <c r="AM391" s="1"/>
      <c r="AN391" s="81"/>
      <c r="AO391" s="81"/>
    </row>
    <row r="392" spans="1:41" s="26" customFormat="1" hidden="1" x14ac:dyDescent="0.25">
      <c r="A392" s="22" t="s">
        <v>1168</v>
      </c>
      <c r="B392" s="2" t="s">
        <v>1017</v>
      </c>
      <c r="C392" s="21">
        <v>1.2</v>
      </c>
      <c r="D392" s="6">
        <v>1200</v>
      </c>
      <c r="E392" s="23"/>
      <c r="F392" s="28"/>
      <c r="G392" s="3" t="s">
        <v>1169</v>
      </c>
      <c r="H392" s="6"/>
      <c r="I392" s="6"/>
      <c r="J392" s="6">
        <v>30</v>
      </c>
      <c r="K392" s="21"/>
      <c r="L392" s="21" t="s">
        <v>1100</v>
      </c>
      <c r="M392" s="6" t="s">
        <v>1124</v>
      </c>
      <c r="N392" s="6"/>
      <c r="O392" s="6" t="s">
        <v>380</v>
      </c>
      <c r="P392" s="6"/>
      <c r="Q392" s="27"/>
      <c r="R392" s="28" t="s">
        <v>946</v>
      </c>
      <c r="S392" s="6"/>
      <c r="T392" s="1">
        <v>0</v>
      </c>
      <c r="U392" s="1">
        <v>0</v>
      </c>
      <c r="V392" s="1">
        <v>0</v>
      </c>
      <c r="W392" s="1">
        <v>0.14699999999999999</v>
      </c>
      <c r="X392" s="1">
        <v>0.14699999999999999</v>
      </c>
      <c r="Y392" s="1">
        <f t="shared" si="18"/>
        <v>5.8799999999999998E-2</v>
      </c>
      <c r="Z392" s="10"/>
      <c r="AA392" s="10"/>
      <c r="AB392" s="10"/>
      <c r="AC392" s="10"/>
      <c r="AD392" s="10"/>
      <c r="AE392" s="10"/>
      <c r="AF392" s="10"/>
      <c r="AG392" s="38">
        <f t="shared" si="19"/>
        <v>0</v>
      </c>
      <c r="AH392" s="51" t="str">
        <f t="shared" si="20"/>
        <v xml:space="preserve"> </v>
      </c>
      <c r="AI392" s="64"/>
      <c r="AJ392" s="1"/>
      <c r="AK392" s="65">
        <v>0</v>
      </c>
      <c r="AL392" s="1"/>
      <c r="AM392" s="1"/>
      <c r="AN392" s="81"/>
      <c r="AO392" s="81"/>
    </row>
    <row r="393" spans="1:41" s="26" customFormat="1" hidden="1" x14ac:dyDescent="0.25">
      <c r="A393" s="22" t="s">
        <v>1170</v>
      </c>
      <c r="B393" s="2" t="s">
        <v>1017</v>
      </c>
      <c r="C393" s="21">
        <v>1.5</v>
      </c>
      <c r="D393" s="23">
        <v>1200</v>
      </c>
      <c r="E393" s="23"/>
      <c r="F393" s="28"/>
      <c r="G393" s="3" t="s">
        <v>1092</v>
      </c>
      <c r="H393" s="6"/>
      <c r="I393" s="6" t="s">
        <v>942</v>
      </c>
      <c r="J393" s="6">
        <v>69</v>
      </c>
      <c r="K393" s="21">
        <v>18</v>
      </c>
      <c r="L393" s="21" t="s">
        <v>45</v>
      </c>
      <c r="M393" s="6" t="s">
        <v>1054</v>
      </c>
      <c r="N393" s="6" t="s">
        <v>1093</v>
      </c>
      <c r="O393" s="6" t="s">
        <v>380</v>
      </c>
      <c r="P393" s="6"/>
      <c r="Q393" s="27"/>
      <c r="R393" s="28" t="s">
        <v>946</v>
      </c>
      <c r="S393" s="6" t="s">
        <v>177</v>
      </c>
      <c r="T393" s="1">
        <v>9.7930000000000003E-2</v>
      </c>
      <c r="U393" s="1">
        <v>0</v>
      </c>
      <c r="V393" s="1">
        <v>0</v>
      </c>
      <c r="W393" s="1">
        <v>9.7930000000000003E-2</v>
      </c>
      <c r="X393" s="1">
        <v>9.7930000000000003E-2</v>
      </c>
      <c r="Y393" s="1">
        <f t="shared" si="18"/>
        <v>5.8757999999999998E-2</v>
      </c>
      <c r="Z393" s="10"/>
      <c r="AA393" s="10"/>
      <c r="AB393" s="10"/>
      <c r="AC393" s="10"/>
      <c r="AD393" s="10"/>
      <c r="AE393" s="10"/>
      <c r="AF393" s="10"/>
      <c r="AG393" s="38">
        <f t="shared" si="19"/>
        <v>0</v>
      </c>
      <c r="AH393" s="51" t="str">
        <f t="shared" si="20"/>
        <v xml:space="preserve"> </v>
      </c>
      <c r="AI393" s="64"/>
      <c r="AJ393" s="1"/>
      <c r="AK393" s="65">
        <v>0</v>
      </c>
      <c r="AL393" s="1"/>
      <c r="AM393" s="1"/>
      <c r="AN393" s="81"/>
      <c r="AO393" s="81"/>
    </row>
    <row r="394" spans="1:41" s="26" customFormat="1" hidden="1" x14ac:dyDescent="0.25">
      <c r="A394" s="22" t="s">
        <v>650</v>
      </c>
      <c r="B394" s="2" t="s">
        <v>1017</v>
      </c>
      <c r="C394" s="21">
        <v>1.5</v>
      </c>
      <c r="D394" s="6">
        <v>1200</v>
      </c>
      <c r="E394" s="23"/>
      <c r="F394" s="28"/>
      <c r="G394" s="3" t="s">
        <v>1171</v>
      </c>
      <c r="H394" s="4"/>
      <c r="I394" s="4"/>
      <c r="J394" s="4">
        <v>30</v>
      </c>
      <c r="K394" s="5"/>
      <c r="L394" s="5" t="s">
        <v>1100</v>
      </c>
      <c r="M394" s="4" t="s">
        <v>260</v>
      </c>
      <c r="N394" s="4"/>
      <c r="O394" s="4" t="s">
        <v>380</v>
      </c>
      <c r="P394" s="4"/>
      <c r="Q394" s="24"/>
      <c r="R394" s="25" t="s">
        <v>946</v>
      </c>
      <c r="S394" s="4"/>
      <c r="T394" s="1">
        <v>0</v>
      </c>
      <c r="U394" s="1">
        <v>0</v>
      </c>
      <c r="V394" s="1">
        <v>0</v>
      </c>
      <c r="W394" s="1">
        <v>0.22716</v>
      </c>
      <c r="X394" s="1">
        <v>6.3100000000000003E-2</v>
      </c>
      <c r="Y394" s="1">
        <f t="shared" si="18"/>
        <v>5.8052000000000006E-2</v>
      </c>
      <c r="Z394" s="10"/>
      <c r="AA394" s="10"/>
      <c r="AB394" s="10"/>
      <c r="AC394" s="10"/>
      <c r="AD394" s="10"/>
      <c r="AE394" s="10"/>
      <c r="AF394" s="10"/>
      <c r="AG394" s="38">
        <f t="shared" si="19"/>
        <v>0</v>
      </c>
      <c r="AH394" s="51" t="str">
        <f t="shared" si="20"/>
        <v xml:space="preserve"> </v>
      </c>
      <c r="AI394" s="64"/>
      <c r="AJ394" s="1"/>
      <c r="AK394" s="65">
        <v>0</v>
      </c>
      <c r="AL394" s="1"/>
      <c r="AM394" s="1"/>
      <c r="AN394" s="81"/>
      <c r="AO394" s="81"/>
    </row>
    <row r="395" spans="1:41" s="26" customFormat="1" hidden="1" x14ac:dyDescent="0.25">
      <c r="A395" s="22" t="s">
        <v>1172</v>
      </c>
      <c r="B395" s="2" t="s">
        <v>1017</v>
      </c>
      <c r="C395" s="21">
        <v>1.5</v>
      </c>
      <c r="D395" s="23">
        <v>1200</v>
      </c>
      <c r="E395" s="23"/>
      <c r="F395" s="28"/>
      <c r="G395" s="3" t="s">
        <v>1092</v>
      </c>
      <c r="H395" s="6"/>
      <c r="I395" s="6" t="s">
        <v>942</v>
      </c>
      <c r="J395" s="6">
        <v>69</v>
      </c>
      <c r="K395" s="21">
        <v>18</v>
      </c>
      <c r="L395" s="21" t="s">
        <v>45</v>
      </c>
      <c r="M395" s="6" t="s">
        <v>1054</v>
      </c>
      <c r="N395" s="6" t="s">
        <v>1093</v>
      </c>
      <c r="O395" s="6" t="s">
        <v>380</v>
      </c>
      <c r="P395" s="6"/>
      <c r="Q395" s="27"/>
      <c r="R395" s="28" t="s">
        <v>946</v>
      </c>
      <c r="S395" s="6" t="s">
        <v>177</v>
      </c>
      <c r="T395" s="1">
        <v>5.1677999999999995E-2</v>
      </c>
      <c r="U395" s="1">
        <v>5.67E-2</v>
      </c>
      <c r="V395" s="1">
        <v>0.177984</v>
      </c>
      <c r="W395" s="1">
        <v>0</v>
      </c>
      <c r="X395" s="1">
        <v>0</v>
      </c>
      <c r="Y395" s="1">
        <f t="shared" si="18"/>
        <v>5.7272400000000001E-2</v>
      </c>
      <c r="Z395" s="10"/>
      <c r="AA395" s="10"/>
      <c r="AB395" s="10"/>
      <c r="AC395" s="10"/>
      <c r="AD395" s="10"/>
      <c r="AE395" s="10"/>
      <c r="AF395" s="10"/>
      <c r="AG395" s="38">
        <f t="shared" si="19"/>
        <v>0</v>
      </c>
      <c r="AH395" s="51" t="str">
        <f t="shared" si="20"/>
        <v xml:space="preserve"> </v>
      </c>
      <c r="AI395" s="64"/>
      <c r="AJ395" s="1"/>
      <c r="AK395" s="65">
        <v>0</v>
      </c>
      <c r="AL395" s="1"/>
      <c r="AM395" s="1"/>
      <c r="AN395" s="81"/>
      <c r="AO395" s="81"/>
    </row>
    <row r="396" spans="1:41" s="26" customFormat="1" hidden="1" x14ac:dyDescent="0.25">
      <c r="A396" s="22" t="s">
        <v>683</v>
      </c>
      <c r="B396" s="2" t="s">
        <v>1017</v>
      </c>
      <c r="C396" s="21">
        <v>1.06</v>
      </c>
      <c r="D396" s="6">
        <v>1000</v>
      </c>
      <c r="E396" s="23"/>
      <c r="F396" s="28"/>
      <c r="G396" s="3" t="s">
        <v>1169</v>
      </c>
      <c r="H396" s="6"/>
      <c r="I396" s="6"/>
      <c r="J396" s="6">
        <v>30</v>
      </c>
      <c r="K396" s="21"/>
      <c r="L396" s="21" t="s">
        <v>1100</v>
      </c>
      <c r="M396" s="6" t="s">
        <v>260</v>
      </c>
      <c r="N396" s="6"/>
      <c r="O396" s="6" t="s">
        <v>380</v>
      </c>
      <c r="P396" s="6"/>
      <c r="Q396" s="27"/>
      <c r="R396" s="28" t="s">
        <v>946</v>
      </c>
      <c r="S396" s="6"/>
      <c r="T396" s="1">
        <v>0</v>
      </c>
      <c r="U396" s="1">
        <v>0</v>
      </c>
      <c r="V396" s="1">
        <v>0</v>
      </c>
      <c r="W396" s="1">
        <v>0.14149999999999999</v>
      </c>
      <c r="X396" s="1">
        <v>0.14149999999999999</v>
      </c>
      <c r="Y396" s="1">
        <f t="shared" si="18"/>
        <v>5.6599999999999998E-2</v>
      </c>
      <c r="Z396" s="10"/>
      <c r="AA396" s="10"/>
      <c r="AB396" s="10"/>
      <c r="AC396" s="10"/>
      <c r="AD396" s="10"/>
      <c r="AE396" s="10"/>
      <c r="AF396" s="10"/>
      <c r="AG396" s="38">
        <f t="shared" si="19"/>
        <v>0</v>
      </c>
      <c r="AH396" s="51" t="str">
        <f t="shared" si="20"/>
        <v xml:space="preserve"> </v>
      </c>
      <c r="AI396" s="64"/>
      <c r="AJ396" s="1"/>
      <c r="AK396" s="65">
        <v>0</v>
      </c>
      <c r="AL396" s="1"/>
      <c r="AM396" s="1"/>
      <c r="AN396" s="81"/>
      <c r="AO396" s="81"/>
    </row>
    <row r="397" spans="1:41" s="26" customFormat="1" hidden="1" x14ac:dyDescent="0.25">
      <c r="A397" s="22" t="s">
        <v>1173</v>
      </c>
      <c r="B397" s="2" t="s">
        <v>1017</v>
      </c>
      <c r="C397" s="21">
        <v>1.5</v>
      </c>
      <c r="D397" s="23">
        <v>490</v>
      </c>
      <c r="E397" s="23"/>
      <c r="F397" s="28"/>
      <c r="G397" s="3" t="s">
        <v>1122</v>
      </c>
      <c r="H397" s="4"/>
      <c r="I397" s="4"/>
      <c r="J397" s="4">
        <v>63</v>
      </c>
      <c r="K397" s="5"/>
      <c r="L397" s="5" t="s">
        <v>1123</v>
      </c>
      <c r="M397" s="4" t="s">
        <v>1124</v>
      </c>
      <c r="N397" s="4"/>
      <c r="O397" s="4" t="s">
        <v>380</v>
      </c>
      <c r="P397" s="4"/>
      <c r="Q397" s="24"/>
      <c r="R397" s="25" t="s">
        <v>946</v>
      </c>
      <c r="S397" s="4"/>
      <c r="T397" s="1">
        <v>1.4785E-2</v>
      </c>
      <c r="U397" s="1">
        <v>5.9139999999999998E-2</v>
      </c>
      <c r="V397" s="1">
        <v>5.9139999999999998E-2</v>
      </c>
      <c r="W397" s="1">
        <v>2.9569999999999999E-2</v>
      </c>
      <c r="X397" s="1">
        <v>5.9139999999999998E-2</v>
      </c>
      <c r="Y397" s="1">
        <f t="shared" si="18"/>
        <v>4.4354999999999992E-2</v>
      </c>
      <c r="Z397" s="10"/>
      <c r="AA397" s="10"/>
      <c r="AB397" s="10"/>
      <c r="AC397" s="10"/>
      <c r="AD397" s="10"/>
      <c r="AE397" s="10"/>
      <c r="AF397" s="10"/>
      <c r="AG397" s="38">
        <f t="shared" si="19"/>
        <v>0</v>
      </c>
      <c r="AH397" s="51" t="str">
        <f t="shared" si="20"/>
        <v xml:space="preserve"> </v>
      </c>
      <c r="AI397" s="64"/>
      <c r="AJ397" s="1"/>
      <c r="AK397" s="65">
        <v>0</v>
      </c>
      <c r="AL397" s="1"/>
      <c r="AM397" s="1"/>
      <c r="AN397" s="81"/>
      <c r="AO397" s="81"/>
    </row>
    <row r="398" spans="1:41" s="26" customFormat="1" hidden="1" x14ac:dyDescent="0.25">
      <c r="A398" s="22" t="s">
        <v>1174</v>
      </c>
      <c r="B398" s="2" t="s">
        <v>1017</v>
      </c>
      <c r="C398" s="21">
        <v>1.2</v>
      </c>
      <c r="D398" s="6">
        <v>1150</v>
      </c>
      <c r="E398" s="23"/>
      <c r="F398" s="28"/>
      <c r="G398" s="3" t="s">
        <v>1175</v>
      </c>
      <c r="H398" s="6"/>
      <c r="I398" s="6"/>
      <c r="J398" s="6">
        <v>30</v>
      </c>
      <c r="K398" s="21"/>
      <c r="L398" s="21" t="s">
        <v>1100</v>
      </c>
      <c r="M398" s="6" t="s">
        <v>1124</v>
      </c>
      <c r="N398" s="6"/>
      <c r="O398" s="6" t="s">
        <v>380</v>
      </c>
      <c r="P398" s="6"/>
      <c r="Q398" s="27"/>
      <c r="R398" s="28" t="s">
        <v>946</v>
      </c>
      <c r="S398" s="6"/>
      <c r="T398" s="1">
        <v>4.7610000000000005E-3</v>
      </c>
      <c r="U398" s="1">
        <v>0</v>
      </c>
      <c r="V398" s="1">
        <v>4.761E-2</v>
      </c>
      <c r="W398" s="1">
        <v>7.934999999999999E-2</v>
      </c>
      <c r="X398" s="1">
        <v>7.934999999999999E-2</v>
      </c>
      <c r="Y398" s="1">
        <f t="shared" si="18"/>
        <v>4.2214199999999993E-2</v>
      </c>
      <c r="Z398" s="10"/>
      <c r="AA398" s="10"/>
      <c r="AB398" s="10"/>
      <c r="AC398" s="10"/>
      <c r="AD398" s="10"/>
      <c r="AE398" s="10"/>
      <c r="AF398" s="10"/>
      <c r="AG398" s="38">
        <f t="shared" si="19"/>
        <v>0</v>
      </c>
      <c r="AH398" s="51" t="str">
        <f t="shared" si="20"/>
        <v xml:space="preserve"> </v>
      </c>
      <c r="AI398" s="64"/>
      <c r="AJ398" s="1"/>
      <c r="AK398" s="65">
        <v>0</v>
      </c>
      <c r="AL398" s="1"/>
      <c r="AM398" s="1"/>
      <c r="AN398" s="81"/>
      <c r="AO398" s="81"/>
    </row>
    <row r="399" spans="1:41" s="26" customFormat="1" hidden="1" x14ac:dyDescent="0.25">
      <c r="A399" s="22" t="s">
        <v>1176</v>
      </c>
      <c r="B399" s="2" t="s">
        <v>172</v>
      </c>
      <c r="C399" s="21">
        <v>2.5</v>
      </c>
      <c r="D399" s="23">
        <v>1200</v>
      </c>
      <c r="E399" s="23"/>
      <c r="F399" s="28"/>
      <c r="G399" s="3" t="s">
        <v>1000</v>
      </c>
      <c r="H399" s="6"/>
      <c r="I399" s="6"/>
      <c r="J399" s="6">
        <v>30</v>
      </c>
      <c r="K399" s="21"/>
      <c r="L399" s="21" t="s">
        <v>1100</v>
      </c>
      <c r="M399" s="6" t="s">
        <v>534</v>
      </c>
      <c r="N399" s="6"/>
      <c r="O399" s="6" t="s">
        <v>380</v>
      </c>
      <c r="P399" s="6"/>
      <c r="Q399" s="27"/>
      <c r="R399" s="28" t="s">
        <v>946</v>
      </c>
      <c r="S399" s="6"/>
      <c r="T399" s="1">
        <v>0</v>
      </c>
      <c r="U399" s="1">
        <v>0</v>
      </c>
      <c r="V399" s="1">
        <v>0</v>
      </c>
      <c r="W399" s="1">
        <v>0.17408000000000001</v>
      </c>
      <c r="X399" s="1">
        <v>2.1760000000000002E-2</v>
      </c>
      <c r="Y399" s="1">
        <f t="shared" si="18"/>
        <v>3.9168000000000001E-2</v>
      </c>
      <c r="Z399" s="10"/>
      <c r="AA399" s="10"/>
      <c r="AB399" s="10"/>
      <c r="AC399" s="10"/>
      <c r="AD399" s="10"/>
      <c r="AE399" s="10"/>
      <c r="AF399" s="10"/>
      <c r="AG399" s="38">
        <f t="shared" si="19"/>
        <v>0</v>
      </c>
      <c r="AH399" s="51" t="str">
        <f t="shared" si="20"/>
        <v xml:space="preserve"> </v>
      </c>
      <c r="AI399" s="64"/>
      <c r="AJ399" s="1"/>
      <c r="AK399" s="65">
        <v>0</v>
      </c>
      <c r="AL399" s="1"/>
      <c r="AM399" s="1"/>
      <c r="AN399" s="81"/>
      <c r="AO399" s="81"/>
    </row>
    <row r="400" spans="1:41" s="26" customFormat="1" hidden="1" x14ac:dyDescent="0.25">
      <c r="A400" s="3" t="s">
        <v>1177</v>
      </c>
      <c r="B400" s="2" t="s">
        <v>172</v>
      </c>
      <c r="C400" s="21">
        <v>4.25</v>
      </c>
      <c r="D400" s="6">
        <v>1200</v>
      </c>
      <c r="E400" s="23"/>
      <c r="F400" s="28"/>
      <c r="G400" s="3" t="s">
        <v>1104</v>
      </c>
      <c r="H400" s="4"/>
      <c r="I400" s="4"/>
      <c r="J400" s="4">
        <v>30</v>
      </c>
      <c r="K400" s="5"/>
      <c r="L400" s="5" t="s">
        <v>1100</v>
      </c>
      <c r="M400" s="4" t="s">
        <v>260</v>
      </c>
      <c r="N400" s="4"/>
      <c r="O400" s="4" t="s">
        <v>380</v>
      </c>
      <c r="P400" s="4"/>
      <c r="Q400" s="24"/>
      <c r="R400" s="25" t="s">
        <v>946</v>
      </c>
      <c r="S400" s="4"/>
      <c r="T400" s="1">
        <v>0</v>
      </c>
      <c r="U400" s="1">
        <v>5.1029999999999992E-2</v>
      </c>
      <c r="V400" s="1">
        <v>5.1029999999999999E-3</v>
      </c>
      <c r="W400" s="1">
        <v>0</v>
      </c>
      <c r="X400" s="1">
        <v>1.7009999999999997E-2</v>
      </c>
      <c r="Y400" s="1">
        <f t="shared" si="18"/>
        <v>1.4628599999999997E-2</v>
      </c>
      <c r="Z400" s="10"/>
      <c r="AA400" s="10"/>
      <c r="AB400" s="10"/>
      <c r="AC400" s="10"/>
      <c r="AD400" s="10"/>
      <c r="AE400" s="10"/>
      <c r="AF400" s="10"/>
      <c r="AG400" s="38">
        <f t="shared" si="19"/>
        <v>0</v>
      </c>
      <c r="AH400" s="51" t="str">
        <f t="shared" si="20"/>
        <v xml:space="preserve"> </v>
      </c>
      <c r="AI400" s="64"/>
      <c r="AJ400" s="1"/>
      <c r="AK400" s="65">
        <v>0</v>
      </c>
      <c r="AL400" s="1"/>
      <c r="AM400" s="1"/>
      <c r="AN400" s="81"/>
      <c r="AO400" s="81"/>
    </row>
    <row r="401" spans="1:41" s="26" customFormat="1" hidden="1" x14ac:dyDescent="0.25">
      <c r="A401" s="3" t="s">
        <v>1178</v>
      </c>
      <c r="B401" s="2" t="s">
        <v>172</v>
      </c>
      <c r="C401" s="21">
        <v>1</v>
      </c>
      <c r="D401" s="23">
        <v>115</v>
      </c>
      <c r="E401" s="23">
        <v>63</v>
      </c>
      <c r="F401" s="77">
        <v>4.4999999999999998E-2</v>
      </c>
      <c r="G401" s="3" t="s">
        <v>1034</v>
      </c>
      <c r="H401" s="6"/>
      <c r="I401" s="6"/>
      <c r="J401" s="6">
        <v>30</v>
      </c>
      <c r="K401" s="21"/>
      <c r="L401" s="21" t="s">
        <v>1100</v>
      </c>
      <c r="M401" s="4" t="s">
        <v>954</v>
      </c>
      <c r="N401" s="6"/>
      <c r="O401" s="6" t="s">
        <v>380</v>
      </c>
      <c r="P401" s="6"/>
      <c r="Q401" s="27"/>
      <c r="R401" s="28" t="s">
        <v>946</v>
      </c>
      <c r="S401" s="6"/>
      <c r="T401" s="1">
        <v>0</v>
      </c>
      <c r="U401" s="1">
        <v>0</v>
      </c>
      <c r="V401" s="1">
        <v>1.5522000000000003E-2</v>
      </c>
      <c r="W401" s="1">
        <v>3.1044000000000006E-2</v>
      </c>
      <c r="X401" s="1">
        <v>0</v>
      </c>
      <c r="Y401" s="1">
        <f t="shared" si="18"/>
        <v>9.3132000000000024E-3</v>
      </c>
      <c r="Z401" s="10"/>
      <c r="AA401" s="10"/>
      <c r="AB401" s="10"/>
      <c r="AC401" s="10"/>
      <c r="AD401" s="10"/>
      <c r="AE401" s="10"/>
      <c r="AF401" s="10"/>
      <c r="AG401" s="38">
        <f t="shared" si="19"/>
        <v>0</v>
      </c>
      <c r="AH401" s="51" t="str">
        <f t="shared" si="20"/>
        <v xml:space="preserve"> </v>
      </c>
      <c r="AI401" s="64"/>
      <c r="AJ401" s="1"/>
      <c r="AK401" s="65">
        <v>0</v>
      </c>
      <c r="AL401" s="1"/>
      <c r="AM401" s="1"/>
      <c r="AN401" s="81"/>
      <c r="AO401" s="81"/>
    </row>
    <row r="402" spans="1:41" s="26" customFormat="1" hidden="1" x14ac:dyDescent="0.25">
      <c r="A402" s="22" t="s">
        <v>1179</v>
      </c>
      <c r="B402" s="2" t="s">
        <v>1017</v>
      </c>
      <c r="C402" s="21">
        <v>0.9</v>
      </c>
      <c r="D402" s="23">
        <v>1200</v>
      </c>
      <c r="E402" s="23"/>
      <c r="F402" s="28"/>
      <c r="G402" s="3" t="s">
        <v>1175</v>
      </c>
      <c r="H402" s="4"/>
      <c r="I402" s="4"/>
      <c r="J402" s="4">
        <v>30</v>
      </c>
      <c r="K402" s="5"/>
      <c r="L402" s="5" t="s">
        <v>1100</v>
      </c>
      <c r="M402" s="4" t="s">
        <v>1124</v>
      </c>
      <c r="N402" s="4"/>
      <c r="O402" s="4" t="s">
        <v>380</v>
      </c>
      <c r="P402" s="4"/>
      <c r="Q402" s="24"/>
      <c r="R402" s="25" t="s">
        <v>946</v>
      </c>
      <c r="S402" s="4"/>
      <c r="T402" s="1">
        <v>0</v>
      </c>
      <c r="U402" s="1">
        <v>0</v>
      </c>
      <c r="V402" s="1">
        <v>0</v>
      </c>
      <c r="W402" s="1">
        <v>2.3800000000000002E-3</v>
      </c>
      <c r="X402" s="1">
        <v>2.3800000000000002E-3</v>
      </c>
      <c r="Y402" s="1">
        <f t="shared" si="18"/>
        <v>9.5200000000000005E-4</v>
      </c>
      <c r="Z402" s="10"/>
      <c r="AA402" s="10"/>
      <c r="AB402" s="10"/>
      <c r="AC402" s="10"/>
      <c r="AD402" s="10"/>
      <c r="AE402" s="10"/>
      <c r="AF402" s="10"/>
      <c r="AG402" s="38">
        <f t="shared" si="19"/>
        <v>0</v>
      </c>
      <c r="AH402" s="51" t="str">
        <f t="shared" si="20"/>
        <v xml:space="preserve"> </v>
      </c>
      <c r="AI402" s="64"/>
      <c r="AJ402" s="1"/>
      <c r="AK402" s="65">
        <v>0</v>
      </c>
      <c r="AL402" s="1"/>
      <c r="AM402" s="1"/>
      <c r="AN402" s="81"/>
      <c r="AO402" s="81"/>
    </row>
    <row r="403" spans="1:41" s="26" customFormat="1" hidden="1" x14ac:dyDescent="0.25">
      <c r="A403" s="22" t="s">
        <v>1180</v>
      </c>
      <c r="B403" s="2" t="s">
        <v>1181</v>
      </c>
      <c r="C403" s="21">
        <v>1.5</v>
      </c>
      <c r="D403" s="6">
        <v>1000</v>
      </c>
      <c r="E403" s="23"/>
      <c r="F403" s="28"/>
      <c r="G403" s="3" t="s">
        <v>1182</v>
      </c>
      <c r="H403" s="6"/>
      <c r="I403" s="6"/>
      <c r="J403" s="6">
        <v>30</v>
      </c>
      <c r="K403" s="21"/>
      <c r="L403" s="21" t="s">
        <v>1100</v>
      </c>
      <c r="M403" s="6" t="s">
        <v>1124</v>
      </c>
      <c r="N403" s="6"/>
      <c r="O403" s="6" t="s">
        <v>380</v>
      </c>
      <c r="P403" s="6"/>
      <c r="Q403" s="27"/>
      <c r="R403" s="28" t="s">
        <v>946</v>
      </c>
      <c r="S403" s="6"/>
      <c r="T403" s="1">
        <v>0</v>
      </c>
      <c r="U403" s="1">
        <v>0</v>
      </c>
      <c r="V403" s="1">
        <v>0</v>
      </c>
      <c r="W403" s="1">
        <v>1.374E-3</v>
      </c>
      <c r="X403" s="1">
        <v>0</v>
      </c>
      <c r="Y403" s="1">
        <f t="shared" si="18"/>
        <v>2.7480000000000001E-4</v>
      </c>
      <c r="Z403" s="10"/>
      <c r="AA403" s="10"/>
      <c r="AB403" s="10"/>
      <c r="AC403" s="10"/>
      <c r="AD403" s="10"/>
      <c r="AE403" s="10"/>
      <c r="AF403" s="10"/>
      <c r="AG403" s="38">
        <f t="shared" si="19"/>
        <v>0</v>
      </c>
      <c r="AH403" s="51" t="str">
        <f t="shared" si="20"/>
        <v xml:space="preserve"> </v>
      </c>
      <c r="AI403" s="64"/>
      <c r="AJ403" s="1"/>
      <c r="AK403" s="65">
        <v>0</v>
      </c>
      <c r="AL403" s="1"/>
      <c r="AM403" s="1"/>
      <c r="AN403" s="81"/>
      <c r="AO403" s="81"/>
    </row>
    <row r="404" spans="1:41" s="26" customFormat="1" hidden="1" x14ac:dyDescent="0.25">
      <c r="A404" s="22" t="s">
        <v>1183</v>
      </c>
      <c r="B404" s="2" t="s">
        <v>172</v>
      </c>
      <c r="C404" s="21">
        <v>2</v>
      </c>
      <c r="D404" s="23">
        <v>1100</v>
      </c>
      <c r="E404" s="23"/>
      <c r="F404" s="28"/>
      <c r="G404" s="3" t="s">
        <v>964</v>
      </c>
      <c r="H404" s="4"/>
      <c r="I404" s="6" t="s">
        <v>942</v>
      </c>
      <c r="J404" s="4">
        <v>69</v>
      </c>
      <c r="K404" s="5">
        <v>13</v>
      </c>
      <c r="L404" s="5" t="s">
        <v>39</v>
      </c>
      <c r="M404" s="4" t="s">
        <v>1155</v>
      </c>
      <c r="N404" s="4"/>
      <c r="O404" s="4" t="s">
        <v>380</v>
      </c>
      <c r="P404" s="4"/>
      <c r="Q404" s="24"/>
      <c r="R404" s="25" t="s">
        <v>946</v>
      </c>
      <c r="S404" s="6" t="s">
        <v>177</v>
      </c>
      <c r="T404" s="1">
        <v>0</v>
      </c>
      <c r="U404" s="1">
        <v>0</v>
      </c>
      <c r="V404" s="1">
        <v>0</v>
      </c>
      <c r="W404" s="1">
        <v>1.0799999999999998E-4</v>
      </c>
      <c r="X404" s="1">
        <v>0</v>
      </c>
      <c r="Y404" s="1">
        <f t="shared" si="18"/>
        <v>2.1599999999999996E-5</v>
      </c>
      <c r="Z404" s="10"/>
      <c r="AA404" s="10"/>
      <c r="AB404" s="10"/>
      <c r="AC404" s="10"/>
      <c r="AD404" s="10"/>
      <c r="AE404" s="10"/>
      <c r="AF404" s="10"/>
      <c r="AG404" s="38">
        <f t="shared" si="19"/>
        <v>0</v>
      </c>
      <c r="AH404" s="51" t="str">
        <f t="shared" si="20"/>
        <v xml:space="preserve"> </v>
      </c>
      <c r="AI404" s="64"/>
      <c r="AJ404" s="1"/>
      <c r="AK404" s="65">
        <v>0</v>
      </c>
      <c r="AL404" s="1"/>
      <c r="AM404" s="1"/>
      <c r="AN404" s="81"/>
      <c r="AO404" s="81"/>
    </row>
    <row r="405" spans="1:41" s="26" customFormat="1" hidden="1" x14ac:dyDescent="0.25">
      <c r="A405" s="22" t="s">
        <v>1184</v>
      </c>
      <c r="B405" s="2" t="s">
        <v>172</v>
      </c>
      <c r="C405" s="21">
        <v>9.75</v>
      </c>
      <c r="D405" s="23">
        <v>1300</v>
      </c>
      <c r="E405" s="23"/>
      <c r="F405" s="28"/>
      <c r="G405" s="3" t="s">
        <v>958</v>
      </c>
      <c r="H405" s="6"/>
      <c r="I405" s="6" t="s">
        <v>942</v>
      </c>
      <c r="J405" s="6">
        <v>69</v>
      </c>
      <c r="K405" s="21">
        <v>25</v>
      </c>
      <c r="L405" s="21" t="s">
        <v>39</v>
      </c>
      <c r="M405" s="6" t="s">
        <v>959</v>
      </c>
      <c r="N405" s="6" t="s">
        <v>1066</v>
      </c>
      <c r="O405" s="6" t="s">
        <v>166</v>
      </c>
      <c r="P405" s="6"/>
      <c r="Q405" s="27"/>
      <c r="R405" s="28" t="s">
        <v>946</v>
      </c>
      <c r="S405" s="6" t="s">
        <v>177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f t="shared" si="18"/>
        <v>0</v>
      </c>
      <c r="Z405" s="10" t="s">
        <v>168</v>
      </c>
      <c r="AA405" s="10" t="s">
        <v>168</v>
      </c>
      <c r="AB405" s="10" t="s">
        <v>168</v>
      </c>
      <c r="AC405" s="10" t="s">
        <v>168</v>
      </c>
      <c r="AD405" s="10" t="s">
        <v>168</v>
      </c>
      <c r="AE405" s="10" t="s">
        <v>168</v>
      </c>
      <c r="AF405" s="10" t="s">
        <v>168</v>
      </c>
      <c r="AG405" s="38">
        <f t="shared" si="19"/>
        <v>1</v>
      </c>
      <c r="AH405" s="51">
        <f t="shared" si="20"/>
        <v>0</v>
      </c>
      <c r="AI405" s="64">
        <v>1</v>
      </c>
      <c r="AJ405" s="1" t="s">
        <v>983</v>
      </c>
      <c r="AK405" s="65">
        <v>0</v>
      </c>
      <c r="AL405" s="1"/>
      <c r="AM405" s="1" t="s">
        <v>1185</v>
      </c>
      <c r="AN405" s="81">
        <v>46235</v>
      </c>
      <c r="AO405" s="81" t="s">
        <v>180</v>
      </c>
    </row>
    <row r="406" spans="1:41" s="26" customFormat="1" hidden="1" x14ac:dyDescent="0.25">
      <c r="A406" s="3" t="s">
        <v>1186</v>
      </c>
      <c r="B406" s="2" t="s">
        <v>172</v>
      </c>
      <c r="C406" s="21">
        <v>7.75</v>
      </c>
      <c r="D406" s="23">
        <v>1100</v>
      </c>
      <c r="E406" s="23"/>
      <c r="F406" s="28"/>
      <c r="G406" s="3" t="s">
        <v>1038</v>
      </c>
      <c r="H406" s="4"/>
      <c r="I406" s="4" t="s">
        <v>942</v>
      </c>
      <c r="J406" s="4">
        <v>59</v>
      </c>
      <c r="K406" s="5"/>
      <c r="L406" s="5" t="s">
        <v>1100</v>
      </c>
      <c r="M406" s="4" t="s">
        <v>534</v>
      </c>
      <c r="N406" s="4"/>
      <c r="O406" s="4" t="s">
        <v>277</v>
      </c>
      <c r="P406" s="4"/>
      <c r="Q406" s="24"/>
      <c r="R406" s="25" t="s">
        <v>946</v>
      </c>
      <c r="S406" s="4" t="s">
        <v>177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f t="shared" si="18"/>
        <v>0</v>
      </c>
      <c r="Z406" s="10"/>
      <c r="AA406" s="10"/>
      <c r="AB406" s="10"/>
      <c r="AC406" s="10"/>
      <c r="AD406" s="10"/>
      <c r="AE406" s="10"/>
      <c r="AF406" s="10"/>
      <c r="AG406" s="38">
        <f t="shared" si="19"/>
        <v>0</v>
      </c>
      <c r="AH406" s="51" t="str">
        <f t="shared" si="20"/>
        <v xml:space="preserve"> </v>
      </c>
      <c r="AI406" s="64"/>
      <c r="AJ406" s="1"/>
      <c r="AK406" s="65">
        <v>0</v>
      </c>
      <c r="AL406" s="1"/>
      <c r="AM406" s="1"/>
      <c r="AN406" s="81"/>
      <c r="AO406" s="81"/>
    </row>
    <row r="407" spans="1:41" s="26" customFormat="1" hidden="1" x14ac:dyDescent="0.25">
      <c r="A407" s="22" t="s">
        <v>1187</v>
      </c>
      <c r="B407" s="2" t="s">
        <v>172</v>
      </c>
      <c r="C407" s="21">
        <v>12.5</v>
      </c>
      <c r="D407" s="23">
        <v>6900</v>
      </c>
      <c r="E407" s="23"/>
      <c r="F407" s="28"/>
      <c r="G407" s="3" t="s">
        <v>958</v>
      </c>
      <c r="H407" s="4"/>
      <c r="I407" s="6" t="s">
        <v>942</v>
      </c>
      <c r="J407" s="4">
        <v>69</v>
      </c>
      <c r="K407" s="5">
        <v>10</v>
      </c>
      <c r="L407" s="5" t="s">
        <v>39</v>
      </c>
      <c r="M407" s="4" t="s">
        <v>959</v>
      </c>
      <c r="N407" s="4" t="s">
        <v>1188</v>
      </c>
      <c r="O407" s="4" t="s">
        <v>380</v>
      </c>
      <c r="P407" s="4"/>
      <c r="Q407" s="24"/>
      <c r="R407" s="25" t="s">
        <v>946</v>
      </c>
      <c r="S407" s="4" t="s">
        <v>946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f t="shared" ref="Y407:Y470" si="21">AVERAGE(T407:X407)</f>
        <v>0</v>
      </c>
      <c r="Z407" s="10"/>
      <c r="AA407" s="10"/>
      <c r="AB407" s="10"/>
      <c r="AC407" s="10"/>
      <c r="AD407" s="10"/>
      <c r="AE407" s="10"/>
      <c r="AF407" s="10"/>
      <c r="AG407" s="38">
        <f t="shared" ref="AG407:AG470" si="22">COUNTIF(Z407:AF407,"X")/7</f>
        <v>0</v>
      </c>
      <c r="AH407" s="51" t="str">
        <f t="shared" ref="AH407:AH470" si="23">IF(AG407=100%,Y407," ")</f>
        <v xml:space="preserve"> </v>
      </c>
      <c r="AI407" s="64"/>
      <c r="AJ407" s="1"/>
      <c r="AK407" s="65">
        <v>0</v>
      </c>
      <c r="AL407" s="1"/>
      <c r="AM407" s="1"/>
      <c r="AN407" s="81"/>
      <c r="AO407" s="81"/>
    </row>
    <row r="408" spans="1:41" s="26" customFormat="1" hidden="1" x14ac:dyDescent="0.25">
      <c r="A408" s="22" t="s">
        <v>1189</v>
      </c>
      <c r="B408" s="2" t="s">
        <v>1017</v>
      </c>
      <c r="C408" s="21">
        <v>0.6</v>
      </c>
      <c r="D408" s="23">
        <v>800</v>
      </c>
      <c r="E408" s="23"/>
      <c r="F408" s="28"/>
      <c r="G408" s="3" t="s">
        <v>1175</v>
      </c>
      <c r="H408" s="4"/>
      <c r="I408" s="6"/>
      <c r="J408" s="4">
        <v>30</v>
      </c>
      <c r="K408" s="5"/>
      <c r="L408" s="5" t="s">
        <v>1100</v>
      </c>
      <c r="M408" s="4" t="s">
        <v>260</v>
      </c>
      <c r="N408" s="4"/>
      <c r="O408" s="4" t="s">
        <v>380</v>
      </c>
      <c r="P408" s="4"/>
      <c r="Q408" s="24"/>
      <c r="R408" s="25" t="s">
        <v>946</v>
      </c>
      <c r="S408" s="6"/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f t="shared" si="21"/>
        <v>0</v>
      </c>
      <c r="Z408" s="10"/>
      <c r="AA408" s="10"/>
      <c r="AB408" s="10"/>
      <c r="AC408" s="10"/>
      <c r="AD408" s="10"/>
      <c r="AE408" s="10"/>
      <c r="AF408" s="10"/>
      <c r="AG408" s="38">
        <f t="shared" si="22"/>
        <v>0</v>
      </c>
      <c r="AH408" s="51" t="str">
        <f t="shared" si="23"/>
        <v xml:space="preserve"> </v>
      </c>
      <c r="AI408" s="64"/>
      <c r="AJ408" s="1"/>
      <c r="AK408" s="65">
        <v>0</v>
      </c>
      <c r="AL408" s="1"/>
      <c r="AM408" s="1"/>
      <c r="AN408" s="81"/>
      <c r="AO408" s="81"/>
    </row>
    <row r="409" spans="1:41" s="26" customFormat="1" hidden="1" x14ac:dyDescent="0.25">
      <c r="A409" s="22" t="s">
        <v>1190</v>
      </c>
      <c r="B409" s="2" t="s">
        <v>1017</v>
      </c>
      <c r="C409" s="21">
        <v>1</v>
      </c>
      <c r="D409" s="23">
        <v>215</v>
      </c>
      <c r="E409" s="23"/>
      <c r="F409" s="28"/>
      <c r="G409" s="3" t="s">
        <v>1169</v>
      </c>
      <c r="H409" s="6"/>
      <c r="I409" s="6"/>
      <c r="J409" s="6">
        <v>30</v>
      </c>
      <c r="K409" s="21"/>
      <c r="L409" s="21" t="s">
        <v>1100</v>
      </c>
      <c r="M409" s="6" t="s">
        <v>1191</v>
      </c>
      <c r="N409" s="6"/>
      <c r="O409" s="6" t="s">
        <v>380</v>
      </c>
      <c r="P409" s="6"/>
      <c r="Q409" s="27"/>
      <c r="R409" s="28" t="s">
        <v>946</v>
      </c>
      <c r="S409" s="6"/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f t="shared" si="21"/>
        <v>0</v>
      </c>
      <c r="Z409" s="10"/>
      <c r="AA409" s="10"/>
      <c r="AB409" s="10"/>
      <c r="AC409" s="10"/>
      <c r="AD409" s="10"/>
      <c r="AE409" s="10"/>
      <c r="AF409" s="10"/>
      <c r="AG409" s="38">
        <f t="shared" si="22"/>
        <v>0</v>
      </c>
      <c r="AH409" s="51" t="str">
        <f t="shared" si="23"/>
        <v xml:space="preserve"> </v>
      </c>
      <c r="AI409" s="64"/>
      <c r="AJ409" s="1"/>
      <c r="AK409" s="65">
        <v>0</v>
      </c>
      <c r="AL409" s="1"/>
      <c r="AM409" s="1"/>
      <c r="AN409" s="81"/>
      <c r="AO409" s="81"/>
    </row>
    <row r="410" spans="1:41" s="26" customFormat="1" hidden="1" x14ac:dyDescent="0.25">
      <c r="A410" s="22" t="s">
        <v>1192</v>
      </c>
      <c r="B410" s="2" t="s">
        <v>1017</v>
      </c>
      <c r="C410" s="21">
        <v>1</v>
      </c>
      <c r="D410" s="23">
        <v>228</v>
      </c>
      <c r="E410" s="23"/>
      <c r="F410" s="28"/>
      <c r="G410" s="3" t="s">
        <v>1169</v>
      </c>
      <c r="H410" s="6"/>
      <c r="I410" s="6"/>
      <c r="J410" s="6">
        <v>30</v>
      </c>
      <c r="K410" s="21"/>
      <c r="L410" s="21" t="s">
        <v>1100</v>
      </c>
      <c r="M410" s="6" t="s">
        <v>1191</v>
      </c>
      <c r="N410" s="6"/>
      <c r="O410" s="6" t="s">
        <v>380</v>
      </c>
      <c r="P410" s="6"/>
      <c r="Q410" s="27"/>
      <c r="R410" s="28" t="s">
        <v>946</v>
      </c>
      <c r="S410" s="6"/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f t="shared" si="21"/>
        <v>0</v>
      </c>
      <c r="Z410" s="10"/>
      <c r="AA410" s="10"/>
      <c r="AB410" s="10"/>
      <c r="AC410" s="10"/>
      <c r="AD410" s="10"/>
      <c r="AE410" s="10"/>
      <c r="AF410" s="10"/>
      <c r="AG410" s="38">
        <f t="shared" si="22"/>
        <v>0</v>
      </c>
      <c r="AH410" s="51" t="str">
        <f t="shared" si="23"/>
        <v xml:space="preserve"> </v>
      </c>
      <c r="AI410" s="64"/>
      <c r="AJ410" s="1"/>
      <c r="AK410" s="65">
        <v>0</v>
      </c>
      <c r="AL410" s="1"/>
      <c r="AM410" s="1"/>
      <c r="AN410" s="81"/>
      <c r="AO410" s="81"/>
    </row>
    <row r="411" spans="1:41" s="26" customFormat="1" hidden="1" x14ac:dyDescent="0.25">
      <c r="A411" s="22" t="s">
        <v>607</v>
      </c>
      <c r="B411" s="2" t="s">
        <v>1017</v>
      </c>
      <c r="C411" s="21">
        <v>1</v>
      </c>
      <c r="D411" s="23">
        <v>1200</v>
      </c>
      <c r="E411" s="23"/>
      <c r="F411" s="28"/>
      <c r="G411" s="3" t="s">
        <v>1193</v>
      </c>
      <c r="H411" s="4"/>
      <c r="I411" s="6"/>
      <c r="J411" s="4">
        <v>30</v>
      </c>
      <c r="K411" s="5"/>
      <c r="L411" s="5" t="s">
        <v>1100</v>
      </c>
      <c r="M411" s="4" t="s">
        <v>260</v>
      </c>
      <c r="N411" s="4"/>
      <c r="O411" s="4" t="s">
        <v>380</v>
      </c>
      <c r="P411" s="4"/>
      <c r="Q411" s="24"/>
      <c r="R411" s="25" t="s">
        <v>946</v>
      </c>
      <c r="S411" s="6"/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f t="shared" si="21"/>
        <v>0</v>
      </c>
      <c r="Z411" s="10"/>
      <c r="AA411" s="10"/>
      <c r="AB411" s="10"/>
      <c r="AC411" s="10"/>
      <c r="AD411" s="10"/>
      <c r="AE411" s="10"/>
      <c r="AF411" s="10"/>
      <c r="AG411" s="38">
        <f t="shared" si="22"/>
        <v>0</v>
      </c>
      <c r="AH411" s="51" t="str">
        <f t="shared" si="23"/>
        <v xml:space="preserve"> </v>
      </c>
      <c r="AI411" s="64"/>
      <c r="AJ411" s="1"/>
      <c r="AK411" s="65">
        <v>0</v>
      </c>
      <c r="AL411" s="1"/>
      <c r="AM411" s="1"/>
      <c r="AN411" s="81"/>
      <c r="AO411" s="81"/>
    </row>
    <row r="412" spans="1:41" s="26" customFormat="1" hidden="1" x14ac:dyDescent="0.25">
      <c r="A412" s="22" t="s">
        <v>1194</v>
      </c>
      <c r="B412" s="2" t="s">
        <v>1017</v>
      </c>
      <c r="C412" s="21">
        <v>1.2</v>
      </c>
      <c r="D412" s="6">
        <v>1200</v>
      </c>
      <c r="E412" s="23"/>
      <c r="F412" s="28"/>
      <c r="G412" s="3" t="s">
        <v>1175</v>
      </c>
      <c r="H412" s="6"/>
      <c r="I412" s="6"/>
      <c r="J412" s="6">
        <v>30</v>
      </c>
      <c r="K412" s="21"/>
      <c r="L412" s="21" t="s">
        <v>1100</v>
      </c>
      <c r="M412" s="6" t="s">
        <v>260</v>
      </c>
      <c r="N412" s="6"/>
      <c r="O412" s="6" t="s">
        <v>380</v>
      </c>
      <c r="P412" s="6"/>
      <c r="Q412" s="27"/>
      <c r="R412" s="28" t="s">
        <v>946</v>
      </c>
      <c r="S412" s="6"/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f t="shared" si="21"/>
        <v>0</v>
      </c>
      <c r="Z412" s="10"/>
      <c r="AA412" s="10"/>
      <c r="AB412" s="10"/>
      <c r="AC412" s="10"/>
      <c r="AD412" s="10"/>
      <c r="AE412" s="10"/>
      <c r="AF412" s="10"/>
      <c r="AG412" s="38">
        <f t="shared" si="22"/>
        <v>0</v>
      </c>
      <c r="AH412" s="51" t="str">
        <f t="shared" si="23"/>
        <v xml:space="preserve"> </v>
      </c>
      <c r="AI412" s="64"/>
      <c r="AJ412" s="1"/>
      <c r="AK412" s="65">
        <v>0</v>
      </c>
      <c r="AL412" s="1"/>
      <c r="AM412" s="1"/>
      <c r="AN412" s="81"/>
      <c r="AO412" s="81"/>
    </row>
    <row r="413" spans="1:41" s="26" customFormat="1" hidden="1" x14ac:dyDescent="0.25">
      <c r="A413" s="22" t="s">
        <v>1194</v>
      </c>
      <c r="B413" s="2" t="s">
        <v>1017</v>
      </c>
      <c r="C413" s="21">
        <v>1.2</v>
      </c>
      <c r="D413" s="23">
        <v>1200</v>
      </c>
      <c r="E413" s="23"/>
      <c r="F413" s="28"/>
      <c r="G413" s="3" t="s">
        <v>1175</v>
      </c>
      <c r="H413" s="6"/>
      <c r="I413" s="6"/>
      <c r="J413" s="6">
        <v>30</v>
      </c>
      <c r="K413" s="21"/>
      <c r="L413" s="21" t="s">
        <v>1100</v>
      </c>
      <c r="M413" s="6" t="s">
        <v>1195</v>
      </c>
      <c r="N413" s="6"/>
      <c r="O413" s="6" t="s">
        <v>380</v>
      </c>
      <c r="P413" s="6"/>
      <c r="Q413" s="27"/>
      <c r="R413" s="28" t="s">
        <v>946</v>
      </c>
      <c r="S413" s="6"/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f t="shared" si="21"/>
        <v>0</v>
      </c>
      <c r="Z413" s="10"/>
      <c r="AA413" s="10"/>
      <c r="AB413" s="10"/>
      <c r="AC413" s="10"/>
      <c r="AD413" s="10"/>
      <c r="AE413" s="10"/>
      <c r="AF413" s="10"/>
      <c r="AG413" s="38">
        <f t="shared" si="22"/>
        <v>0</v>
      </c>
      <c r="AH413" s="51" t="str">
        <f t="shared" si="23"/>
        <v xml:space="preserve"> </v>
      </c>
      <c r="AI413" s="64"/>
      <c r="AJ413" s="1"/>
      <c r="AK413" s="65">
        <v>0</v>
      </c>
      <c r="AL413" s="1"/>
      <c r="AM413" s="1"/>
      <c r="AN413" s="81"/>
      <c r="AO413" s="81"/>
    </row>
    <row r="414" spans="1:41" s="26" customFormat="1" hidden="1" x14ac:dyDescent="0.25">
      <c r="A414" s="22" t="s">
        <v>1196</v>
      </c>
      <c r="B414" s="2" t="s">
        <v>1017</v>
      </c>
      <c r="C414" s="21">
        <v>1.25</v>
      </c>
      <c r="D414" s="6">
        <v>1200</v>
      </c>
      <c r="E414" s="23"/>
      <c r="F414" s="28"/>
      <c r="G414" s="3" t="s">
        <v>863</v>
      </c>
      <c r="H414" s="6"/>
      <c r="I414" s="6"/>
      <c r="J414" s="6">
        <v>30</v>
      </c>
      <c r="K414" s="21"/>
      <c r="L414" s="21" t="s">
        <v>1100</v>
      </c>
      <c r="M414" s="6" t="s">
        <v>1089</v>
      </c>
      <c r="N414" s="6"/>
      <c r="O414" s="6" t="s">
        <v>380</v>
      </c>
      <c r="P414" s="6"/>
      <c r="Q414" s="27"/>
      <c r="R414" s="28" t="s">
        <v>946</v>
      </c>
      <c r="S414" s="6"/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f t="shared" si="21"/>
        <v>0</v>
      </c>
      <c r="Z414" s="10"/>
      <c r="AA414" s="10"/>
      <c r="AB414" s="10"/>
      <c r="AC414" s="10"/>
      <c r="AD414" s="10"/>
      <c r="AE414" s="10"/>
      <c r="AF414" s="10"/>
      <c r="AG414" s="38">
        <f t="shared" si="22"/>
        <v>0</v>
      </c>
      <c r="AH414" s="51" t="str">
        <f t="shared" si="23"/>
        <v xml:space="preserve"> </v>
      </c>
      <c r="AI414" s="64"/>
      <c r="AJ414" s="1"/>
      <c r="AK414" s="65">
        <v>0</v>
      </c>
      <c r="AL414" s="1"/>
      <c r="AM414" s="1"/>
      <c r="AN414" s="81"/>
      <c r="AO414" s="81"/>
    </row>
    <row r="415" spans="1:41" s="26" customFormat="1" hidden="1" x14ac:dyDescent="0.25">
      <c r="A415" s="22" t="s">
        <v>1197</v>
      </c>
      <c r="B415" s="2" t="s">
        <v>1017</v>
      </c>
      <c r="C415" s="21">
        <v>1.5</v>
      </c>
      <c r="D415" s="23"/>
      <c r="E415" s="23"/>
      <c r="F415" s="77"/>
      <c r="G415" s="3" t="s">
        <v>1092</v>
      </c>
      <c r="H415" s="6"/>
      <c r="I415" s="6" t="s">
        <v>953</v>
      </c>
      <c r="J415" s="6">
        <v>69</v>
      </c>
      <c r="K415" s="21">
        <v>19</v>
      </c>
      <c r="L415" s="21" t="s">
        <v>45</v>
      </c>
      <c r="M415" s="6" t="s">
        <v>1054</v>
      </c>
      <c r="N415" s="6" t="s">
        <v>1093</v>
      </c>
      <c r="O415" s="6" t="s">
        <v>380</v>
      </c>
      <c r="P415" s="6"/>
      <c r="Q415" s="27"/>
      <c r="R415" s="28" t="s">
        <v>946</v>
      </c>
      <c r="S415" s="6" t="s">
        <v>177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f t="shared" si="21"/>
        <v>0</v>
      </c>
      <c r="Z415" s="10"/>
      <c r="AA415" s="10"/>
      <c r="AB415" s="10"/>
      <c r="AC415" s="10"/>
      <c r="AD415" s="10"/>
      <c r="AE415" s="10"/>
      <c r="AF415" s="10"/>
      <c r="AG415" s="38">
        <f t="shared" si="22"/>
        <v>0</v>
      </c>
      <c r="AH415" s="51" t="str">
        <f t="shared" si="23"/>
        <v xml:space="preserve"> </v>
      </c>
      <c r="AI415" s="64"/>
      <c r="AJ415" s="1"/>
      <c r="AK415" s="65">
        <v>0</v>
      </c>
      <c r="AL415" s="1"/>
      <c r="AM415" s="1"/>
      <c r="AN415" s="81"/>
      <c r="AO415" s="81"/>
    </row>
    <row r="416" spans="1:41" s="26" customFormat="1" hidden="1" x14ac:dyDescent="0.25">
      <c r="A416" s="22" t="s">
        <v>1198</v>
      </c>
      <c r="B416" s="2" t="s">
        <v>1017</v>
      </c>
      <c r="C416" s="21">
        <v>1.5</v>
      </c>
      <c r="D416" s="23">
        <v>1200</v>
      </c>
      <c r="E416" s="23"/>
      <c r="F416" s="28"/>
      <c r="G416" s="3" t="s">
        <v>1092</v>
      </c>
      <c r="H416" s="6"/>
      <c r="I416" s="6" t="s">
        <v>942</v>
      </c>
      <c r="J416" s="6">
        <v>69</v>
      </c>
      <c r="K416" s="21">
        <v>18</v>
      </c>
      <c r="L416" s="21" t="s">
        <v>45</v>
      </c>
      <c r="M416" s="6" t="s">
        <v>1054</v>
      </c>
      <c r="N416" s="6" t="s">
        <v>1093</v>
      </c>
      <c r="O416" s="6" t="s">
        <v>380</v>
      </c>
      <c r="P416" s="6"/>
      <c r="Q416" s="27"/>
      <c r="R416" s="28" t="s">
        <v>946</v>
      </c>
      <c r="S416" s="6" t="s">
        <v>177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f t="shared" si="21"/>
        <v>0</v>
      </c>
      <c r="Z416" s="10"/>
      <c r="AA416" s="10"/>
      <c r="AB416" s="10"/>
      <c r="AC416" s="10"/>
      <c r="AD416" s="10"/>
      <c r="AE416" s="10"/>
      <c r="AF416" s="10"/>
      <c r="AG416" s="38">
        <f t="shared" si="22"/>
        <v>0</v>
      </c>
      <c r="AH416" s="51" t="str">
        <f t="shared" si="23"/>
        <v xml:space="preserve"> </v>
      </c>
      <c r="AI416" s="64"/>
      <c r="AJ416" s="1"/>
      <c r="AK416" s="65">
        <v>0</v>
      </c>
      <c r="AL416" s="1"/>
      <c r="AM416" s="1"/>
      <c r="AN416" s="81"/>
      <c r="AO416" s="81"/>
    </row>
    <row r="417" spans="1:41" s="26" customFormat="1" hidden="1" x14ac:dyDescent="0.25">
      <c r="A417" s="22" t="s">
        <v>1199</v>
      </c>
      <c r="B417" s="2" t="s">
        <v>1017</v>
      </c>
      <c r="C417" s="21">
        <v>1.5</v>
      </c>
      <c r="D417" s="23">
        <v>1200</v>
      </c>
      <c r="E417" s="23"/>
      <c r="F417" s="28"/>
      <c r="G417" s="3" t="s">
        <v>1092</v>
      </c>
      <c r="H417" s="6"/>
      <c r="I417" s="6" t="s">
        <v>942</v>
      </c>
      <c r="J417" s="6">
        <v>69</v>
      </c>
      <c r="K417" s="21">
        <v>18</v>
      </c>
      <c r="L417" s="21" t="s">
        <v>45</v>
      </c>
      <c r="M417" s="6" t="s">
        <v>1054</v>
      </c>
      <c r="N417" s="6" t="s">
        <v>1093</v>
      </c>
      <c r="O417" s="6" t="s">
        <v>380</v>
      </c>
      <c r="P417" s="6"/>
      <c r="Q417" s="27"/>
      <c r="R417" s="28" t="s">
        <v>946</v>
      </c>
      <c r="S417" s="6" t="s">
        <v>177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f t="shared" si="21"/>
        <v>0</v>
      </c>
      <c r="Z417" s="10"/>
      <c r="AA417" s="10"/>
      <c r="AB417" s="10"/>
      <c r="AC417" s="10"/>
      <c r="AD417" s="10"/>
      <c r="AE417" s="10"/>
      <c r="AF417" s="10"/>
      <c r="AG417" s="38">
        <f t="shared" si="22"/>
        <v>0</v>
      </c>
      <c r="AH417" s="51" t="str">
        <f t="shared" si="23"/>
        <v xml:space="preserve"> </v>
      </c>
      <c r="AI417" s="64"/>
      <c r="AJ417" s="1"/>
      <c r="AK417" s="65">
        <v>0</v>
      </c>
      <c r="AL417" s="1"/>
      <c r="AM417" s="1"/>
      <c r="AN417" s="81"/>
      <c r="AO417" s="81"/>
    </row>
    <row r="418" spans="1:41" s="26" customFormat="1" hidden="1" x14ac:dyDescent="0.25">
      <c r="A418" s="22" t="s">
        <v>1200</v>
      </c>
      <c r="B418" s="2" t="s">
        <v>1017</v>
      </c>
      <c r="C418" s="21">
        <v>2</v>
      </c>
      <c r="D418" s="23"/>
      <c r="E418" s="23"/>
      <c r="F418" s="77"/>
      <c r="G418" s="3" t="s">
        <v>1092</v>
      </c>
      <c r="H418" s="6"/>
      <c r="I418" s="6" t="s">
        <v>942</v>
      </c>
      <c r="J418" s="6">
        <v>69</v>
      </c>
      <c r="K418" s="21">
        <v>18</v>
      </c>
      <c r="L418" s="21" t="s">
        <v>45</v>
      </c>
      <c r="M418" s="6" t="s">
        <v>1054</v>
      </c>
      <c r="N418" s="6" t="s">
        <v>1093</v>
      </c>
      <c r="O418" s="6" t="s">
        <v>380</v>
      </c>
      <c r="P418" s="6"/>
      <c r="Q418" s="27"/>
      <c r="R418" s="28" t="s">
        <v>946</v>
      </c>
      <c r="S418" s="6" t="s">
        <v>177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f t="shared" si="21"/>
        <v>0</v>
      </c>
      <c r="Z418" s="10"/>
      <c r="AA418" s="10"/>
      <c r="AB418" s="10"/>
      <c r="AC418" s="10"/>
      <c r="AD418" s="10"/>
      <c r="AE418" s="10"/>
      <c r="AF418" s="10"/>
      <c r="AG418" s="38">
        <f t="shared" si="22"/>
        <v>0</v>
      </c>
      <c r="AH418" s="51" t="str">
        <f t="shared" si="23"/>
        <v xml:space="preserve"> </v>
      </c>
      <c r="AI418" s="64"/>
      <c r="AJ418" s="1"/>
      <c r="AK418" s="65">
        <v>0</v>
      </c>
      <c r="AL418" s="1"/>
      <c r="AM418" s="1"/>
      <c r="AN418" s="81"/>
      <c r="AO418" s="81"/>
    </row>
    <row r="419" spans="1:41" s="26" customFormat="1" hidden="1" x14ac:dyDescent="0.25">
      <c r="A419" s="22" t="s">
        <v>1201</v>
      </c>
      <c r="B419" s="2" t="s">
        <v>1017</v>
      </c>
      <c r="C419" s="21">
        <v>1.5</v>
      </c>
      <c r="D419" s="23">
        <v>1200</v>
      </c>
      <c r="E419" s="23"/>
      <c r="F419" s="28"/>
      <c r="G419" s="3" t="s">
        <v>1092</v>
      </c>
      <c r="H419" s="6"/>
      <c r="I419" s="6" t="s">
        <v>942</v>
      </c>
      <c r="J419" s="6">
        <v>69</v>
      </c>
      <c r="K419" s="21">
        <v>18</v>
      </c>
      <c r="L419" s="21" t="s">
        <v>45</v>
      </c>
      <c r="M419" s="6" t="s">
        <v>1054</v>
      </c>
      <c r="N419" s="6" t="s">
        <v>1093</v>
      </c>
      <c r="O419" s="6" t="s">
        <v>380</v>
      </c>
      <c r="P419" s="6"/>
      <c r="Q419" s="27"/>
      <c r="R419" s="28" t="s">
        <v>946</v>
      </c>
      <c r="S419" s="6" t="s">
        <v>177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f t="shared" si="21"/>
        <v>0</v>
      </c>
      <c r="Z419" s="10"/>
      <c r="AA419" s="10"/>
      <c r="AB419" s="10"/>
      <c r="AC419" s="10"/>
      <c r="AD419" s="10"/>
      <c r="AE419" s="10"/>
      <c r="AF419" s="10"/>
      <c r="AG419" s="38">
        <f t="shared" si="22"/>
        <v>0</v>
      </c>
      <c r="AH419" s="51" t="str">
        <f t="shared" si="23"/>
        <v xml:space="preserve"> </v>
      </c>
      <c r="AI419" s="64"/>
      <c r="AJ419" s="1"/>
      <c r="AK419" s="65">
        <v>0</v>
      </c>
      <c r="AL419" s="1"/>
      <c r="AM419" s="1"/>
      <c r="AN419" s="81"/>
      <c r="AO419" s="81"/>
    </row>
    <row r="420" spans="1:41" s="26" customFormat="1" hidden="1" x14ac:dyDescent="0.25">
      <c r="A420" s="22" t="s">
        <v>1202</v>
      </c>
      <c r="B420" s="2" t="s">
        <v>1017</v>
      </c>
      <c r="C420" s="21">
        <v>1.5</v>
      </c>
      <c r="D420" s="6">
        <v>1200</v>
      </c>
      <c r="E420" s="23"/>
      <c r="F420" s="28"/>
      <c r="G420" s="3" t="s">
        <v>1175</v>
      </c>
      <c r="H420" s="6"/>
      <c r="I420" s="6"/>
      <c r="J420" s="6">
        <v>30</v>
      </c>
      <c r="K420" s="21"/>
      <c r="L420" s="21" t="s">
        <v>1100</v>
      </c>
      <c r="M420" s="6" t="s">
        <v>1054</v>
      </c>
      <c r="N420" s="6"/>
      <c r="O420" s="6" t="s">
        <v>380</v>
      </c>
      <c r="P420" s="6"/>
      <c r="Q420" s="27"/>
      <c r="R420" s="28" t="s">
        <v>946</v>
      </c>
      <c r="S420" s="6"/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f t="shared" si="21"/>
        <v>0</v>
      </c>
      <c r="Z420" s="10"/>
      <c r="AA420" s="10"/>
      <c r="AB420" s="10"/>
      <c r="AC420" s="10"/>
      <c r="AD420" s="10"/>
      <c r="AE420" s="10"/>
      <c r="AF420" s="10"/>
      <c r="AG420" s="38">
        <f t="shared" si="22"/>
        <v>0</v>
      </c>
      <c r="AH420" s="51" t="str">
        <f t="shared" si="23"/>
        <v xml:space="preserve"> </v>
      </c>
      <c r="AI420" s="64"/>
      <c r="AJ420" s="1"/>
      <c r="AK420" s="65">
        <v>0</v>
      </c>
      <c r="AL420" s="1"/>
      <c r="AM420" s="1"/>
      <c r="AN420" s="81"/>
      <c r="AO420" s="81"/>
    </row>
    <row r="421" spans="1:41" s="26" customFormat="1" hidden="1" x14ac:dyDescent="0.25">
      <c r="A421" s="22" t="s">
        <v>1203</v>
      </c>
      <c r="B421" s="2" t="s">
        <v>1017</v>
      </c>
      <c r="C421" s="21">
        <v>1.5</v>
      </c>
      <c r="D421" s="6">
        <v>1150</v>
      </c>
      <c r="E421" s="23"/>
      <c r="F421" s="28"/>
      <c r="G421" s="3" t="s">
        <v>1204</v>
      </c>
      <c r="H421" s="6"/>
      <c r="I421" s="6"/>
      <c r="J421" s="6">
        <v>30</v>
      </c>
      <c r="K421" s="21"/>
      <c r="L421" s="21" t="s">
        <v>1100</v>
      </c>
      <c r="M421" s="6" t="s">
        <v>1124</v>
      </c>
      <c r="N421" s="6"/>
      <c r="O421" s="6" t="s">
        <v>380</v>
      </c>
      <c r="P421" s="6"/>
      <c r="Q421" s="27"/>
      <c r="R421" s="28" t="s">
        <v>946</v>
      </c>
      <c r="S421" s="6"/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f t="shared" si="21"/>
        <v>0</v>
      </c>
      <c r="Z421" s="10"/>
      <c r="AA421" s="10"/>
      <c r="AB421" s="10"/>
      <c r="AC421" s="10"/>
      <c r="AD421" s="10"/>
      <c r="AE421" s="10"/>
      <c r="AF421" s="10"/>
      <c r="AG421" s="38">
        <f t="shared" si="22"/>
        <v>0</v>
      </c>
      <c r="AH421" s="51" t="str">
        <f t="shared" si="23"/>
        <v xml:space="preserve"> </v>
      </c>
      <c r="AI421" s="64"/>
      <c r="AJ421" s="1"/>
      <c r="AK421" s="65">
        <v>0</v>
      </c>
      <c r="AL421" s="1"/>
      <c r="AM421" s="1"/>
      <c r="AN421" s="81"/>
      <c r="AO421" s="81"/>
    </row>
    <row r="422" spans="1:41" s="26" customFormat="1" hidden="1" x14ac:dyDescent="0.25">
      <c r="A422" s="22" t="s">
        <v>1205</v>
      </c>
      <c r="B422" s="2" t="s">
        <v>1017</v>
      </c>
      <c r="C422" s="21">
        <v>1.5</v>
      </c>
      <c r="D422" s="6">
        <v>1200</v>
      </c>
      <c r="E422" s="23"/>
      <c r="F422" s="28"/>
      <c r="G422" s="3" t="s">
        <v>1206</v>
      </c>
      <c r="H422" s="6"/>
      <c r="I422" s="6"/>
      <c r="J422" s="6">
        <v>30</v>
      </c>
      <c r="K422" s="21"/>
      <c r="L422" s="21" t="s">
        <v>1100</v>
      </c>
      <c r="M422" s="6" t="s">
        <v>1054</v>
      </c>
      <c r="N422" s="6"/>
      <c r="O422" s="6" t="s">
        <v>380</v>
      </c>
      <c r="P422" s="6"/>
      <c r="Q422" s="27"/>
      <c r="R422" s="28" t="s">
        <v>946</v>
      </c>
      <c r="S422" s="6"/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f t="shared" si="21"/>
        <v>0</v>
      </c>
      <c r="Z422" s="10"/>
      <c r="AA422" s="10"/>
      <c r="AB422" s="10"/>
      <c r="AC422" s="10"/>
      <c r="AD422" s="10"/>
      <c r="AE422" s="10"/>
      <c r="AF422" s="10"/>
      <c r="AG422" s="38">
        <f t="shared" si="22"/>
        <v>0</v>
      </c>
      <c r="AH422" s="51" t="str">
        <f t="shared" si="23"/>
        <v xml:space="preserve"> </v>
      </c>
      <c r="AI422" s="64"/>
      <c r="AJ422" s="1"/>
      <c r="AK422" s="65">
        <v>0</v>
      </c>
      <c r="AL422" s="1"/>
      <c r="AM422" s="1"/>
      <c r="AN422" s="81"/>
      <c r="AO422" s="81"/>
    </row>
    <row r="423" spans="1:41" s="26" customFormat="1" hidden="1" x14ac:dyDescent="0.25">
      <c r="A423" s="22" t="s">
        <v>1207</v>
      </c>
      <c r="B423" s="2" t="s">
        <v>1017</v>
      </c>
      <c r="C423" s="21">
        <v>1.5</v>
      </c>
      <c r="D423" s="6">
        <v>1300</v>
      </c>
      <c r="E423" s="23"/>
      <c r="F423" s="28"/>
      <c r="G423" s="3" t="s">
        <v>1134</v>
      </c>
      <c r="H423" s="4"/>
      <c r="I423" s="6"/>
      <c r="J423" s="4">
        <v>30</v>
      </c>
      <c r="K423" s="5"/>
      <c r="L423" s="5" t="s">
        <v>1100</v>
      </c>
      <c r="M423" s="4" t="s">
        <v>1191</v>
      </c>
      <c r="N423" s="4"/>
      <c r="O423" s="4" t="s">
        <v>380</v>
      </c>
      <c r="P423" s="4"/>
      <c r="Q423" s="24"/>
      <c r="R423" s="25" t="s">
        <v>946</v>
      </c>
      <c r="S423" s="6"/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f t="shared" si="21"/>
        <v>0</v>
      </c>
      <c r="Z423" s="10"/>
      <c r="AA423" s="10"/>
      <c r="AB423" s="10"/>
      <c r="AC423" s="10"/>
      <c r="AD423" s="10"/>
      <c r="AE423" s="10"/>
      <c r="AF423" s="10"/>
      <c r="AG423" s="38">
        <f t="shared" si="22"/>
        <v>0</v>
      </c>
      <c r="AH423" s="51" t="str">
        <f t="shared" si="23"/>
        <v xml:space="preserve"> </v>
      </c>
      <c r="AI423" s="64"/>
      <c r="AJ423" s="1"/>
      <c r="AK423" s="65">
        <v>0</v>
      </c>
      <c r="AL423" s="1"/>
      <c r="AM423" s="1"/>
      <c r="AN423" s="81"/>
      <c r="AO423" s="81"/>
    </row>
    <row r="424" spans="1:41" s="26" customFormat="1" hidden="1" x14ac:dyDescent="0.25">
      <c r="A424" s="22" t="s">
        <v>1208</v>
      </c>
      <c r="B424" s="2" t="s">
        <v>1181</v>
      </c>
      <c r="C424" s="21">
        <v>1.5</v>
      </c>
      <c r="D424" s="6">
        <v>1300</v>
      </c>
      <c r="E424" s="23"/>
      <c r="F424" s="28"/>
      <c r="G424" s="3" t="s">
        <v>1182</v>
      </c>
      <c r="H424" s="4"/>
      <c r="I424" s="6"/>
      <c r="J424" s="4">
        <v>30</v>
      </c>
      <c r="K424" s="5"/>
      <c r="L424" s="5" t="s">
        <v>1100</v>
      </c>
      <c r="M424" s="4" t="s">
        <v>954</v>
      </c>
      <c r="N424" s="4"/>
      <c r="O424" s="4" t="s">
        <v>380</v>
      </c>
      <c r="P424" s="4"/>
      <c r="Q424" s="24"/>
      <c r="R424" s="25" t="s">
        <v>946</v>
      </c>
      <c r="S424" s="6"/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f t="shared" si="21"/>
        <v>0</v>
      </c>
      <c r="Z424" s="10"/>
      <c r="AA424" s="10"/>
      <c r="AB424" s="10"/>
      <c r="AC424" s="10"/>
      <c r="AD424" s="10"/>
      <c r="AE424" s="10"/>
      <c r="AF424" s="10"/>
      <c r="AG424" s="38">
        <f t="shared" si="22"/>
        <v>0</v>
      </c>
      <c r="AH424" s="51" t="str">
        <f t="shared" si="23"/>
        <v xml:space="preserve"> </v>
      </c>
      <c r="AI424" s="64"/>
      <c r="AJ424" s="1"/>
      <c r="AK424" s="65">
        <v>0</v>
      </c>
      <c r="AL424" s="1"/>
      <c r="AM424" s="1"/>
      <c r="AN424" s="81"/>
      <c r="AO424" s="81"/>
    </row>
    <row r="425" spans="1:41" s="26" customFormat="1" hidden="1" x14ac:dyDescent="0.25">
      <c r="A425" s="22" t="s">
        <v>1209</v>
      </c>
      <c r="B425" s="2" t="s">
        <v>1017</v>
      </c>
      <c r="C425" s="21">
        <v>1.9</v>
      </c>
      <c r="D425" s="6">
        <v>1100</v>
      </c>
      <c r="E425" s="23"/>
      <c r="F425" s="28"/>
      <c r="G425" s="3" t="s">
        <v>1210</v>
      </c>
      <c r="H425" s="6"/>
      <c r="I425" s="6"/>
      <c r="J425" s="6">
        <v>30</v>
      </c>
      <c r="K425" s="21"/>
      <c r="L425" s="21" t="s">
        <v>1100</v>
      </c>
      <c r="M425" s="6" t="s">
        <v>1054</v>
      </c>
      <c r="N425" s="6"/>
      <c r="O425" s="6" t="s">
        <v>380</v>
      </c>
      <c r="P425" s="6"/>
      <c r="Q425" s="27"/>
      <c r="R425" s="28" t="s">
        <v>946</v>
      </c>
      <c r="S425" s="6"/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f t="shared" si="21"/>
        <v>0</v>
      </c>
      <c r="Z425" s="10"/>
      <c r="AA425" s="10"/>
      <c r="AB425" s="10"/>
      <c r="AC425" s="10"/>
      <c r="AD425" s="10"/>
      <c r="AE425" s="10"/>
      <c r="AF425" s="10"/>
      <c r="AG425" s="38">
        <f t="shared" si="22"/>
        <v>0</v>
      </c>
      <c r="AH425" s="51" t="str">
        <f t="shared" si="23"/>
        <v xml:space="preserve"> </v>
      </c>
      <c r="AI425" s="64"/>
      <c r="AJ425" s="1"/>
      <c r="AK425" s="65">
        <v>0</v>
      </c>
      <c r="AL425" s="1"/>
      <c r="AM425" s="1"/>
      <c r="AN425" s="81"/>
      <c r="AO425" s="81"/>
    </row>
    <row r="426" spans="1:41" s="26" customFormat="1" hidden="1" x14ac:dyDescent="0.25">
      <c r="A426" s="22" t="s">
        <v>1211</v>
      </c>
      <c r="B426" s="2" t="s">
        <v>1017</v>
      </c>
      <c r="C426" s="21">
        <v>1.9</v>
      </c>
      <c r="D426" s="6">
        <v>1200</v>
      </c>
      <c r="E426" s="23"/>
      <c r="F426" s="28"/>
      <c r="G426" s="3" t="s">
        <v>1210</v>
      </c>
      <c r="H426" s="6"/>
      <c r="I426" s="6"/>
      <c r="J426" s="6">
        <v>30</v>
      </c>
      <c r="K426" s="21"/>
      <c r="L426" s="21" t="s">
        <v>1100</v>
      </c>
      <c r="M426" s="6" t="s">
        <v>1124</v>
      </c>
      <c r="N426" s="6"/>
      <c r="O426" s="6" t="s">
        <v>380</v>
      </c>
      <c r="P426" s="6"/>
      <c r="Q426" s="27"/>
      <c r="R426" s="28" t="s">
        <v>946</v>
      </c>
      <c r="S426" s="6"/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f t="shared" si="21"/>
        <v>0</v>
      </c>
      <c r="Z426" s="10"/>
      <c r="AA426" s="10"/>
      <c r="AB426" s="10"/>
      <c r="AC426" s="10"/>
      <c r="AD426" s="10"/>
      <c r="AE426" s="10"/>
      <c r="AF426" s="10"/>
      <c r="AG426" s="38">
        <f t="shared" si="22"/>
        <v>0</v>
      </c>
      <c r="AH426" s="51" t="str">
        <f t="shared" si="23"/>
        <v xml:space="preserve"> </v>
      </c>
      <c r="AI426" s="64"/>
      <c r="AJ426" s="1"/>
      <c r="AK426" s="65">
        <v>0</v>
      </c>
      <c r="AL426" s="1"/>
      <c r="AM426" s="1"/>
      <c r="AN426" s="81"/>
      <c r="AO426" s="81"/>
    </row>
    <row r="427" spans="1:41" s="26" customFormat="1" hidden="1" x14ac:dyDescent="0.25">
      <c r="A427" s="22" t="s">
        <v>1212</v>
      </c>
      <c r="B427" s="2" t="s">
        <v>1017</v>
      </c>
      <c r="C427" s="21">
        <v>1.9</v>
      </c>
      <c r="D427" s="6">
        <v>1100</v>
      </c>
      <c r="E427" s="23"/>
      <c r="F427" s="28"/>
      <c r="G427" s="3" t="s">
        <v>1210</v>
      </c>
      <c r="H427" s="6"/>
      <c r="I427" s="6"/>
      <c r="J427" s="6">
        <v>30</v>
      </c>
      <c r="K427" s="21"/>
      <c r="L427" s="21" t="s">
        <v>1100</v>
      </c>
      <c r="M427" s="6" t="s">
        <v>1124</v>
      </c>
      <c r="N427" s="6"/>
      <c r="O427" s="6" t="s">
        <v>380</v>
      </c>
      <c r="P427" s="6"/>
      <c r="Q427" s="27"/>
      <c r="R427" s="28" t="s">
        <v>946</v>
      </c>
      <c r="S427" s="6"/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f t="shared" si="21"/>
        <v>0</v>
      </c>
      <c r="Z427" s="10"/>
      <c r="AA427" s="10"/>
      <c r="AB427" s="10"/>
      <c r="AC427" s="10"/>
      <c r="AD427" s="10"/>
      <c r="AE427" s="10"/>
      <c r="AF427" s="10"/>
      <c r="AG427" s="38">
        <f t="shared" si="22"/>
        <v>0</v>
      </c>
      <c r="AH427" s="51" t="str">
        <f t="shared" si="23"/>
        <v xml:space="preserve"> </v>
      </c>
      <c r="AI427" s="64"/>
      <c r="AJ427" s="1"/>
      <c r="AK427" s="65">
        <v>0</v>
      </c>
      <c r="AL427" s="1"/>
      <c r="AM427" s="1"/>
      <c r="AN427" s="81"/>
      <c r="AO427" s="81"/>
    </row>
    <row r="428" spans="1:41" s="26" customFormat="1" hidden="1" x14ac:dyDescent="0.25">
      <c r="A428" s="22" t="s">
        <v>1213</v>
      </c>
      <c r="B428" s="2" t="s">
        <v>1017</v>
      </c>
      <c r="C428" s="21">
        <v>1.9</v>
      </c>
      <c r="D428" s="6">
        <v>1100</v>
      </c>
      <c r="E428" s="23"/>
      <c r="F428" s="28"/>
      <c r="G428" s="3" t="s">
        <v>1214</v>
      </c>
      <c r="H428" s="6"/>
      <c r="I428" s="6"/>
      <c r="J428" s="6">
        <v>30</v>
      </c>
      <c r="K428" s="21"/>
      <c r="L428" s="21" t="s">
        <v>1100</v>
      </c>
      <c r="M428" s="4" t="s">
        <v>1124</v>
      </c>
      <c r="N428" s="6"/>
      <c r="O428" s="6" t="s">
        <v>380</v>
      </c>
      <c r="P428" s="6"/>
      <c r="Q428" s="27"/>
      <c r="R428" s="28" t="s">
        <v>946</v>
      </c>
      <c r="S428" s="6"/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f t="shared" si="21"/>
        <v>0</v>
      </c>
      <c r="Z428" s="10"/>
      <c r="AA428" s="10"/>
      <c r="AB428" s="10"/>
      <c r="AC428" s="10"/>
      <c r="AD428" s="10"/>
      <c r="AE428" s="10"/>
      <c r="AF428" s="10"/>
      <c r="AG428" s="38">
        <f t="shared" si="22"/>
        <v>0</v>
      </c>
      <c r="AH428" s="51" t="str">
        <f t="shared" si="23"/>
        <v xml:space="preserve"> </v>
      </c>
      <c r="AI428" s="64"/>
      <c r="AJ428" s="1"/>
      <c r="AK428" s="65">
        <v>0</v>
      </c>
      <c r="AL428" s="1"/>
      <c r="AM428" s="1"/>
      <c r="AN428" s="81"/>
      <c r="AO428" s="81"/>
    </row>
    <row r="429" spans="1:41" s="26" customFormat="1" hidden="1" x14ac:dyDescent="0.25">
      <c r="A429" s="22" t="s">
        <v>1215</v>
      </c>
      <c r="B429" s="2" t="s">
        <v>1017</v>
      </c>
      <c r="C429" s="21">
        <v>1.9</v>
      </c>
      <c r="D429" s="23">
        <v>1200</v>
      </c>
      <c r="E429" s="23"/>
      <c r="F429" s="28"/>
      <c r="G429" s="3" t="s">
        <v>1210</v>
      </c>
      <c r="H429" s="6"/>
      <c r="I429" s="6"/>
      <c r="J429" s="6">
        <v>30</v>
      </c>
      <c r="K429" s="21"/>
      <c r="L429" s="21" t="s">
        <v>1100</v>
      </c>
      <c r="M429" s="6" t="s">
        <v>954</v>
      </c>
      <c r="N429" s="6"/>
      <c r="O429" s="6" t="s">
        <v>380</v>
      </c>
      <c r="P429" s="6"/>
      <c r="Q429" s="27"/>
      <c r="R429" s="28" t="s">
        <v>946</v>
      </c>
      <c r="S429" s="6"/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f t="shared" si="21"/>
        <v>0</v>
      </c>
      <c r="Z429" s="10"/>
      <c r="AA429" s="10"/>
      <c r="AB429" s="10"/>
      <c r="AC429" s="10"/>
      <c r="AD429" s="10"/>
      <c r="AE429" s="10"/>
      <c r="AF429" s="10"/>
      <c r="AG429" s="38">
        <f t="shared" si="22"/>
        <v>0</v>
      </c>
      <c r="AH429" s="51" t="str">
        <f t="shared" si="23"/>
        <v xml:space="preserve"> </v>
      </c>
      <c r="AI429" s="64"/>
      <c r="AJ429" s="1"/>
      <c r="AK429" s="65">
        <v>0</v>
      </c>
      <c r="AL429" s="1"/>
      <c r="AM429" s="1"/>
      <c r="AN429" s="81"/>
      <c r="AO429" s="81"/>
    </row>
    <row r="430" spans="1:41" s="26" customFormat="1" hidden="1" x14ac:dyDescent="0.25">
      <c r="A430" s="22" t="s">
        <v>1216</v>
      </c>
      <c r="B430" s="2" t="s">
        <v>1181</v>
      </c>
      <c r="C430" s="21">
        <v>2</v>
      </c>
      <c r="D430" s="6">
        <v>1050</v>
      </c>
      <c r="E430" s="23"/>
      <c r="F430" s="28"/>
      <c r="G430" s="3" t="s">
        <v>1217</v>
      </c>
      <c r="H430" s="4"/>
      <c r="I430" s="4"/>
      <c r="J430" s="4">
        <v>30</v>
      </c>
      <c r="K430" s="5"/>
      <c r="L430" s="5" t="s">
        <v>1100</v>
      </c>
      <c r="M430" s="4" t="s">
        <v>1124</v>
      </c>
      <c r="N430" s="4"/>
      <c r="O430" s="4" t="s">
        <v>380</v>
      </c>
      <c r="P430" s="4"/>
      <c r="Q430" s="24"/>
      <c r="R430" s="25" t="s">
        <v>946</v>
      </c>
      <c r="S430" s="4"/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f t="shared" si="21"/>
        <v>0</v>
      </c>
      <c r="Z430" s="10"/>
      <c r="AA430" s="10"/>
      <c r="AB430" s="10"/>
      <c r="AC430" s="10"/>
      <c r="AD430" s="10"/>
      <c r="AE430" s="10"/>
      <c r="AF430" s="10"/>
      <c r="AG430" s="38">
        <f t="shared" si="22"/>
        <v>0</v>
      </c>
      <c r="AH430" s="51" t="str">
        <f t="shared" si="23"/>
        <v xml:space="preserve"> </v>
      </c>
      <c r="AI430" s="64"/>
      <c r="AJ430" s="1"/>
      <c r="AK430" s="65">
        <v>0</v>
      </c>
      <c r="AL430" s="1"/>
      <c r="AM430" s="1"/>
      <c r="AN430" s="81"/>
      <c r="AO430" s="81"/>
    </row>
    <row r="431" spans="1:41" s="26" customFormat="1" hidden="1" x14ac:dyDescent="0.25">
      <c r="A431" s="22" t="s">
        <v>1218</v>
      </c>
      <c r="B431" s="2" t="s">
        <v>1017</v>
      </c>
      <c r="C431" s="21">
        <v>2</v>
      </c>
      <c r="D431" s="23" t="s">
        <v>1219</v>
      </c>
      <c r="E431" s="23"/>
      <c r="F431" s="28"/>
      <c r="G431" s="3" t="s">
        <v>1220</v>
      </c>
      <c r="H431" s="6"/>
      <c r="I431" s="6"/>
      <c r="J431" s="6">
        <v>30</v>
      </c>
      <c r="K431" s="21"/>
      <c r="L431" s="21" t="s">
        <v>1100</v>
      </c>
      <c r="M431" s="6" t="s">
        <v>1163</v>
      </c>
      <c r="N431" s="6"/>
      <c r="O431" s="6" t="s">
        <v>380</v>
      </c>
      <c r="P431" s="6"/>
      <c r="Q431" s="27"/>
      <c r="R431" s="28" t="s">
        <v>946</v>
      </c>
      <c r="S431" s="6"/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f t="shared" si="21"/>
        <v>0</v>
      </c>
      <c r="Z431" s="10"/>
      <c r="AA431" s="10"/>
      <c r="AB431" s="10"/>
      <c r="AC431" s="10"/>
      <c r="AD431" s="10"/>
      <c r="AE431" s="10"/>
      <c r="AF431" s="10"/>
      <c r="AG431" s="38">
        <f t="shared" si="22"/>
        <v>0</v>
      </c>
      <c r="AH431" s="51" t="str">
        <f t="shared" si="23"/>
        <v xml:space="preserve"> </v>
      </c>
      <c r="AI431" s="64"/>
      <c r="AJ431" s="1"/>
      <c r="AK431" s="65">
        <v>0</v>
      </c>
      <c r="AL431" s="1"/>
      <c r="AM431" s="1"/>
      <c r="AN431" s="81"/>
      <c r="AO431" s="81"/>
    </row>
    <row r="432" spans="1:41" s="26" customFormat="1" hidden="1" x14ac:dyDescent="0.25">
      <c r="A432" s="22" t="s">
        <v>835</v>
      </c>
      <c r="B432" s="2" t="s">
        <v>172</v>
      </c>
      <c r="C432" s="21">
        <v>2</v>
      </c>
      <c r="D432" s="6">
        <v>1200</v>
      </c>
      <c r="E432" s="23"/>
      <c r="F432" s="28"/>
      <c r="G432" s="3" t="s">
        <v>1104</v>
      </c>
      <c r="H432" s="4"/>
      <c r="I432" s="4"/>
      <c r="J432" s="4">
        <v>30</v>
      </c>
      <c r="K432" s="5"/>
      <c r="L432" s="5" t="s">
        <v>1100</v>
      </c>
      <c r="M432" s="4" t="s">
        <v>1086</v>
      </c>
      <c r="N432" s="4"/>
      <c r="O432" s="4" t="s">
        <v>380</v>
      </c>
      <c r="P432" s="4"/>
      <c r="Q432" s="24"/>
      <c r="R432" s="25" t="s">
        <v>946</v>
      </c>
      <c r="S432" s="4"/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f t="shared" si="21"/>
        <v>0</v>
      </c>
      <c r="Z432" s="10"/>
      <c r="AA432" s="10"/>
      <c r="AB432" s="10"/>
      <c r="AC432" s="10"/>
      <c r="AD432" s="10"/>
      <c r="AE432" s="10"/>
      <c r="AF432" s="10"/>
      <c r="AG432" s="38">
        <f t="shared" si="22"/>
        <v>0</v>
      </c>
      <c r="AH432" s="51" t="str">
        <f t="shared" si="23"/>
        <v xml:space="preserve"> </v>
      </c>
      <c r="AI432" s="64"/>
      <c r="AJ432" s="1"/>
      <c r="AK432" s="65">
        <v>0</v>
      </c>
      <c r="AL432" s="1"/>
      <c r="AM432" s="1"/>
      <c r="AN432" s="81"/>
      <c r="AO432" s="81"/>
    </row>
    <row r="433" spans="1:41" s="26" customFormat="1" hidden="1" x14ac:dyDescent="0.25">
      <c r="A433" s="22" t="s">
        <v>1221</v>
      </c>
      <c r="B433" s="2" t="s">
        <v>1017</v>
      </c>
      <c r="C433" s="21">
        <v>2</v>
      </c>
      <c r="D433" s="6">
        <v>1200</v>
      </c>
      <c r="E433" s="23"/>
      <c r="F433" s="28"/>
      <c r="G433" s="3" t="s">
        <v>1222</v>
      </c>
      <c r="H433" s="4"/>
      <c r="I433" s="4"/>
      <c r="J433" s="4">
        <v>30</v>
      </c>
      <c r="K433" s="5"/>
      <c r="L433" s="5" t="s">
        <v>1100</v>
      </c>
      <c r="M433" s="4" t="s">
        <v>954</v>
      </c>
      <c r="N433" s="4"/>
      <c r="O433" s="4" t="s">
        <v>380</v>
      </c>
      <c r="P433" s="4"/>
      <c r="Q433" s="24"/>
      <c r="R433" s="25" t="s">
        <v>946</v>
      </c>
      <c r="S433" s="4"/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f t="shared" si="21"/>
        <v>0</v>
      </c>
      <c r="Z433" s="10"/>
      <c r="AA433" s="10"/>
      <c r="AB433" s="10"/>
      <c r="AC433" s="10"/>
      <c r="AD433" s="10"/>
      <c r="AE433" s="10"/>
      <c r="AF433" s="10"/>
      <c r="AG433" s="38">
        <f t="shared" si="22"/>
        <v>0</v>
      </c>
      <c r="AH433" s="51" t="str">
        <f t="shared" si="23"/>
        <v xml:space="preserve"> </v>
      </c>
      <c r="AI433" s="64"/>
      <c r="AJ433" s="1"/>
      <c r="AK433" s="65">
        <v>0</v>
      </c>
      <c r="AL433" s="1"/>
      <c r="AM433" s="1"/>
      <c r="AN433" s="81"/>
      <c r="AO433" s="81"/>
    </row>
    <row r="434" spans="1:41" s="26" customFormat="1" hidden="1" x14ac:dyDescent="0.25">
      <c r="A434" s="22" t="s">
        <v>1223</v>
      </c>
      <c r="B434" s="2" t="s">
        <v>172</v>
      </c>
      <c r="C434" s="21">
        <v>2</v>
      </c>
      <c r="D434" s="23">
        <v>1200</v>
      </c>
      <c r="E434" s="23"/>
      <c r="F434" s="28"/>
      <c r="G434" s="3" t="s">
        <v>1108</v>
      </c>
      <c r="H434" s="6"/>
      <c r="I434" s="6"/>
      <c r="J434" s="6">
        <v>30</v>
      </c>
      <c r="K434" s="21"/>
      <c r="L434" s="21" t="s">
        <v>1100</v>
      </c>
      <c r="M434" s="6" t="s">
        <v>534</v>
      </c>
      <c r="N434" s="6"/>
      <c r="O434" s="6" t="s">
        <v>380</v>
      </c>
      <c r="P434" s="6"/>
      <c r="Q434" s="27"/>
      <c r="R434" s="28" t="s">
        <v>946</v>
      </c>
      <c r="S434" s="6"/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f t="shared" si="21"/>
        <v>0</v>
      </c>
      <c r="Z434" s="10"/>
      <c r="AA434" s="10"/>
      <c r="AB434" s="10"/>
      <c r="AC434" s="10"/>
      <c r="AD434" s="10"/>
      <c r="AE434" s="10"/>
      <c r="AF434" s="10"/>
      <c r="AG434" s="38">
        <f t="shared" si="22"/>
        <v>0</v>
      </c>
      <c r="AH434" s="51" t="str">
        <f t="shared" si="23"/>
        <v xml:space="preserve"> </v>
      </c>
      <c r="AI434" s="64"/>
      <c r="AJ434" s="1"/>
      <c r="AK434" s="65">
        <v>0</v>
      </c>
      <c r="AL434" s="1"/>
      <c r="AM434" s="1"/>
      <c r="AN434" s="81"/>
      <c r="AO434" s="81"/>
    </row>
    <row r="435" spans="1:41" s="26" customFormat="1" hidden="1" x14ac:dyDescent="0.25">
      <c r="A435" s="22" t="s">
        <v>1224</v>
      </c>
      <c r="B435" s="2" t="s">
        <v>1017</v>
      </c>
      <c r="C435" s="21">
        <v>2.25</v>
      </c>
      <c r="D435" s="6">
        <v>1200</v>
      </c>
      <c r="E435" s="23"/>
      <c r="F435" s="28"/>
      <c r="G435" s="3" t="s">
        <v>1225</v>
      </c>
      <c r="H435" s="4"/>
      <c r="I435" s="6"/>
      <c r="J435" s="4">
        <v>30</v>
      </c>
      <c r="K435" s="5"/>
      <c r="L435" s="5" t="s">
        <v>1100</v>
      </c>
      <c r="M435" s="4" t="s">
        <v>260</v>
      </c>
      <c r="N435" s="4"/>
      <c r="O435" s="4" t="s">
        <v>380</v>
      </c>
      <c r="P435" s="4"/>
      <c r="Q435" s="24"/>
      <c r="R435" s="25" t="s">
        <v>946</v>
      </c>
      <c r="S435" s="6"/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f t="shared" si="21"/>
        <v>0</v>
      </c>
      <c r="Z435" s="10"/>
      <c r="AA435" s="10"/>
      <c r="AB435" s="10"/>
      <c r="AC435" s="10"/>
      <c r="AD435" s="10"/>
      <c r="AE435" s="10"/>
      <c r="AF435" s="10"/>
      <c r="AG435" s="38">
        <f t="shared" si="22"/>
        <v>0</v>
      </c>
      <c r="AH435" s="51" t="str">
        <f t="shared" si="23"/>
        <v xml:space="preserve"> </v>
      </c>
      <c r="AI435" s="64"/>
      <c r="AJ435" s="1"/>
      <c r="AK435" s="65">
        <v>0</v>
      </c>
      <c r="AL435" s="1"/>
      <c r="AM435" s="1"/>
      <c r="AN435" s="81"/>
      <c r="AO435" s="81"/>
    </row>
    <row r="436" spans="1:41" s="26" customFormat="1" hidden="1" x14ac:dyDescent="0.25">
      <c r="A436" s="22" t="s">
        <v>1226</v>
      </c>
      <c r="B436" s="2" t="s">
        <v>172</v>
      </c>
      <c r="C436" s="21">
        <v>2.25</v>
      </c>
      <c r="D436" s="6">
        <v>1200</v>
      </c>
      <c r="E436" s="23"/>
      <c r="F436" s="28"/>
      <c r="G436" s="3" t="s">
        <v>1227</v>
      </c>
      <c r="H436" s="6"/>
      <c r="I436" s="6"/>
      <c r="J436" s="6">
        <v>30</v>
      </c>
      <c r="K436" s="21"/>
      <c r="L436" s="21" t="s">
        <v>1100</v>
      </c>
      <c r="M436" s="6" t="s">
        <v>1089</v>
      </c>
      <c r="N436" s="6"/>
      <c r="O436" s="6" t="s">
        <v>380</v>
      </c>
      <c r="P436" s="6"/>
      <c r="Q436" s="27"/>
      <c r="R436" s="28" t="s">
        <v>946</v>
      </c>
      <c r="S436" s="6"/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f t="shared" si="21"/>
        <v>0</v>
      </c>
      <c r="Z436" s="10"/>
      <c r="AA436" s="10"/>
      <c r="AB436" s="10"/>
      <c r="AC436" s="10"/>
      <c r="AD436" s="10"/>
      <c r="AE436" s="10"/>
      <c r="AF436" s="10"/>
      <c r="AG436" s="38">
        <f t="shared" si="22"/>
        <v>0</v>
      </c>
      <c r="AH436" s="51" t="str">
        <f t="shared" si="23"/>
        <v xml:space="preserve"> </v>
      </c>
      <c r="AI436" s="64"/>
      <c r="AJ436" s="1"/>
      <c r="AK436" s="65">
        <v>0</v>
      </c>
      <c r="AL436" s="1"/>
      <c r="AM436" s="1"/>
      <c r="AN436" s="81"/>
      <c r="AO436" s="81"/>
    </row>
    <row r="437" spans="1:41" s="26" customFormat="1" hidden="1" x14ac:dyDescent="0.25">
      <c r="A437" s="22" t="s">
        <v>1228</v>
      </c>
      <c r="B437" s="2" t="s">
        <v>172</v>
      </c>
      <c r="C437" s="21">
        <v>2.25</v>
      </c>
      <c r="D437" s="6">
        <v>1200</v>
      </c>
      <c r="E437" s="23"/>
      <c r="F437" s="28"/>
      <c r="G437" s="3" t="s">
        <v>1162</v>
      </c>
      <c r="H437" s="6"/>
      <c r="I437" s="6"/>
      <c r="J437" s="6">
        <v>30</v>
      </c>
      <c r="K437" s="21"/>
      <c r="L437" s="21" t="s">
        <v>1100</v>
      </c>
      <c r="M437" s="6" t="s">
        <v>260</v>
      </c>
      <c r="N437" s="6"/>
      <c r="O437" s="6" t="s">
        <v>380</v>
      </c>
      <c r="P437" s="6"/>
      <c r="Q437" s="27"/>
      <c r="R437" s="28" t="s">
        <v>946</v>
      </c>
      <c r="S437" s="6"/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f t="shared" si="21"/>
        <v>0</v>
      </c>
      <c r="Z437" s="10"/>
      <c r="AA437" s="10"/>
      <c r="AB437" s="10"/>
      <c r="AC437" s="10"/>
      <c r="AD437" s="10"/>
      <c r="AE437" s="10"/>
      <c r="AF437" s="10"/>
      <c r="AG437" s="38">
        <f t="shared" si="22"/>
        <v>0</v>
      </c>
      <c r="AH437" s="51" t="str">
        <f t="shared" si="23"/>
        <v xml:space="preserve"> </v>
      </c>
      <c r="AI437" s="64"/>
      <c r="AJ437" s="1"/>
      <c r="AK437" s="65">
        <v>0</v>
      </c>
      <c r="AL437" s="1"/>
      <c r="AM437" s="1"/>
      <c r="AN437" s="81"/>
      <c r="AO437" s="81"/>
    </row>
    <row r="438" spans="1:41" s="26" customFormat="1" hidden="1" x14ac:dyDescent="0.25">
      <c r="A438" s="22" t="s">
        <v>587</v>
      </c>
      <c r="B438" s="2" t="s">
        <v>172</v>
      </c>
      <c r="C438" s="21">
        <v>2.5</v>
      </c>
      <c r="D438" s="23" t="s">
        <v>1229</v>
      </c>
      <c r="E438" s="23"/>
      <c r="F438" s="28"/>
      <c r="G438" s="3" t="s">
        <v>1230</v>
      </c>
      <c r="H438" s="6"/>
      <c r="I438" s="6"/>
      <c r="J438" s="6">
        <v>30</v>
      </c>
      <c r="K438" s="21"/>
      <c r="L438" s="21" t="s">
        <v>1100</v>
      </c>
      <c r="M438" s="6" t="s">
        <v>1163</v>
      </c>
      <c r="N438" s="6"/>
      <c r="O438" s="6" t="s">
        <v>380</v>
      </c>
      <c r="P438" s="6"/>
      <c r="Q438" s="27"/>
      <c r="R438" s="28" t="s">
        <v>946</v>
      </c>
      <c r="S438" s="6"/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f t="shared" si="21"/>
        <v>0</v>
      </c>
      <c r="Z438" s="10"/>
      <c r="AA438" s="10"/>
      <c r="AB438" s="10"/>
      <c r="AC438" s="10"/>
      <c r="AD438" s="10"/>
      <c r="AE438" s="10"/>
      <c r="AF438" s="10"/>
      <c r="AG438" s="38">
        <f t="shared" si="22"/>
        <v>0</v>
      </c>
      <c r="AH438" s="51" t="str">
        <f t="shared" si="23"/>
        <v xml:space="preserve"> </v>
      </c>
      <c r="AI438" s="64"/>
      <c r="AJ438" s="1"/>
      <c r="AK438" s="65">
        <v>0</v>
      </c>
      <c r="AL438" s="1"/>
      <c r="AM438" s="1"/>
      <c r="AN438" s="81"/>
      <c r="AO438" s="81"/>
    </row>
    <row r="439" spans="1:41" s="26" customFormat="1" hidden="1" x14ac:dyDescent="0.25">
      <c r="A439" s="22" t="s">
        <v>937</v>
      </c>
      <c r="B439" s="2" t="s">
        <v>172</v>
      </c>
      <c r="C439" s="21">
        <v>2.5</v>
      </c>
      <c r="D439" s="6">
        <v>1250</v>
      </c>
      <c r="E439" s="23"/>
      <c r="F439" s="28"/>
      <c r="G439" s="3" t="s">
        <v>1162</v>
      </c>
      <c r="H439" s="6"/>
      <c r="I439" s="6"/>
      <c r="J439" s="6">
        <v>30</v>
      </c>
      <c r="K439" s="21"/>
      <c r="L439" s="21" t="s">
        <v>1100</v>
      </c>
      <c r="M439" s="6" t="s">
        <v>1124</v>
      </c>
      <c r="N439" s="6"/>
      <c r="O439" s="6" t="s">
        <v>380</v>
      </c>
      <c r="P439" s="6"/>
      <c r="Q439" s="27"/>
      <c r="R439" s="28" t="s">
        <v>946</v>
      </c>
      <c r="S439" s="6"/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f t="shared" si="21"/>
        <v>0</v>
      </c>
      <c r="Z439" s="10"/>
      <c r="AA439" s="10"/>
      <c r="AB439" s="10"/>
      <c r="AC439" s="10"/>
      <c r="AD439" s="10"/>
      <c r="AE439" s="10"/>
      <c r="AF439" s="10"/>
      <c r="AG439" s="38">
        <f t="shared" si="22"/>
        <v>0</v>
      </c>
      <c r="AH439" s="51" t="str">
        <f t="shared" si="23"/>
        <v xml:space="preserve"> </v>
      </c>
      <c r="AI439" s="64"/>
      <c r="AJ439" s="1"/>
      <c r="AK439" s="65">
        <v>0</v>
      </c>
      <c r="AL439" s="1"/>
      <c r="AM439" s="1"/>
      <c r="AN439" s="81"/>
      <c r="AO439" s="81"/>
    </row>
    <row r="440" spans="1:41" s="26" customFormat="1" hidden="1" x14ac:dyDescent="0.25">
      <c r="A440" s="22" t="s">
        <v>1231</v>
      </c>
      <c r="B440" s="2" t="s">
        <v>172</v>
      </c>
      <c r="C440" s="21">
        <v>2.5</v>
      </c>
      <c r="D440" s="6">
        <v>1200</v>
      </c>
      <c r="E440" s="23"/>
      <c r="F440" s="28"/>
      <c r="G440" s="3" t="s">
        <v>1104</v>
      </c>
      <c r="H440" s="4"/>
      <c r="I440" s="4"/>
      <c r="J440" s="4">
        <v>30</v>
      </c>
      <c r="K440" s="5"/>
      <c r="L440" s="5" t="s">
        <v>1100</v>
      </c>
      <c r="M440" s="4" t="s">
        <v>954</v>
      </c>
      <c r="N440" s="4"/>
      <c r="O440" s="4" t="s">
        <v>380</v>
      </c>
      <c r="P440" s="4"/>
      <c r="Q440" s="24"/>
      <c r="R440" s="25" t="s">
        <v>946</v>
      </c>
      <c r="S440" s="4"/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f t="shared" si="21"/>
        <v>0</v>
      </c>
      <c r="Z440" s="10"/>
      <c r="AA440" s="10"/>
      <c r="AB440" s="10"/>
      <c r="AC440" s="10"/>
      <c r="AD440" s="10"/>
      <c r="AE440" s="10"/>
      <c r="AF440" s="10"/>
      <c r="AG440" s="38">
        <f t="shared" si="22"/>
        <v>0</v>
      </c>
      <c r="AH440" s="51" t="str">
        <f t="shared" si="23"/>
        <v xml:space="preserve"> </v>
      </c>
      <c r="AI440" s="64"/>
      <c r="AJ440" s="1"/>
      <c r="AK440" s="65">
        <v>0</v>
      </c>
      <c r="AL440" s="1"/>
      <c r="AM440" s="1"/>
      <c r="AN440" s="81"/>
      <c r="AO440" s="81"/>
    </row>
    <row r="441" spans="1:41" s="26" customFormat="1" hidden="1" x14ac:dyDescent="0.25">
      <c r="A441" s="22" t="s">
        <v>1232</v>
      </c>
      <c r="B441" s="2" t="s">
        <v>172</v>
      </c>
      <c r="C441" s="21">
        <v>2.5</v>
      </c>
      <c r="D441" s="6">
        <v>1200</v>
      </c>
      <c r="E441" s="23"/>
      <c r="F441" s="28"/>
      <c r="G441" s="3" t="s">
        <v>1118</v>
      </c>
      <c r="H441" s="4"/>
      <c r="I441" s="4"/>
      <c r="J441" s="4">
        <v>30</v>
      </c>
      <c r="K441" s="5"/>
      <c r="L441" s="5" t="s">
        <v>1100</v>
      </c>
      <c r="M441" s="4" t="s">
        <v>1155</v>
      </c>
      <c r="N441" s="4"/>
      <c r="O441" s="4" t="s">
        <v>380</v>
      </c>
      <c r="P441" s="4"/>
      <c r="Q441" s="24"/>
      <c r="R441" s="25" t="s">
        <v>946</v>
      </c>
      <c r="S441" s="4"/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f t="shared" si="21"/>
        <v>0</v>
      </c>
      <c r="Z441" s="10"/>
      <c r="AA441" s="10"/>
      <c r="AB441" s="10"/>
      <c r="AC441" s="10"/>
      <c r="AD441" s="10"/>
      <c r="AE441" s="10"/>
      <c r="AF441" s="10"/>
      <c r="AG441" s="38">
        <f t="shared" si="22"/>
        <v>0</v>
      </c>
      <c r="AH441" s="51" t="str">
        <f t="shared" si="23"/>
        <v xml:space="preserve"> </v>
      </c>
      <c r="AI441" s="64"/>
      <c r="AJ441" s="1"/>
      <c r="AK441" s="65">
        <v>0</v>
      </c>
      <c r="AL441" s="1"/>
      <c r="AM441" s="1"/>
      <c r="AN441" s="81"/>
      <c r="AO441" s="81"/>
    </row>
    <row r="442" spans="1:41" s="26" customFormat="1" hidden="1" x14ac:dyDescent="0.25">
      <c r="A442" s="22" t="s">
        <v>1233</v>
      </c>
      <c r="B442" s="2" t="s">
        <v>172</v>
      </c>
      <c r="C442" s="21">
        <v>3</v>
      </c>
      <c r="D442" s="6">
        <v>1200</v>
      </c>
      <c r="E442" s="23"/>
      <c r="F442" s="28"/>
      <c r="G442" s="3" t="s">
        <v>1234</v>
      </c>
      <c r="H442" s="6"/>
      <c r="I442" s="6"/>
      <c r="J442" s="6">
        <v>30</v>
      </c>
      <c r="K442" s="21"/>
      <c r="L442" s="21" t="s">
        <v>1100</v>
      </c>
      <c r="M442" s="6" t="s">
        <v>1089</v>
      </c>
      <c r="N442" s="6"/>
      <c r="O442" s="6" t="s">
        <v>380</v>
      </c>
      <c r="P442" s="6"/>
      <c r="Q442" s="27"/>
      <c r="R442" s="28" t="s">
        <v>946</v>
      </c>
      <c r="S442" s="6"/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f t="shared" si="21"/>
        <v>0</v>
      </c>
      <c r="Z442" s="10"/>
      <c r="AA442" s="10"/>
      <c r="AB442" s="10"/>
      <c r="AC442" s="10"/>
      <c r="AD442" s="10"/>
      <c r="AE442" s="10"/>
      <c r="AF442" s="10"/>
      <c r="AG442" s="38">
        <f t="shared" si="22"/>
        <v>0</v>
      </c>
      <c r="AH442" s="51" t="str">
        <f t="shared" si="23"/>
        <v xml:space="preserve"> </v>
      </c>
      <c r="AI442" s="64"/>
      <c r="AJ442" s="1"/>
      <c r="AK442" s="65">
        <v>0</v>
      </c>
      <c r="AL442" s="1"/>
      <c r="AM442" s="1"/>
      <c r="AN442" s="81"/>
      <c r="AO442" s="81"/>
    </row>
    <row r="443" spans="1:41" s="26" customFormat="1" hidden="1" x14ac:dyDescent="0.25">
      <c r="A443" s="22" t="s">
        <v>1235</v>
      </c>
      <c r="B443" s="2" t="s">
        <v>172</v>
      </c>
      <c r="C443" s="21">
        <v>3</v>
      </c>
      <c r="D443" s="6">
        <v>1200</v>
      </c>
      <c r="E443" s="23"/>
      <c r="F443" s="28"/>
      <c r="G443" s="3" t="s">
        <v>1169</v>
      </c>
      <c r="H443" s="6"/>
      <c r="I443" s="6"/>
      <c r="J443" s="6">
        <v>30</v>
      </c>
      <c r="K443" s="21"/>
      <c r="L443" s="21" t="s">
        <v>1100</v>
      </c>
      <c r="M443" s="6" t="s">
        <v>1054</v>
      </c>
      <c r="N443" s="6"/>
      <c r="O443" s="6" t="s">
        <v>380</v>
      </c>
      <c r="P443" s="6"/>
      <c r="Q443" s="27"/>
      <c r="R443" s="28" t="s">
        <v>946</v>
      </c>
      <c r="S443" s="6"/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f t="shared" si="21"/>
        <v>0</v>
      </c>
      <c r="Z443" s="10"/>
      <c r="AA443" s="10"/>
      <c r="AB443" s="10"/>
      <c r="AC443" s="10"/>
      <c r="AD443" s="10"/>
      <c r="AE443" s="10"/>
      <c r="AF443" s="10"/>
      <c r="AG443" s="38">
        <f t="shared" si="22"/>
        <v>0</v>
      </c>
      <c r="AH443" s="51" t="str">
        <f t="shared" si="23"/>
        <v xml:space="preserve"> </v>
      </c>
      <c r="AI443" s="64"/>
      <c r="AJ443" s="1"/>
      <c r="AK443" s="65">
        <v>0</v>
      </c>
      <c r="AL443" s="1"/>
      <c r="AM443" s="1"/>
      <c r="AN443" s="81"/>
      <c r="AO443" s="81"/>
    </row>
    <row r="444" spans="1:41" s="26" customFormat="1" hidden="1" x14ac:dyDescent="0.25">
      <c r="A444" s="22" t="s">
        <v>1236</v>
      </c>
      <c r="B444" s="2" t="s">
        <v>172</v>
      </c>
      <c r="C444" s="21">
        <v>3</v>
      </c>
      <c r="D444" s="6">
        <v>1220</v>
      </c>
      <c r="E444" s="23"/>
      <c r="F444" s="28"/>
      <c r="G444" s="3" t="s">
        <v>1237</v>
      </c>
      <c r="H444" s="6"/>
      <c r="I444" s="6"/>
      <c r="J444" s="6">
        <v>30</v>
      </c>
      <c r="K444" s="21"/>
      <c r="L444" s="21" t="s">
        <v>1100</v>
      </c>
      <c r="M444" s="6" t="s">
        <v>260</v>
      </c>
      <c r="N444" s="6"/>
      <c r="O444" s="6" t="s">
        <v>380</v>
      </c>
      <c r="P444" s="6"/>
      <c r="Q444" s="27"/>
      <c r="R444" s="28" t="s">
        <v>946</v>
      </c>
      <c r="S444" s="6"/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f t="shared" si="21"/>
        <v>0</v>
      </c>
      <c r="Z444" s="10"/>
      <c r="AA444" s="10"/>
      <c r="AB444" s="10"/>
      <c r="AC444" s="10"/>
      <c r="AD444" s="10"/>
      <c r="AE444" s="10"/>
      <c r="AF444" s="10"/>
      <c r="AG444" s="38">
        <f t="shared" si="22"/>
        <v>0</v>
      </c>
      <c r="AH444" s="51" t="str">
        <f t="shared" si="23"/>
        <v xml:space="preserve"> </v>
      </c>
      <c r="AI444" s="64"/>
      <c r="AJ444" s="1"/>
      <c r="AK444" s="65">
        <v>0</v>
      </c>
      <c r="AL444" s="1"/>
      <c r="AM444" s="1"/>
      <c r="AN444" s="81"/>
      <c r="AO444" s="81"/>
    </row>
    <row r="445" spans="1:41" s="26" customFormat="1" hidden="1" x14ac:dyDescent="0.25">
      <c r="A445" s="22" t="s">
        <v>1238</v>
      </c>
      <c r="B445" s="2" t="s">
        <v>172</v>
      </c>
      <c r="C445" s="21">
        <v>3</v>
      </c>
      <c r="D445" s="6">
        <v>1200</v>
      </c>
      <c r="E445" s="23"/>
      <c r="F445" s="28"/>
      <c r="G445" s="3" t="s">
        <v>1034</v>
      </c>
      <c r="H445" s="6"/>
      <c r="I445" s="6"/>
      <c r="J445" s="6">
        <v>30</v>
      </c>
      <c r="K445" s="21"/>
      <c r="L445" s="21" t="s">
        <v>1100</v>
      </c>
      <c r="M445" s="6" t="s">
        <v>1129</v>
      </c>
      <c r="N445" s="6"/>
      <c r="O445" s="6" t="s">
        <v>380</v>
      </c>
      <c r="P445" s="6"/>
      <c r="Q445" s="27"/>
      <c r="R445" s="28" t="s">
        <v>946</v>
      </c>
      <c r="S445" s="6"/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f t="shared" si="21"/>
        <v>0</v>
      </c>
      <c r="Z445" s="10"/>
      <c r="AA445" s="10"/>
      <c r="AB445" s="10"/>
      <c r="AC445" s="10"/>
      <c r="AD445" s="10"/>
      <c r="AE445" s="10"/>
      <c r="AF445" s="10"/>
      <c r="AG445" s="38">
        <f t="shared" si="22"/>
        <v>0</v>
      </c>
      <c r="AH445" s="51" t="str">
        <f t="shared" si="23"/>
        <v xml:space="preserve"> </v>
      </c>
      <c r="AI445" s="64"/>
      <c r="AJ445" s="1"/>
      <c r="AK445" s="65">
        <v>0</v>
      </c>
      <c r="AL445" s="1"/>
      <c r="AM445" s="1"/>
      <c r="AN445" s="81"/>
      <c r="AO445" s="81"/>
    </row>
    <row r="446" spans="1:41" s="26" customFormat="1" hidden="1" x14ac:dyDescent="0.25">
      <c r="A446" s="22" t="s">
        <v>1239</v>
      </c>
      <c r="B446" s="2" t="s">
        <v>172</v>
      </c>
      <c r="C446" s="21">
        <v>3</v>
      </c>
      <c r="D446" s="23">
        <v>1200</v>
      </c>
      <c r="E446" s="23"/>
      <c r="F446" s="28"/>
      <c r="G446" s="3" t="s">
        <v>1104</v>
      </c>
      <c r="H446" s="4"/>
      <c r="I446" s="6"/>
      <c r="J446" s="4">
        <v>30</v>
      </c>
      <c r="K446" s="5"/>
      <c r="L446" s="5" t="s">
        <v>1100</v>
      </c>
      <c r="M446" s="4" t="s">
        <v>954</v>
      </c>
      <c r="N446" s="4"/>
      <c r="O446" s="4" t="s">
        <v>380</v>
      </c>
      <c r="P446" s="4"/>
      <c r="Q446" s="24"/>
      <c r="R446" s="25" t="s">
        <v>946</v>
      </c>
      <c r="S446" s="6"/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f t="shared" si="21"/>
        <v>0</v>
      </c>
      <c r="Z446" s="10"/>
      <c r="AA446" s="10"/>
      <c r="AB446" s="10"/>
      <c r="AC446" s="10"/>
      <c r="AD446" s="10"/>
      <c r="AE446" s="10"/>
      <c r="AF446" s="10"/>
      <c r="AG446" s="38">
        <f t="shared" si="22"/>
        <v>0</v>
      </c>
      <c r="AH446" s="51" t="str">
        <f t="shared" si="23"/>
        <v xml:space="preserve"> </v>
      </c>
      <c r="AI446" s="64"/>
      <c r="AJ446" s="1"/>
      <c r="AK446" s="65">
        <v>0</v>
      </c>
      <c r="AL446" s="1"/>
      <c r="AM446" s="1"/>
      <c r="AN446" s="81"/>
      <c r="AO446" s="81"/>
    </row>
    <row r="447" spans="1:41" s="26" customFormat="1" hidden="1" x14ac:dyDescent="0.25">
      <c r="A447" s="3" t="s">
        <v>846</v>
      </c>
      <c r="B447" s="2"/>
      <c r="C447" s="21"/>
      <c r="D447" s="23"/>
      <c r="E447" s="23"/>
      <c r="F447" s="28"/>
      <c r="G447" s="3"/>
      <c r="H447" s="4"/>
      <c r="I447" s="6"/>
      <c r="J447" s="4"/>
      <c r="K447" s="5"/>
      <c r="L447" s="5" t="s">
        <v>45</v>
      </c>
      <c r="M447" s="4" t="s">
        <v>240</v>
      </c>
      <c r="N447" s="4"/>
      <c r="O447" s="4" t="s">
        <v>380</v>
      </c>
      <c r="P447" s="4"/>
      <c r="Q447" s="24"/>
      <c r="R447" s="25" t="s">
        <v>946</v>
      </c>
      <c r="S447" s="6" t="s">
        <v>177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f t="shared" si="21"/>
        <v>0</v>
      </c>
      <c r="Z447" s="10"/>
      <c r="AA447" s="10"/>
      <c r="AB447" s="10"/>
      <c r="AC447" s="10"/>
      <c r="AD447" s="10"/>
      <c r="AE447" s="10"/>
      <c r="AF447" s="10"/>
      <c r="AG447" s="38">
        <f t="shared" si="22"/>
        <v>0</v>
      </c>
      <c r="AH447" s="51" t="str">
        <f t="shared" si="23"/>
        <v xml:space="preserve"> </v>
      </c>
      <c r="AI447" s="64"/>
      <c r="AJ447" s="1"/>
      <c r="AK447" s="65">
        <v>0</v>
      </c>
      <c r="AL447" s="1"/>
      <c r="AM447" s="1"/>
      <c r="AN447" s="81"/>
      <c r="AO447" s="81"/>
    </row>
    <row r="448" spans="1:41" s="26" customFormat="1" hidden="1" x14ac:dyDescent="0.25">
      <c r="A448" s="3" t="s">
        <v>1240</v>
      </c>
      <c r="B448" s="2" t="s">
        <v>172</v>
      </c>
      <c r="C448" s="21">
        <v>3.35</v>
      </c>
      <c r="D448" s="6">
        <v>1300</v>
      </c>
      <c r="E448" s="23"/>
      <c r="F448" s="28"/>
      <c r="G448" s="3" t="s">
        <v>1162</v>
      </c>
      <c r="H448" s="6"/>
      <c r="I448" s="6"/>
      <c r="J448" s="6">
        <v>30</v>
      </c>
      <c r="K448" s="21"/>
      <c r="L448" s="21" t="s">
        <v>1100</v>
      </c>
      <c r="M448" s="6" t="s">
        <v>1124</v>
      </c>
      <c r="N448" s="6"/>
      <c r="O448" s="6" t="s">
        <v>380</v>
      </c>
      <c r="P448" s="6"/>
      <c r="Q448" s="27"/>
      <c r="R448" s="28" t="s">
        <v>946</v>
      </c>
      <c r="S448" s="6"/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f t="shared" si="21"/>
        <v>0</v>
      </c>
      <c r="Z448" s="10"/>
      <c r="AA448" s="10"/>
      <c r="AB448" s="10"/>
      <c r="AC448" s="10"/>
      <c r="AD448" s="10"/>
      <c r="AE448" s="10"/>
      <c r="AF448" s="10"/>
      <c r="AG448" s="38">
        <f t="shared" si="22"/>
        <v>0</v>
      </c>
      <c r="AH448" s="51" t="str">
        <f t="shared" si="23"/>
        <v xml:space="preserve"> </v>
      </c>
      <c r="AI448" s="64"/>
      <c r="AJ448" s="1"/>
      <c r="AK448" s="65">
        <v>0</v>
      </c>
      <c r="AL448" s="1"/>
      <c r="AM448" s="1"/>
      <c r="AN448" s="81"/>
      <c r="AO448" s="81"/>
    </row>
    <row r="449" spans="1:41" s="26" customFormat="1" hidden="1" x14ac:dyDescent="0.25">
      <c r="A449" s="3" t="s">
        <v>1241</v>
      </c>
      <c r="B449" s="2" t="s">
        <v>172</v>
      </c>
      <c r="C449" s="21">
        <v>3.35</v>
      </c>
      <c r="D449" s="6">
        <v>1200</v>
      </c>
      <c r="E449" s="23"/>
      <c r="F449" s="28"/>
      <c r="G449" s="3" t="s">
        <v>1162</v>
      </c>
      <c r="H449" s="6"/>
      <c r="I449" s="6"/>
      <c r="J449" s="6">
        <v>30</v>
      </c>
      <c r="K449" s="21"/>
      <c r="L449" s="21" t="s">
        <v>1100</v>
      </c>
      <c r="M449" s="6" t="s">
        <v>1054</v>
      </c>
      <c r="N449" s="6"/>
      <c r="O449" s="6" t="s">
        <v>380</v>
      </c>
      <c r="P449" s="6"/>
      <c r="Q449" s="27"/>
      <c r="R449" s="28" t="s">
        <v>946</v>
      </c>
      <c r="S449" s="6"/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f t="shared" si="21"/>
        <v>0</v>
      </c>
      <c r="Z449" s="10"/>
      <c r="AA449" s="10"/>
      <c r="AB449" s="10"/>
      <c r="AC449" s="10"/>
      <c r="AD449" s="10"/>
      <c r="AE449" s="10"/>
      <c r="AF449" s="10"/>
      <c r="AG449" s="38">
        <f t="shared" si="22"/>
        <v>0</v>
      </c>
      <c r="AH449" s="51" t="str">
        <f t="shared" si="23"/>
        <v xml:space="preserve"> </v>
      </c>
      <c r="AI449" s="64"/>
      <c r="AJ449" s="1"/>
      <c r="AK449" s="65">
        <v>0</v>
      </c>
      <c r="AL449" s="1"/>
      <c r="AM449" s="1"/>
      <c r="AN449" s="81"/>
      <c r="AO449" s="81"/>
    </row>
    <row r="450" spans="1:41" s="26" customFormat="1" hidden="1" x14ac:dyDescent="0.25">
      <c r="A450" s="3" t="s">
        <v>1242</v>
      </c>
      <c r="B450" s="2" t="s">
        <v>172</v>
      </c>
      <c r="C450" s="21">
        <v>3.5</v>
      </c>
      <c r="D450" s="23">
        <v>1200</v>
      </c>
      <c r="E450" s="23"/>
      <c r="F450" s="28"/>
      <c r="G450" s="3" t="s">
        <v>1108</v>
      </c>
      <c r="H450" s="4"/>
      <c r="I450" s="6"/>
      <c r="J450" s="4">
        <v>30</v>
      </c>
      <c r="K450" s="5"/>
      <c r="L450" s="5" t="s">
        <v>1100</v>
      </c>
      <c r="M450" s="4" t="s">
        <v>240</v>
      </c>
      <c r="N450" s="4"/>
      <c r="O450" s="4" t="s">
        <v>380</v>
      </c>
      <c r="P450" s="4"/>
      <c r="Q450" s="24"/>
      <c r="R450" s="25" t="s">
        <v>946</v>
      </c>
      <c r="S450" s="4"/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f t="shared" si="21"/>
        <v>0</v>
      </c>
      <c r="Z450" s="10"/>
      <c r="AA450" s="10"/>
      <c r="AB450" s="10"/>
      <c r="AC450" s="10"/>
      <c r="AD450" s="10"/>
      <c r="AE450" s="10"/>
      <c r="AF450" s="10"/>
      <c r="AG450" s="38">
        <f t="shared" si="22"/>
        <v>0</v>
      </c>
      <c r="AH450" s="51" t="str">
        <f t="shared" si="23"/>
        <v xml:space="preserve"> </v>
      </c>
      <c r="AI450" s="64"/>
      <c r="AJ450" s="1"/>
      <c r="AK450" s="65">
        <v>0</v>
      </c>
      <c r="AL450" s="1"/>
      <c r="AM450" s="1"/>
      <c r="AN450" s="81"/>
      <c r="AO450" s="81"/>
    </row>
    <row r="451" spans="1:41" s="26" customFormat="1" hidden="1" x14ac:dyDescent="0.25">
      <c r="A451" s="3" t="s">
        <v>1243</v>
      </c>
      <c r="B451" s="2" t="s">
        <v>172</v>
      </c>
      <c r="C451" s="21">
        <v>3.75</v>
      </c>
      <c r="D451" s="6">
        <v>1200</v>
      </c>
      <c r="E451" s="23"/>
      <c r="F451" s="28"/>
      <c r="G451" s="3" t="s">
        <v>1134</v>
      </c>
      <c r="H451" s="6"/>
      <c r="I451" s="6"/>
      <c r="J451" s="6">
        <v>30</v>
      </c>
      <c r="K451" s="21"/>
      <c r="L451" s="21" t="s">
        <v>1100</v>
      </c>
      <c r="M451" s="6" t="s">
        <v>1054</v>
      </c>
      <c r="N451" s="6"/>
      <c r="O451" s="6" t="s">
        <v>380</v>
      </c>
      <c r="P451" s="6"/>
      <c r="Q451" s="27"/>
      <c r="R451" s="28" t="s">
        <v>946</v>
      </c>
      <c r="S451" s="6"/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f t="shared" si="21"/>
        <v>0</v>
      </c>
      <c r="Z451" s="10"/>
      <c r="AA451" s="10"/>
      <c r="AB451" s="10"/>
      <c r="AC451" s="10"/>
      <c r="AD451" s="10"/>
      <c r="AE451" s="10"/>
      <c r="AF451" s="10"/>
      <c r="AG451" s="38">
        <f t="shared" si="22"/>
        <v>0</v>
      </c>
      <c r="AH451" s="51" t="str">
        <f t="shared" si="23"/>
        <v xml:space="preserve"> </v>
      </c>
      <c r="AI451" s="64"/>
      <c r="AJ451" s="1"/>
      <c r="AK451" s="65">
        <v>0</v>
      </c>
      <c r="AL451" s="1"/>
      <c r="AM451" s="1"/>
      <c r="AN451" s="81"/>
      <c r="AO451" s="81"/>
    </row>
    <row r="452" spans="1:41" s="26" customFormat="1" hidden="1" x14ac:dyDescent="0.25">
      <c r="A452" s="3" t="s">
        <v>1244</v>
      </c>
      <c r="B452" s="2" t="s">
        <v>172</v>
      </c>
      <c r="C452" s="21">
        <v>4</v>
      </c>
      <c r="D452" s="23">
        <v>1200</v>
      </c>
      <c r="E452" s="23"/>
      <c r="F452" s="28"/>
      <c r="G452" s="3" t="s">
        <v>1112</v>
      </c>
      <c r="H452" s="4"/>
      <c r="I452" s="6"/>
      <c r="J452" s="4">
        <v>30</v>
      </c>
      <c r="K452" s="5"/>
      <c r="L452" s="5" t="s">
        <v>1100</v>
      </c>
      <c r="M452" s="4" t="s">
        <v>260</v>
      </c>
      <c r="N452" s="4"/>
      <c r="O452" s="4" t="s">
        <v>380</v>
      </c>
      <c r="P452" s="4"/>
      <c r="Q452" s="24"/>
      <c r="R452" s="25" t="s">
        <v>946</v>
      </c>
      <c r="S452" s="6"/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f t="shared" si="21"/>
        <v>0</v>
      </c>
      <c r="Z452" s="10"/>
      <c r="AA452" s="10"/>
      <c r="AB452" s="10"/>
      <c r="AC452" s="10"/>
      <c r="AD452" s="10"/>
      <c r="AE452" s="10"/>
      <c r="AF452" s="10"/>
      <c r="AG452" s="38">
        <f t="shared" si="22"/>
        <v>0</v>
      </c>
      <c r="AH452" s="51" t="str">
        <f t="shared" si="23"/>
        <v xml:space="preserve"> </v>
      </c>
      <c r="AI452" s="64"/>
      <c r="AJ452" s="1"/>
      <c r="AK452" s="65">
        <v>0</v>
      </c>
      <c r="AL452" s="1"/>
      <c r="AM452" s="1"/>
      <c r="AN452" s="81"/>
      <c r="AO452" s="81"/>
    </row>
    <row r="453" spans="1:41" s="26" customFormat="1" hidden="1" x14ac:dyDescent="0.25">
      <c r="A453" s="3" t="s">
        <v>1245</v>
      </c>
      <c r="B453" s="2" t="s">
        <v>172</v>
      </c>
      <c r="C453" s="21">
        <v>4</v>
      </c>
      <c r="D453" s="6">
        <v>1300</v>
      </c>
      <c r="E453" s="23"/>
      <c r="F453" s="28"/>
      <c r="G453" s="3" t="s">
        <v>1034</v>
      </c>
      <c r="H453" s="4"/>
      <c r="I453" s="6"/>
      <c r="J453" s="4">
        <v>30</v>
      </c>
      <c r="K453" s="5"/>
      <c r="L453" s="5" t="s">
        <v>1100</v>
      </c>
      <c r="M453" s="4" t="s">
        <v>954</v>
      </c>
      <c r="N453" s="4"/>
      <c r="O453" s="4" t="s">
        <v>380</v>
      </c>
      <c r="P453" s="4"/>
      <c r="Q453" s="24"/>
      <c r="R453" s="25" t="s">
        <v>946</v>
      </c>
      <c r="S453" s="6"/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f t="shared" si="21"/>
        <v>0</v>
      </c>
      <c r="Z453" s="10"/>
      <c r="AA453" s="10"/>
      <c r="AB453" s="10"/>
      <c r="AC453" s="10"/>
      <c r="AD453" s="10"/>
      <c r="AE453" s="10"/>
      <c r="AF453" s="10"/>
      <c r="AG453" s="38">
        <f t="shared" si="22"/>
        <v>0</v>
      </c>
      <c r="AH453" s="51" t="str">
        <f t="shared" si="23"/>
        <v xml:space="preserve"> </v>
      </c>
      <c r="AI453" s="64"/>
      <c r="AJ453" s="1"/>
      <c r="AK453" s="65">
        <v>0</v>
      </c>
      <c r="AL453" s="1"/>
      <c r="AM453" s="1"/>
      <c r="AN453" s="81"/>
      <c r="AO453" s="81"/>
    </row>
    <row r="454" spans="1:41" s="26" customFormat="1" hidden="1" x14ac:dyDescent="0.25">
      <c r="A454" s="3" t="s">
        <v>1246</v>
      </c>
      <c r="B454" s="2" t="s">
        <v>172</v>
      </c>
      <c r="C454" s="21">
        <v>4</v>
      </c>
      <c r="D454" s="6">
        <v>1200</v>
      </c>
      <c r="E454" s="23"/>
      <c r="F454" s="28"/>
      <c r="G454" s="3" t="s">
        <v>1169</v>
      </c>
      <c r="H454" s="4"/>
      <c r="I454" s="6"/>
      <c r="J454" s="4">
        <v>30</v>
      </c>
      <c r="K454" s="5"/>
      <c r="L454" s="5" t="s">
        <v>1100</v>
      </c>
      <c r="M454" s="4" t="s">
        <v>1163</v>
      </c>
      <c r="N454" s="4"/>
      <c r="O454" s="4" t="s">
        <v>380</v>
      </c>
      <c r="P454" s="4"/>
      <c r="Q454" s="24"/>
      <c r="R454" s="25" t="s">
        <v>946</v>
      </c>
      <c r="S454" s="6"/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f t="shared" si="21"/>
        <v>0</v>
      </c>
      <c r="Z454" s="10"/>
      <c r="AA454" s="10"/>
      <c r="AB454" s="10"/>
      <c r="AC454" s="10"/>
      <c r="AD454" s="10"/>
      <c r="AE454" s="10"/>
      <c r="AF454" s="10"/>
      <c r="AG454" s="38">
        <f t="shared" si="22"/>
        <v>0</v>
      </c>
      <c r="AH454" s="51" t="str">
        <f t="shared" si="23"/>
        <v xml:space="preserve"> </v>
      </c>
      <c r="AI454" s="64"/>
      <c r="AJ454" s="1"/>
      <c r="AK454" s="65">
        <v>0</v>
      </c>
      <c r="AL454" s="1"/>
      <c r="AM454" s="1"/>
      <c r="AN454" s="81"/>
      <c r="AO454" s="81"/>
    </row>
    <row r="455" spans="1:41" s="26" customFormat="1" hidden="1" x14ac:dyDescent="0.25">
      <c r="A455" s="3" t="s">
        <v>1247</v>
      </c>
      <c r="B455" s="2" t="s">
        <v>172</v>
      </c>
      <c r="C455" s="21">
        <v>4</v>
      </c>
      <c r="D455" s="6">
        <v>1200</v>
      </c>
      <c r="E455" s="23"/>
      <c r="F455" s="28"/>
      <c r="G455" s="3" t="s">
        <v>1118</v>
      </c>
      <c r="H455" s="6"/>
      <c r="I455" s="6"/>
      <c r="J455" s="6">
        <v>30</v>
      </c>
      <c r="K455" s="21"/>
      <c r="L455" s="21" t="s">
        <v>1100</v>
      </c>
      <c r="M455" s="6" t="s">
        <v>260</v>
      </c>
      <c r="N455" s="6"/>
      <c r="O455" s="6" t="s">
        <v>380</v>
      </c>
      <c r="P455" s="6"/>
      <c r="Q455" s="27"/>
      <c r="R455" s="28" t="s">
        <v>946</v>
      </c>
      <c r="S455" s="6"/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f t="shared" si="21"/>
        <v>0</v>
      </c>
      <c r="Z455" s="10"/>
      <c r="AA455" s="10"/>
      <c r="AB455" s="10"/>
      <c r="AC455" s="10"/>
      <c r="AD455" s="10"/>
      <c r="AE455" s="10"/>
      <c r="AF455" s="10"/>
      <c r="AG455" s="38">
        <f t="shared" si="22"/>
        <v>0</v>
      </c>
      <c r="AH455" s="51" t="str">
        <f t="shared" si="23"/>
        <v xml:space="preserve"> </v>
      </c>
      <c r="AI455" s="64"/>
      <c r="AJ455" s="1"/>
      <c r="AK455" s="65">
        <v>0</v>
      </c>
      <c r="AL455" s="1"/>
      <c r="AM455" s="1"/>
      <c r="AN455" s="81"/>
      <c r="AO455" s="81"/>
    </row>
    <row r="456" spans="1:41" s="26" customFormat="1" hidden="1" x14ac:dyDescent="0.25">
      <c r="A456" s="3" t="s">
        <v>1248</v>
      </c>
      <c r="B456" s="2" t="s">
        <v>172</v>
      </c>
      <c r="C456" s="21">
        <v>4</v>
      </c>
      <c r="D456" s="6">
        <v>1200</v>
      </c>
      <c r="E456" s="23"/>
      <c r="F456" s="28"/>
      <c r="G456" s="3" t="s">
        <v>1038</v>
      </c>
      <c r="H456" s="4"/>
      <c r="I456" s="6"/>
      <c r="J456" s="4">
        <v>30</v>
      </c>
      <c r="K456" s="5"/>
      <c r="L456" s="5" t="s">
        <v>1100</v>
      </c>
      <c r="M456" s="4" t="s">
        <v>260</v>
      </c>
      <c r="N456" s="4"/>
      <c r="O456" s="4" t="s">
        <v>380</v>
      </c>
      <c r="P456" s="4"/>
      <c r="Q456" s="24"/>
      <c r="R456" s="25" t="s">
        <v>946</v>
      </c>
      <c r="S456" s="6"/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f t="shared" si="21"/>
        <v>0</v>
      </c>
      <c r="Z456" s="10"/>
      <c r="AA456" s="10"/>
      <c r="AB456" s="10"/>
      <c r="AC456" s="10"/>
      <c r="AD456" s="10"/>
      <c r="AE456" s="10"/>
      <c r="AF456" s="10"/>
      <c r="AG456" s="38">
        <f t="shared" si="22"/>
        <v>0</v>
      </c>
      <c r="AH456" s="51" t="str">
        <f t="shared" si="23"/>
        <v xml:space="preserve"> </v>
      </c>
      <c r="AI456" s="64"/>
      <c r="AJ456" s="1"/>
      <c r="AK456" s="65">
        <v>0</v>
      </c>
      <c r="AL456" s="1"/>
      <c r="AM456" s="1"/>
      <c r="AN456" s="81"/>
      <c r="AO456" s="81"/>
    </row>
    <row r="457" spans="1:41" s="26" customFormat="1" hidden="1" x14ac:dyDescent="0.25">
      <c r="A457" s="3" t="s">
        <v>1249</v>
      </c>
      <c r="B457" s="2" t="s">
        <v>172</v>
      </c>
      <c r="C457" s="21">
        <v>4</v>
      </c>
      <c r="D457" s="6">
        <v>1200</v>
      </c>
      <c r="E457" s="23"/>
      <c r="F457" s="28"/>
      <c r="G457" s="3" t="s">
        <v>1088</v>
      </c>
      <c r="H457" s="6"/>
      <c r="I457" s="6"/>
      <c r="J457" s="6">
        <v>30</v>
      </c>
      <c r="K457" s="21"/>
      <c r="L457" s="21" t="s">
        <v>1100</v>
      </c>
      <c r="M457" s="6" t="s">
        <v>534</v>
      </c>
      <c r="N457" s="6"/>
      <c r="O457" s="6" t="s">
        <v>380</v>
      </c>
      <c r="P457" s="6"/>
      <c r="Q457" s="27"/>
      <c r="R457" s="28" t="s">
        <v>946</v>
      </c>
      <c r="S457" s="6"/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f t="shared" si="21"/>
        <v>0</v>
      </c>
      <c r="Z457" s="10"/>
      <c r="AA457" s="10"/>
      <c r="AB457" s="10"/>
      <c r="AC457" s="10"/>
      <c r="AD457" s="10"/>
      <c r="AE457" s="10"/>
      <c r="AF457" s="10"/>
      <c r="AG457" s="38">
        <f t="shared" si="22"/>
        <v>0</v>
      </c>
      <c r="AH457" s="51" t="str">
        <f t="shared" si="23"/>
        <v xml:space="preserve"> </v>
      </c>
      <c r="AI457" s="64"/>
      <c r="AJ457" s="1"/>
      <c r="AK457" s="65">
        <v>0</v>
      </c>
      <c r="AL457" s="1"/>
      <c r="AM457" s="1"/>
      <c r="AN457" s="81"/>
      <c r="AO457" s="81"/>
    </row>
    <row r="458" spans="1:41" s="26" customFormat="1" hidden="1" x14ac:dyDescent="0.25">
      <c r="A458" s="3" t="s">
        <v>1250</v>
      </c>
      <c r="B458" s="2" t="s">
        <v>172</v>
      </c>
      <c r="C458" s="21">
        <v>4.25</v>
      </c>
      <c r="D458" s="6">
        <v>1200</v>
      </c>
      <c r="E458" s="23"/>
      <c r="F458" s="28"/>
      <c r="G458" s="3" t="s">
        <v>1162</v>
      </c>
      <c r="H458" s="4"/>
      <c r="I458" s="4"/>
      <c r="J458" s="4">
        <v>30</v>
      </c>
      <c r="K458" s="5"/>
      <c r="L458" s="5" t="s">
        <v>1100</v>
      </c>
      <c r="M458" s="4" t="s">
        <v>1124</v>
      </c>
      <c r="N458" s="4"/>
      <c r="O458" s="4" t="s">
        <v>380</v>
      </c>
      <c r="P458" s="4"/>
      <c r="Q458" s="24"/>
      <c r="R458" s="25" t="s">
        <v>946</v>
      </c>
      <c r="S458" s="4"/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f t="shared" si="21"/>
        <v>0</v>
      </c>
      <c r="Z458" s="10"/>
      <c r="AA458" s="10"/>
      <c r="AB458" s="10"/>
      <c r="AC458" s="10"/>
      <c r="AD458" s="10"/>
      <c r="AE458" s="10"/>
      <c r="AF458" s="10"/>
      <c r="AG458" s="38">
        <f t="shared" si="22"/>
        <v>0</v>
      </c>
      <c r="AH458" s="51" t="str">
        <f t="shared" si="23"/>
        <v xml:space="preserve"> </v>
      </c>
      <c r="AI458" s="64"/>
      <c r="AJ458" s="1"/>
      <c r="AK458" s="65">
        <v>0</v>
      </c>
      <c r="AL458" s="1"/>
      <c r="AM458" s="1"/>
      <c r="AN458" s="81"/>
      <c r="AO458" s="81"/>
    </row>
    <row r="459" spans="1:41" s="26" customFormat="1" hidden="1" x14ac:dyDescent="0.25">
      <c r="A459" s="3" t="s">
        <v>1251</v>
      </c>
      <c r="B459" s="2" t="s">
        <v>172</v>
      </c>
      <c r="C459" s="21">
        <v>4</v>
      </c>
      <c r="D459" s="6">
        <v>1200</v>
      </c>
      <c r="E459" s="23"/>
      <c r="F459" s="28"/>
      <c r="G459" s="3" t="s">
        <v>1252</v>
      </c>
      <c r="H459" s="4"/>
      <c r="I459" s="6"/>
      <c r="J459" s="4">
        <v>30</v>
      </c>
      <c r="K459" s="5"/>
      <c r="L459" s="5" t="s">
        <v>1100</v>
      </c>
      <c r="M459" s="4" t="s">
        <v>954</v>
      </c>
      <c r="N459" s="4"/>
      <c r="O459" s="4" t="s">
        <v>380</v>
      </c>
      <c r="P459" s="4"/>
      <c r="Q459" s="24"/>
      <c r="R459" s="25" t="s">
        <v>946</v>
      </c>
      <c r="S459" s="6"/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f t="shared" si="21"/>
        <v>0</v>
      </c>
      <c r="Z459" s="10"/>
      <c r="AA459" s="10"/>
      <c r="AB459" s="10"/>
      <c r="AC459" s="10"/>
      <c r="AD459" s="10"/>
      <c r="AE459" s="10"/>
      <c r="AF459" s="10"/>
      <c r="AG459" s="38">
        <f t="shared" si="22"/>
        <v>0</v>
      </c>
      <c r="AH459" s="51" t="str">
        <f t="shared" si="23"/>
        <v xml:space="preserve"> </v>
      </c>
      <c r="AI459" s="64"/>
      <c r="AJ459" s="1"/>
      <c r="AK459" s="65">
        <v>0</v>
      </c>
      <c r="AL459" s="1"/>
      <c r="AM459" s="1"/>
      <c r="AN459" s="81"/>
      <c r="AO459" s="81"/>
    </row>
    <row r="460" spans="1:41" s="26" customFormat="1" hidden="1" x14ac:dyDescent="0.25">
      <c r="A460" s="3" t="s">
        <v>1253</v>
      </c>
      <c r="B460" s="2" t="s">
        <v>172</v>
      </c>
      <c r="C460" s="21">
        <v>4.25</v>
      </c>
      <c r="D460" s="6">
        <v>1200</v>
      </c>
      <c r="E460" s="23"/>
      <c r="F460" s="28"/>
      <c r="G460" s="3" t="s">
        <v>1162</v>
      </c>
      <c r="H460" s="4"/>
      <c r="I460" s="4"/>
      <c r="J460" s="4">
        <v>30</v>
      </c>
      <c r="K460" s="5"/>
      <c r="L460" s="5" t="s">
        <v>1100</v>
      </c>
      <c r="M460" s="4" t="s">
        <v>1124</v>
      </c>
      <c r="N460" s="4"/>
      <c r="O460" s="4" t="s">
        <v>380</v>
      </c>
      <c r="P460" s="4"/>
      <c r="Q460" s="24"/>
      <c r="R460" s="25" t="s">
        <v>946</v>
      </c>
      <c r="S460" s="4"/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f t="shared" si="21"/>
        <v>0</v>
      </c>
      <c r="Z460" s="10"/>
      <c r="AA460" s="10"/>
      <c r="AB460" s="10"/>
      <c r="AC460" s="10"/>
      <c r="AD460" s="10"/>
      <c r="AE460" s="10"/>
      <c r="AF460" s="10"/>
      <c r="AG460" s="38">
        <f t="shared" si="22"/>
        <v>0</v>
      </c>
      <c r="AH460" s="51" t="str">
        <f t="shared" si="23"/>
        <v xml:space="preserve"> </v>
      </c>
      <c r="AI460" s="64"/>
      <c r="AJ460" s="1"/>
      <c r="AK460" s="65">
        <v>0</v>
      </c>
      <c r="AL460" s="1"/>
      <c r="AM460" s="1"/>
      <c r="AN460" s="81"/>
      <c r="AO460" s="81"/>
    </row>
    <row r="461" spans="1:41" s="26" customFormat="1" hidden="1" x14ac:dyDescent="0.25">
      <c r="A461" s="3" t="s">
        <v>1254</v>
      </c>
      <c r="B461" s="2" t="s">
        <v>172</v>
      </c>
      <c r="C461" s="21">
        <v>4.25</v>
      </c>
      <c r="D461" s="6">
        <v>1200</v>
      </c>
      <c r="E461" s="23"/>
      <c r="F461" s="28"/>
      <c r="G461" s="3" t="s">
        <v>1162</v>
      </c>
      <c r="H461" s="4"/>
      <c r="I461" s="4"/>
      <c r="J461" s="4">
        <v>30</v>
      </c>
      <c r="K461" s="5"/>
      <c r="L461" s="5" t="s">
        <v>1100</v>
      </c>
      <c r="M461" s="4" t="s">
        <v>1086</v>
      </c>
      <c r="N461" s="4"/>
      <c r="O461" s="4" t="s">
        <v>380</v>
      </c>
      <c r="P461" s="4"/>
      <c r="Q461" s="24"/>
      <c r="R461" s="25" t="s">
        <v>946</v>
      </c>
      <c r="S461" s="4"/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f t="shared" si="21"/>
        <v>0</v>
      </c>
      <c r="Z461" s="10"/>
      <c r="AA461" s="10"/>
      <c r="AB461" s="10"/>
      <c r="AC461" s="10"/>
      <c r="AD461" s="10"/>
      <c r="AE461" s="10"/>
      <c r="AF461" s="10"/>
      <c r="AG461" s="38">
        <f t="shared" si="22"/>
        <v>0</v>
      </c>
      <c r="AH461" s="51" t="str">
        <f t="shared" si="23"/>
        <v xml:space="preserve"> </v>
      </c>
      <c r="AI461" s="64"/>
      <c r="AJ461" s="1"/>
      <c r="AK461" s="65">
        <v>0</v>
      </c>
      <c r="AL461" s="1"/>
      <c r="AM461" s="1"/>
      <c r="AN461" s="81"/>
      <c r="AO461" s="81"/>
    </row>
    <row r="462" spans="1:41" s="26" customFormat="1" hidden="1" x14ac:dyDescent="0.25">
      <c r="A462" s="3" t="s">
        <v>1255</v>
      </c>
      <c r="B462" s="2" t="s">
        <v>172</v>
      </c>
      <c r="C462" s="21">
        <v>4.75</v>
      </c>
      <c r="D462" s="6">
        <v>1200</v>
      </c>
      <c r="E462" s="23"/>
      <c r="F462" s="28"/>
      <c r="G462" s="3" t="s">
        <v>1162</v>
      </c>
      <c r="H462" s="6"/>
      <c r="I462" s="6"/>
      <c r="J462" s="6">
        <v>30</v>
      </c>
      <c r="K462" s="21"/>
      <c r="L462" s="21" t="s">
        <v>1100</v>
      </c>
      <c r="M462" s="6" t="s">
        <v>1163</v>
      </c>
      <c r="N462" s="6"/>
      <c r="O462" s="6" t="s">
        <v>380</v>
      </c>
      <c r="P462" s="6"/>
      <c r="Q462" s="27"/>
      <c r="R462" s="28" t="s">
        <v>946</v>
      </c>
      <c r="S462" s="6"/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f t="shared" si="21"/>
        <v>0</v>
      </c>
      <c r="Z462" s="10"/>
      <c r="AA462" s="10"/>
      <c r="AB462" s="10"/>
      <c r="AC462" s="10"/>
      <c r="AD462" s="10"/>
      <c r="AE462" s="10"/>
      <c r="AF462" s="10"/>
      <c r="AG462" s="38">
        <f t="shared" si="22"/>
        <v>0</v>
      </c>
      <c r="AH462" s="51" t="str">
        <f t="shared" si="23"/>
        <v xml:space="preserve"> </v>
      </c>
      <c r="AI462" s="64"/>
      <c r="AJ462" s="1"/>
      <c r="AK462" s="65">
        <v>0</v>
      </c>
      <c r="AL462" s="1"/>
      <c r="AM462" s="1"/>
      <c r="AN462" s="81"/>
      <c r="AO462" s="81"/>
    </row>
    <row r="463" spans="1:41" s="26" customFormat="1" hidden="1" x14ac:dyDescent="0.25">
      <c r="A463" s="3" t="s">
        <v>1256</v>
      </c>
      <c r="B463" s="2" t="s">
        <v>172</v>
      </c>
      <c r="C463" s="21">
        <v>5</v>
      </c>
      <c r="D463" s="23">
        <v>1450</v>
      </c>
      <c r="E463" s="23"/>
      <c r="F463" s="28"/>
      <c r="G463" s="3" t="s">
        <v>972</v>
      </c>
      <c r="H463" s="6"/>
      <c r="I463" s="6" t="s">
        <v>942</v>
      </c>
      <c r="J463" s="6">
        <v>59</v>
      </c>
      <c r="K463" s="21"/>
      <c r="L463" s="21" t="s">
        <v>1100</v>
      </c>
      <c r="M463" s="6" t="s">
        <v>959</v>
      </c>
      <c r="N463" s="6" t="s">
        <v>973</v>
      </c>
      <c r="O463" s="6" t="s">
        <v>380</v>
      </c>
      <c r="P463" s="6"/>
      <c r="Q463" s="27"/>
      <c r="R463" s="28" t="s">
        <v>946</v>
      </c>
      <c r="S463" s="6"/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f t="shared" si="21"/>
        <v>0</v>
      </c>
      <c r="Z463" s="10"/>
      <c r="AA463" s="10"/>
      <c r="AB463" s="10"/>
      <c r="AC463" s="10"/>
      <c r="AD463" s="10"/>
      <c r="AE463" s="10"/>
      <c r="AF463" s="10"/>
      <c r="AG463" s="38">
        <f t="shared" si="22"/>
        <v>0</v>
      </c>
      <c r="AH463" s="51" t="str">
        <f t="shared" si="23"/>
        <v xml:space="preserve"> </v>
      </c>
      <c r="AI463" s="64"/>
      <c r="AJ463" s="1"/>
      <c r="AK463" s="65">
        <v>0</v>
      </c>
      <c r="AL463" s="1"/>
      <c r="AM463" s="1"/>
      <c r="AN463" s="81"/>
      <c r="AO463" s="81"/>
    </row>
    <row r="464" spans="1:41" s="26" customFormat="1" hidden="1" x14ac:dyDescent="0.25">
      <c r="A464" s="3" t="s">
        <v>1257</v>
      </c>
      <c r="B464" s="2" t="s">
        <v>172</v>
      </c>
      <c r="C464" s="21">
        <v>6</v>
      </c>
      <c r="D464" s="6">
        <v>1200</v>
      </c>
      <c r="E464" s="23"/>
      <c r="F464" s="28"/>
      <c r="G464" s="3" t="s">
        <v>1169</v>
      </c>
      <c r="H464" s="6"/>
      <c r="I464" s="6"/>
      <c r="J464" s="6">
        <v>30</v>
      </c>
      <c r="K464" s="21"/>
      <c r="L464" s="21" t="s">
        <v>1100</v>
      </c>
      <c r="M464" s="6" t="s">
        <v>1163</v>
      </c>
      <c r="N464" s="6"/>
      <c r="O464" s="6" t="s">
        <v>380</v>
      </c>
      <c r="P464" s="6"/>
      <c r="Q464" s="27"/>
      <c r="R464" s="28" t="s">
        <v>946</v>
      </c>
      <c r="S464" s="6"/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f t="shared" si="21"/>
        <v>0</v>
      </c>
      <c r="Z464" s="10"/>
      <c r="AA464" s="10"/>
      <c r="AB464" s="10"/>
      <c r="AC464" s="10"/>
      <c r="AD464" s="10"/>
      <c r="AE464" s="10"/>
      <c r="AF464" s="10"/>
      <c r="AG464" s="38">
        <f t="shared" si="22"/>
        <v>0</v>
      </c>
      <c r="AH464" s="51" t="str">
        <f t="shared" si="23"/>
        <v xml:space="preserve"> </v>
      </c>
      <c r="AI464" s="64"/>
      <c r="AJ464" s="1"/>
      <c r="AK464" s="65">
        <v>0</v>
      </c>
      <c r="AL464" s="1"/>
      <c r="AM464" s="1"/>
      <c r="AN464" s="81"/>
      <c r="AO464" s="81"/>
    </row>
    <row r="465" spans="1:41" s="26" customFormat="1" hidden="1" x14ac:dyDescent="0.25">
      <c r="A465" s="3" t="s">
        <v>1258</v>
      </c>
      <c r="B465" s="2" t="s">
        <v>172</v>
      </c>
      <c r="C465" s="21">
        <v>6</v>
      </c>
      <c r="D465" s="6">
        <v>1200</v>
      </c>
      <c r="E465" s="23"/>
      <c r="F465" s="28"/>
      <c r="G465" s="3" t="s">
        <v>1108</v>
      </c>
      <c r="H465" s="6"/>
      <c r="I465" s="6"/>
      <c r="J465" s="6">
        <v>30</v>
      </c>
      <c r="K465" s="21"/>
      <c r="L465" s="21" t="s">
        <v>1100</v>
      </c>
      <c r="M465" s="6" t="s">
        <v>1163</v>
      </c>
      <c r="N465" s="6"/>
      <c r="O465" s="6" t="s">
        <v>380</v>
      </c>
      <c r="P465" s="6"/>
      <c r="Q465" s="27"/>
      <c r="R465" s="28" t="s">
        <v>946</v>
      </c>
      <c r="S465" s="6"/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f t="shared" si="21"/>
        <v>0</v>
      </c>
      <c r="Z465" s="10"/>
      <c r="AA465" s="10"/>
      <c r="AB465" s="10"/>
      <c r="AC465" s="10"/>
      <c r="AD465" s="10"/>
      <c r="AE465" s="10"/>
      <c r="AF465" s="10"/>
      <c r="AG465" s="38">
        <f t="shared" si="22"/>
        <v>0</v>
      </c>
      <c r="AH465" s="51" t="str">
        <f t="shared" si="23"/>
        <v xml:space="preserve"> </v>
      </c>
      <c r="AI465" s="64"/>
      <c r="AJ465" s="1"/>
      <c r="AK465" s="65">
        <v>0</v>
      </c>
      <c r="AL465" s="1"/>
      <c r="AM465" s="1"/>
      <c r="AN465" s="81"/>
      <c r="AO465" s="81"/>
    </row>
    <row r="466" spans="1:41" s="26" customFormat="1" hidden="1" x14ac:dyDescent="0.25">
      <c r="A466" s="3" t="s">
        <v>1259</v>
      </c>
      <c r="B466" s="2" t="s">
        <v>172</v>
      </c>
      <c r="C466" s="21">
        <v>6</v>
      </c>
      <c r="D466" s="6">
        <v>1200</v>
      </c>
      <c r="E466" s="23"/>
      <c r="F466" s="28"/>
      <c r="G466" s="3" t="s">
        <v>1104</v>
      </c>
      <c r="H466" s="6"/>
      <c r="I466" s="6"/>
      <c r="J466" s="6">
        <v>30</v>
      </c>
      <c r="K466" s="21"/>
      <c r="L466" s="21" t="s">
        <v>1100</v>
      </c>
      <c r="M466" s="6" t="s">
        <v>260</v>
      </c>
      <c r="N466" s="6"/>
      <c r="O466" s="6" t="s">
        <v>380</v>
      </c>
      <c r="P466" s="6"/>
      <c r="Q466" s="27"/>
      <c r="R466" s="28" t="s">
        <v>946</v>
      </c>
      <c r="S466" s="6"/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f t="shared" si="21"/>
        <v>0</v>
      </c>
      <c r="Z466" s="10"/>
      <c r="AA466" s="10"/>
      <c r="AB466" s="10"/>
      <c r="AC466" s="10"/>
      <c r="AD466" s="10"/>
      <c r="AE466" s="10"/>
      <c r="AF466" s="10"/>
      <c r="AG466" s="38">
        <f t="shared" si="22"/>
        <v>0</v>
      </c>
      <c r="AH466" s="51" t="str">
        <f t="shared" si="23"/>
        <v xml:space="preserve"> </v>
      </c>
      <c r="AI466" s="64"/>
      <c r="AJ466" s="1"/>
      <c r="AK466" s="65">
        <v>0</v>
      </c>
      <c r="AL466" s="1"/>
      <c r="AM466" s="1"/>
      <c r="AN466" s="81"/>
      <c r="AO466" s="81"/>
    </row>
    <row r="467" spans="1:41" s="26" customFormat="1" hidden="1" x14ac:dyDescent="0.25">
      <c r="A467" s="3" t="s">
        <v>1260</v>
      </c>
      <c r="B467" s="2" t="s">
        <v>172</v>
      </c>
      <c r="C467" s="21">
        <v>6.3</v>
      </c>
      <c r="D467" s="6">
        <v>1200</v>
      </c>
      <c r="E467" s="23"/>
      <c r="F467" s="28"/>
      <c r="G467" s="3" t="s">
        <v>1237</v>
      </c>
      <c r="H467" s="6"/>
      <c r="I467" s="6"/>
      <c r="J467" s="6">
        <v>30</v>
      </c>
      <c r="K467" s="21"/>
      <c r="L467" s="21" t="s">
        <v>1100</v>
      </c>
      <c r="M467" s="6" t="s">
        <v>1089</v>
      </c>
      <c r="N467" s="6"/>
      <c r="O467" s="6" t="s">
        <v>380</v>
      </c>
      <c r="P467" s="6"/>
      <c r="Q467" s="27"/>
      <c r="R467" s="28" t="s">
        <v>946</v>
      </c>
      <c r="S467" s="6"/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f t="shared" si="21"/>
        <v>0</v>
      </c>
      <c r="Z467" s="10"/>
      <c r="AA467" s="10"/>
      <c r="AB467" s="10"/>
      <c r="AC467" s="10"/>
      <c r="AD467" s="10"/>
      <c r="AE467" s="10"/>
      <c r="AF467" s="10"/>
      <c r="AG467" s="38">
        <f t="shared" si="22"/>
        <v>0</v>
      </c>
      <c r="AH467" s="51" t="str">
        <f t="shared" si="23"/>
        <v xml:space="preserve"> </v>
      </c>
      <c r="AI467" s="64"/>
      <c r="AJ467" s="1"/>
      <c r="AK467" s="65">
        <v>0</v>
      </c>
      <c r="AL467" s="1"/>
      <c r="AM467" s="1"/>
      <c r="AN467" s="81"/>
      <c r="AO467" s="81"/>
    </row>
    <row r="468" spans="1:41" s="26" customFormat="1" hidden="1" x14ac:dyDescent="0.25">
      <c r="A468" s="3" t="s">
        <v>1261</v>
      </c>
      <c r="B468" s="2" t="s">
        <v>172</v>
      </c>
      <c r="C468" s="21">
        <v>6.3</v>
      </c>
      <c r="D468" s="6">
        <v>1200</v>
      </c>
      <c r="E468" s="23"/>
      <c r="F468" s="28"/>
      <c r="G468" s="3" t="s">
        <v>1262</v>
      </c>
      <c r="H468" s="6"/>
      <c r="I468" s="6"/>
      <c r="J468" s="6">
        <v>30</v>
      </c>
      <c r="K468" s="21"/>
      <c r="L468" s="21" t="s">
        <v>1100</v>
      </c>
      <c r="M468" s="6" t="s">
        <v>1124</v>
      </c>
      <c r="N468" s="6"/>
      <c r="O468" s="6" t="s">
        <v>380</v>
      </c>
      <c r="P468" s="6"/>
      <c r="Q468" s="27"/>
      <c r="R468" s="28" t="s">
        <v>946</v>
      </c>
      <c r="S468" s="6"/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f t="shared" si="21"/>
        <v>0</v>
      </c>
      <c r="Z468" s="10"/>
      <c r="AA468" s="10"/>
      <c r="AB468" s="10"/>
      <c r="AC468" s="10"/>
      <c r="AD468" s="10"/>
      <c r="AE468" s="10"/>
      <c r="AF468" s="10"/>
      <c r="AG468" s="38">
        <f t="shared" si="22"/>
        <v>0</v>
      </c>
      <c r="AH468" s="51" t="str">
        <f t="shared" si="23"/>
        <v xml:space="preserve"> </v>
      </c>
      <c r="AI468" s="64"/>
      <c r="AJ468" s="1"/>
      <c r="AK468" s="65">
        <v>0</v>
      </c>
      <c r="AL468" s="1"/>
      <c r="AM468" s="1"/>
      <c r="AN468" s="81"/>
      <c r="AO468" s="81"/>
    </row>
    <row r="469" spans="1:41" s="26" customFormat="1" hidden="1" x14ac:dyDescent="0.25">
      <c r="A469" s="3" t="s">
        <v>1263</v>
      </c>
      <c r="B469" s="2" t="s">
        <v>172</v>
      </c>
      <c r="C469" s="21">
        <v>6.3</v>
      </c>
      <c r="D469" s="6">
        <v>1200</v>
      </c>
      <c r="E469" s="23"/>
      <c r="F469" s="28"/>
      <c r="G469" s="3" t="s">
        <v>1144</v>
      </c>
      <c r="H469" s="6"/>
      <c r="I469" s="6"/>
      <c r="J469" s="6">
        <v>30</v>
      </c>
      <c r="K469" s="21"/>
      <c r="L469" s="21" t="s">
        <v>1100</v>
      </c>
      <c r="M469" s="6" t="s">
        <v>1163</v>
      </c>
      <c r="N469" s="6"/>
      <c r="O469" s="6" t="s">
        <v>380</v>
      </c>
      <c r="P469" s="6"/>
      <c r="Q469" s="27"/>
      <c r="R469" s="28" t="s">
        <v>946</v>
      </c>
      <c r="S469" s="6"/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f t="shared" si="21"/>
        <v>0</v>
      </c>
      <c r="Z469" s="10"/>
      <c r="AA469" s="10"/>
      <c r="AB469" s="10"/>
      <c r="AC469" s="10"/>
      <c r="AD469" s="10"/>
      <c r="AE469" s="10"/>
      <c r="AF469" s="10"/>
      <c r="AG469" s="38">
        <f t="shared" si="22"/>
        <v>0</v>
      </c>
      <c r="AH469" s="51" t="str">
        <f t="shared" si="23"/>
        <v xml:space="preserve"> </v>
      </c>
      <c r="AI469" s="64"/>
      <c r="AJ469" s="1"/>
      <c r="AK469" s="65">
        <v>0</v>
      </c>
      <c r="AL469" s="1"/>
      <c r="AM469" s="1"/>
      <c r="AN469" s="81"/>
      <c r="AO469" s="81"/>
    </row>
    <row r="470" spans="1:41" s="26" customFormat="1" hidden="1" x14ac:dyDescent="0.25">
      <c r="A470" s="3" t="s">
        <v>1264</v>
      </c>
      <c r="B470" s="2" t="s">
        <v>172</v>
      </c>
      <c r="C470" s="21">
        <v>6.3</v>
      </c>
      <c r="D470" s="23">
        <v>1100</v>
      </c>
      <c r="E470" s="23"/>
      <c r="F470" s="28"/>
      <c r="G470" s="3">
        <v>1008</v>
      </c>
      <c r="H470" s="6"/>
      <c r="I470" s="6"/>
      <c r="J470" s="6">
        <v>30</v>
      </c>
      <c r="K470" s="21"/>
      <c r="L470" s="21" t="s">
        <v>1100</v>
      </c>
      <c r="M470" s="6" t="s">
        <v>1163</v>
      </c>
      <c r="N470" s="6"/>
      <c r="O470" s="6" t="s">
        <v>380</v>
      </c>
      <c r="P470" s="6"/>
      <c r="Q470" s="27"/>
      <c r="R470" s="28" t="s">
        <v>946</v>
      </c>
      <c r="S470" s="6"/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f t="shared" si="21"/>
        <v>0</v>
      </c>
      <c r="Z470" s="10"/>
      <c r="AA470" s="10"/>
      <c r="AB470" s="10"/>
      <c r="AC470" s="10"/>
      <c r="AD470" s="10"/>
      <c r="AE470" s="10"/>
      <c r="AF470" s="10"/>
      <c r="AG470" s="38">
        <f t="shared" si="22"/>
        <v>0</v>
      </c>
      <c r="AH470" s="51" t="str">
        <f t="shared" si="23"/>
        <v xml:space="preserve"> </v>
      </c>
      <c r="AI470" s="64"/>
      <c r="AJ470" s="1"/>
      <c r="AK470" s="65">
        <v>0</v>
      </c>
      <c r="AL470" s="1"/>
      <c r="AM470" s="1"/>
      <c r="AN470" s="81"/>
      <c r="AO470" s="81"/>
    </row>
    <row r="471" spans="1:41" s="26" customFormat="1" hidden="1" x14ac:dyDescent="0.25">
      <c r="A471" s="3" t="s">
        <v>1265</v>
      </c>
      <c r="B471" s="2" t="s">
        <v>172</v>
      </c>
      <c r="C471" s="21">
        <v>6.75</v>
      </c>
      <c r="D471" s="23">
        <v>1100</v>
      </c>
      <c r="E471" s="23"/>
      <c r="F471" s="28"/>
      <c r="G471" s="3" t="s">
        <v>1108</v>
      </c>
      <c r="H471" s="6"/>
      <c r="I471" s="6"/>
      <c r="J471" s="6">
        <v>30</v>
      </c>
      <c r="K471" s="5"/>
      <c r="L471" s="5" t="s">
        <v>1100</v>
      </c>
      <c r="M471" s="6" t="s">
        <v>1124</v>
      </c>
      <c r="N471" s="6"/>
      <c r="O471" s="6" t="s">
        <v>380</v>
      </c>
      <c r="P471" s="6"/>
      <c r="Q471" s="27"/>
      <c r="R471" s="28" t="s">
        <v>946</v>
      </c>
      <c r="S471" s="6"/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f t="shared" ref="Y471:Y497" si="24">AVERAGE(T471:X471)</f>
        <v>0</v>
      </c>
      <c r="Z471" s="10"/>
      <c r="AA471" s="10"/>
      <c r="AB471" s="10"/>
      <c r="AC471" s="10"/>
      <c r="AD471" s="10"/>
      <c r="AE471" s="10"/>
      <c r="AF471" s="10"/>
      <c r="AG471" s="38">
        <f t="shared" ref="AG471:AG497" si="25">COUNTIF(Z471:AF471,"X")/7</f>
        <v>0</v>
      </c>
      <c r="AH471" s="51" t="str">
        <f t="shared" ref="AH471:AH497" si="26">IF(AG471=100%,Y471," ")</f>
        <v xml:space="preserve"> </v>
      </c>
      <c r="AI471" s="64"/>
      <c r="AJ471" s="1"/>
      <c r="AK471" s="65">
        <v>0</v>
      </c>
      <c r="AL471" s="1"/>
      <c r="AM471" s="1"/>
      <c r="AN471" s="81"/>
      <c r="AO471" s="81"/>
    </row>
    <row r="472" spans="1:41" s="26" customFormat="1" hidden="1" x14ac:dyDescent="0.25">
      <c r="A472" s="3" t="s">
        <v>1266</v>
      </c>
      <c r="B472" s="2" t="s">
        <v>172</v>
      </c>
      <c r="C472" s="21">
        <v>6.8</v>
      </c>
      <c r="D472" s="6">
        <v>1100</v>
      </c>
      <c r="E472" s="23"/>
      <c r="F472" s="28"/>
      <c r="G472" s="3" t="s">
        <v>1095</v>
      </c>
      <c r="H472" s="6"/>
      <c r="I472" s="6"/>
      <c r="J472" s="6">
        <v>30</v>
      </c>
      <c r="K472" s="21"/>
      <c r="L472" s="21" t="s">
        <v>1100</v>
      </c>
      <c r="M472" s="4" t="s">
        <v>954</v>
      </c>
      <c r="N472" s="6"/>
      <c r="O472" s="6" t="s">
        <v>380</v>
      </c>
      <c r="P472" s="6"/>
      <c r="Q472" s="27"/>
      <c r="R472" s="28" t="s">
        <v>946</v>
      </c>
      <c r="S472" s="6"/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f t="shared" si="24"/>
        <v>0</v>
      </c>
      <c r="Z472" s="10"/>
      <c r="AA472" s="10"/>
      <c r="AB472" s="10"/>
      <c r="AC472" s="10"/>
      <c r="AD472" s="10"/>
      <c r="AE472" s="10"/>
      <c r="AF472" s="10"/>
      <c r="AG472" s="38">
        <f t="shared" si="25"/>
        <v>0</v>
      </c>
      <c r="AH472" s="51" t="str">
        <f t="shared" si="26"/>
        <v xml:space="preserve"> </v>
      </c>
      <c r="AI472" s="64"/>
      <c r="AJ472" s="1"/>
      <c r="AK472" s="65">
        <v>0</v>
      </c>
      <c r="AL472" s="1"/>
      <c r="AM472" s="1"/>
      <c r="AN472" s="81"/>
      <c r="AO472" s="81"/>
    </row>
    <row r="473" spans="1:41" s="26" customFormat="1" hidden="1" x14ac:dyDescent="0.25">
      <c r="A473" s="3" t="s">
        <v>1267</v>
      </c>
      <c r="B473" s="2" t="s">
        <v>172</v>
      </c>
      <c r="C473" s="21">
        <v>7.75</v>
      </c>
      <c r="D473" s="23">
        <v>1350</v>
      </c>
      <c r="E473" s="23"/>
      <c r="F473" s="28"/>
      <c r="G473" s="3" t="s">
        <v>1268</v>
      </c>
      <c r="H473" s="4"/>
      <c r="I473" s="4"/>
      <c r="J473" s="4">
        <v>30</v>
      </c>
      <c r="K473" s="5"/>
      <c r="L473" s="5" t="s">
        <v>1100</v>
      </c>
      <c r="M473" s="4" t="s">
        <v>954</v>
      </c>
      <c r="N473" s="4"/>
      <c r="O473" s="4" t="s">
        <v>380</v>
      </c>
      <c r="P473" s="4"/>
      <c r="Q473" s="24"/>
      <c r="R473" s="25" t="s">
        <v>946</v>
      </c>
      <c r="S473" s="4"/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f t="shared" si="24"/>
        <v>0</v>
      </c>
      <c r="Z473" s="10"/>
      <c r="AA473" s="10"/>
      <c r="AB473" s="10"/>
      <c r="AC473" s="10"/>
      <c r="AD473" s="10"/>
      <c r="AE473" s="10"/>
      <c r="AF473" s="10"/>
      <c r="AG473" s="38">
        <f t="shared" si="25"/>
        <v>0</v>
      </c>
      <c r="AH473" s="51" t="str">
        <f t="shared" si="26"/>
        <v xml:space="preserve"> </v>
      </c>
      <c r="AI473" s="64"/>
      <c r="AJ473" s="1"/>
      <c r="AK473" s="65">
        <v>0</v>
      </c>
      <c r="AL473" s="1"/>
      <c r="AM473" s="1"/>
      <c r="AN473" s="81"/>
      <c r="AO473" s="81"/>
    </row>
    <row r="474" spans="1:41" s="26" customFormat="1" hidden="1" x14ac:dyDescent="0.25">
      <c r="A474" s="3" t="s">
        <v>1269</v>
      </c>
      <c r="B474" s="2" t="s">
        <v>172</v>
      </c>
      <c r="C474" s="21">
        <v>8</v>
      </c>
      <c r="D474" s="23" t="s">
        <v>1270</v>
      </c>
      <c r="E474" s="23"/>
      <c r="F474" s="28"/>
      <c r="G474" s="3">
        <v>1008</v>
      </c>
      <c r="H474" s="6"/>
      <c r="I474" s="6"/>
      <c r="J474" s="6">
        <v>30</v>
      </c>
      <c r="K474" s="21"/>
      <c r="L474" s="21" t="s">
        <v>1100</v>
      </c>
      <c r="M474" s="6" t="s">
        <v>1124</v>
      </c>
      <c r="N474" s="6"/>
      <c r="O474" s="6" t="s">
        <v>380</v>
      </c>
      <c r="P474" s="6"/>
      <c r="Q474" s="27"/>
      <c r="R474" s="28" t="s">
        <v>946</v>
      </c>
      <c r="S474" s="6"/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f t="shared" si="24"/>
        <v>0</v>
      </c>
      <c r="Z474" s="10"/>
      <c r="AA474" s="10"/>
      <c r="AB474" s="10"/>
      <c r="AC474" s="10"/>
      <c r="AD474" s="10"/>
      <c r="AE474" s="10"/>
      <c r="AF474" s="10"/>
      <c r="AG474" s="38">
        <f t="shared" si="25"/>
        <v>0</v>
      </c>
      <c r="AH474" s="51" t="str">
        <f t="shared" si="26"/>
        <v xml:space="preserve"> </v>
      </c>
      <c r="AI474" s="64"/>
      <c r="AJ474" s="1"/>
      <c r="AK474" s="65">
        <v>0</v>
      </c>
      <c r="AL474" s="1"/>
      <c r="AM474" s="1"/>
      <c r="AN474" s="81"/>
      <c r="AO474" s="81"/>
    </row>
    <row r="475" spans="1:41" s="26" customFormat="1" hidden="1" x14ac:dyDescent="0.25">
      <c r="A475" s="3" t="s">
        <v>1271</v>
      </c>
      <c r="B475" s="2" t="s">
        <v>172</v>
      </c>
      <c r="C475" s="21">
        <v>8</v>
      </c>
      <c r="D475" s="6">
        <v>1200</v>
      </c>
      <c r="E475" s="23"/>
      <c r="F475" s="28"/>
      <c r="G475" s="3" t="s">
        <v>863</v>
      </c>
      <c r="H475" s="6"/>
      <c r="I475" s="6"/>
      <c r="J475" s="6">
        <v>30</v>
      </c>
      <c r="K475" s="21"/>
      <c r="L475" s="21" t="s">
        <v>1100</v>
      </c>
      <c r="M475" s="6" t="s">
        <v>1054</v>
      </c>
      <c r="N475" s="6"/>
      <c r="O475" s="6" t="s">
        <v>380</v>
      </c>
      <c r="P475" s="6"/>
      <c r="Q475" s="27"/>
      <c r="R475" s="28" t="s">
        <v>946</v>
      </c>
      <c r="S475" s="6"/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f t="shared" si="24"/>
        <v>0</v>
      </c>
      <c r="Z475" s="10"/>
      <c r="AA475" s="10"/>
      <c r="AB475" s="10"/>
      <c r="AC475" s="10"/>
      <c r="AD475" s="10"/>
      <c r="AE475" s="10"/>
      <c r="AF475" s="10"/>
      <c r="AG475" s="38">
        <f t="shared" si="25"/>
        <v>0</v>
      </c>
      <c r="AH475" s="51" t="str">
        <f t="shared" si="26"/>
        <v xml:space="preserve"> </v>
      </c>
      <c r="AI475" s="64"/>
      <c r="AJ475" s="1"/>
      <c r="AK475" s="65">
        <v>0</v>
      </c>
      <c r="AL475" s="1"/>
      <c r="AM475" s="1"/>
      <c r="AN475" s="81"/>
      <c r="AO475" s="81"/>
    </row>
    <row r="476" spans="1:41" s="26" customFormat="1" hidden="1" x14ac:dyDescent="0.25">
      <c r="A476" s="3" t="s">
        <v>1272</v>
      </c>
      <c r="B476" s="2" t="s">
        <v>172</v>
      </c>
      <c r="C476" s="21">
        <v>8</v>
      </c>
      <c r="D476" s="23">
        <v>1350</v>
      </c>
      <c r="E476" s="23"/>
      <c r="F476" s="28"/>
      <c r="G476" s="3" t="s">
        <v>1273</v>
      </c>
      <c r="H476" s="4"/>
      <c r="I476" s="4"/>
      <c r="J476" s="4">
        <v>30</v>
      </c>
      <c r="K476" s="5"/>
      <c r="L476" s="5" t="s">
        <v>1100</v>
      </c>
      <c r="M476" s="4" t="s">
        <v>260</v>
      </c>
      <c r="N476" s="4"/>
      <c r="O476" s="4" t="s">
        <v>380</v>
      </c>
      <c r="P476" s="4"/>
      <c r="Q476" s="24"/>
      <c r="R476" s="25" t="s">
        <v>946</v>
      </c>
      <c r="S476" s="4"/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f t="shared" si="24"/>
        <v>0</v>
      </c>
      <c r="Z476" s="10"/>
      <c r="AA476" s="10"/>
      <c r="AB476" s="10"/>
      <c r="AC476" s="10"/>
      <c r="AD476" s="10"/>
      <c r="AE476" s="10"/>
      <c r="AF476" s="10"/>
      <c r="AG476" s="38">
        <f t="shared" si="25"/>
        <v>0</v>
      </c>
      <c r="AH476" s="51" t="str">
        <f t="shared" si="26"/>
        <v xml:space="preserve"> </v>
      </c>
      <c r="AI476" s="64"/>
      <c r="AJ476" s="1"/>
      <c r="AK476" s="65">
        <v>0</v>
      </c>
      <c r="AL476" s="1"/>
      <c r="AM476" s="1"/>
      <c r="AN476" s="81"/>
      <c r="AO476" s="81"/>
    </row>
    <row r="477" spans="1:41" s="26" customFormat="1" hidden="1" x14ac:dyDescent="0.25">
      <c r="A477" s="3" t="s">
        <v>1274</v>
      </c>
      <c r="B477" s="2" t="s">
        <v>172</v>
      </c>
      <c r="C477" s="21">
        <v>8</v>
      </c>
      <c r="D477" s="23">
        <v>1200</v>
      </c>
      <c r="E477" s="23"/>
      <c r="F477" s="28"/>
      <c r="G477" s="3" t="s">
        <v>1062</v>
      </c>
      <c r="H477" s="4"/>
      <c r="I477" s="4" t="s">
        <v>942</v>
      </c>
      <c r="J477" s="4">
        <v>59</v>
      </c>
      <c r="K477" s="5"/>
      <c r="L477" s="5" t="s">
        <v>45</v>
      </c>
      <c r="M477" s="4" t="s">
        <v>1063</v>
      </c>
      <c r="N477" s="4"/>
      <c r="O477" s="4" t="s">
        <v>380</v>
      </c>
      <c r="P477" s="4"/>
      <c r="Q477" s="24"/>
      <c r="R477" s="25" t="s">
        <v>946</v>
      </c>
      <c r="S477" s="4" t="s">
        <v>177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f t="shared" si="24"/>
        <v>0</v>
      </c>
      <c r="Z477" s="10"/>
      <c r="AA477" s="10"/>
      <c r="AB477" s="10"/>
      <c r="AC477" s="10"/>
      <c r="AD477" s="10"/>
      <c r="AE477" s="10"/>
      <c r="AF477" s="10"/>
      <c r="AG477" s="38">
        <f t="shared" si="25"/>
        <v>0</v>
      </c>
      <c r="AH477" s="51" t="str">
        <f t="shared" si="26"/>
        <v xml:space="preserve"> </v>
      </c>
      <c r="AI477" s="64"/>
      <c r="AJ477" s="1"/>
      <c r="AK477" s="65">
        <v>0</v>
      </c>
      <c r="AL477" s="1"/>
      <c r="AM477" s="1"/>
      <c r="AN477" s="81"/>
      <c r="AO477" s="81"/>
    </row>
    <row r="478" spans="1:41" s="26" customFormat="1" hidden="1" x14ac:dyDescent="0.25">
      <c r="A478" s="3" t="s">
        <v>1275</v>
      </c>
      <c r="B478" s="2" t="s">
        <v>172</v>
      </c>
      <c r="C478" s="21">
        <v>8</v>
      </c>
      <c r="D478" s="23">
        <v>1200</v>
      </c>
      <c r="E478" s="23"/>
      <c r="F478" s="28"/>
      <c r="G478" s="3" t="s">
        <v>1024</v>
      </c>
      <c r="H478" s="4"/>
      <c r="I478" s="4" t="s">
        <v>942</v>
      </c>
      <c r="J478" s="4">
        <v>59</v>
      </c>
      <c r="K478" s="5"/>
      <c r="L478" s="5" t="s">
        <v>45</v>
      </c>
      <c r="M478" s="4" t="s">
        <v>240</v>
      </c>
      <c r="N478" s="4"/>
      <c r="O478" s="4" t="s">
        <v>380</v>
      </c>
      <c r="P478" s="4"/>
      <c r="Q478" s="24"/>
      <c r="R478" s="25" t="s">
        <v>946</v>
      </c>
      <c r="S478" s="4" t="s">
        <v>177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f t="shared" si="24"/>
        <v>0</v>
      </c>
      <c r="Z478" s="10"/>
      <c r="AA478" s="10"/>
      <c r="AB478" s="10"/>
      <c r="AC478" s="10"/>
      <c r="AD478" s="10"/>
      <c r="AE478" s="10"/>
      <c r="AF478" s="10"/>
      <c r="AG478" s="38">
        <f t="shared" si="25"/>
        <v>0</v>
      </c>
      <c r="AH478" s="51" t="str">
        <f t="shared" si="26"/>
        <v xml:space="preserve"> </v>
      </c>
      <c r="AI478" s="64"/>
      <c r="AJ478" s="1"/>
      <c r="AK478" s="65">
        <v>0</v>
      </c>
      <c r="AL478" s="1"/>
      <c r="AM478" s="1"/>
      <c r="AN478" s="81"/>
      <c r="AO478" s="81"/>
    </row>
    <row r="479" spans="1:41" s="26" customFormat="1" hidden="1" x14ac:dyDescent="0.25">
      <c r="A479" s="3" t="s">
        <v>1276</v>
      </c>
      <c r="B479" s="2" t="s">
        <v>172</v>
      </c>
      <c r="C479" s="21">
        <v>8</v>
      </c>
      <c r="D479" s="23">
        <v>1200</v>
      </c>
      <c r="E479" s="23"/>
      <c r="F479" s="28"/>
      <c r="G479" s="3" t="s">
        <v>1024</v>
      </c>
      <c r="H479" s="4"/>
      <c r="I479" s="4" t="s">
        <v>942</v>
      </c>
      <c r="J479" s="4">
        <v>59</v>
      </c>
      <c r="K479" s="5"/>
      <c r="L479" s="5" t="s">
        <v>45</v>
      </c>
      <c r="M479" s="4" t="s">
        <v>240</v>
      </c>
      <c r="N479" s="4"/>
      <c r="O479" s="4" t="s">
        <v>380</v>
      </c>
      <c r="P479" s="4"/>
      <c r="Q479" s="24"/>
      <c r="R479" s="25" t="s">
        <v>946</v>
      </c>
      <c r="S479" s="4" t="s">
        <v>177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f t="shared" si="24"/>
        <v>0</v>
      </c>
      <c r="Z479" s="10"/>
      <c r="AA479" s="10"/>
      <c r="AB479" s="10"/>
      <c r="AC479" s="10"/>
      <c r="AD479" s="10"/>
      <c r="AE479" s="10"/>
      <c r="AF479" s="10"/>
      <c r="AG479" s="38">
        <f t="shared" si="25"/>
        <v>0</v>
      </c>
      <c r="AH479" s="51" t="str">
        <f t="shared" si="26"/>
        <v xml:space="preserve"> </v>
      </c>
      <c r="AI479" s="64"/>
      <c r="AJ479" s="1"/>
      <c r="AK479" s="65">
        <v>0</v>
      </c>
      <c r="AL479" s="1"/>
      <c r="AM479" s="1"/>
      <c r="AN479" s="81"/>
      <c r="AO479" s="81"/>
    </row>
    <row r="480" spans="1:41" s="26" customFormat="1" hidden="1" x14ac:dyDescent="0.25">
      <c r="A480" s="3" t="s">
        <v>1277</v>
      </c>
      <c r="B480" s="2" t="s">
        <v>172</v>
      </c>
      <c r="C480" s="21">
        <v>9.5</v>
      </c>
      <c r="D480" s="6">
        <v>1200</v>
      </c>
      <c r="E480" s="23"/>
      <c r="F480" s="28"/>
      <c r="G480" s="3" t="s">
        <v>1262</v>
      </c>
      <c r="H480" s="6"/>
      <c r="I480" s="6"/>
      <c r="J480" s="6">
        <v>30</v>
      </c>
      <c r="K480" s="21"/>
      <c r="L480" s="21" t="s">
        <v>1100</v>
      </c>
      <c r="M480" s="6" t="s">
        <v>1054</v>
      </c>
      <c r="N480" s="6"/>
      <c r="O480" s="6" t="s">
        <v>380</v>
      </c>
      <c r="P480" s="6"/>
      <c r="Q480" s="27"/>
      <c r="R480" s="28" t="s">
        <v>946</v>
      </c>
      <c r="S480" s="6"/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f t="shared" si="24"/>
        <v>0</v>
      </c>
      <c r="Z480" s="10"/>
      <c r="AA480" s="10"/>
      <c r="AB480" s="10"/>
      <c r="AC480" s="10"/>
      <c r="AD480" s="10"/>
      <c r="AE480" s="10"/>
      <c r="AF480" s="10"/>
      <c r="AG480" s="38">
        <f t="shared" si="25"/>
        <v>0</v>
      </c>
      <c r="AH480" s="51" t="str">
        <f t="shared" si="26"/>
        <v xml:space="preserve"> </v>
      </c>
      <c r="AI480" s="64"/>
      <c r="AJ480" s="1"/>
      <c r="AK480" s="65">
        <v>0</v>
      </c>
      <c r="AL480" s="1"/>
      <c r="AM480" s="1"/>
      <c r="AN480" s="81"/>
      <c r="AO480" s="81"/>
    </row>
    <row r="481" spans="1:41" s="26" customFormat="1" hidden="1" x14ac:dyDescent="0.25">
      <c r="A481" s="3" t="s">
        <v>1278</v>
      </c>
      <c r="B481" s="2" t="s">
        <v>172</v>
      </c>
      <c r="C481" s="21">
        <v>9.5</v>
      </c>
      <c r="D481" s="23">
        <v>1200</v>
      </c>
      <c r="E481" s="23"/>
      <c r="F481" s="28"/>
      <c r="G481" s="3" t="s">
        <v>1076</v>
      </c>
      <c r="H481" s="6"/>
      <c r="I481" s="6"/>
      <c r="J481" s="6">
        <v>30</v>
      </c>
      <c r="K481" s="21"/>
      <c r="L481" s="21" t="s">
        <v>1100</v>
      </c>
      <c r="M481" s="4" t="s">
        <v>954</v>
      </c>
      <c r="N481" s="6"/>
      <c r="O481" s="6" t="s">
        <v>380</v>
      </c>
      <c r="P481" s="6"/>
      <c r="Q481" s="27"/>
      <c r="R481" s="28" t="s">
        <v>946</v>
      </c>
      <c r="S481" s="6"/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f t="shared" si="24"/>
        <v>0</v>
      </c>
      <c r="Z481" s="10"/>
      <c r="AA481" s="10"/>
      <c r="AB481" s="10"/>
      <c r="AC481" s="10"/>
      <c r="AD481" s="10"/>
      <c r="AE481" s="10"/>
      <c r="AF481" s="10"/>
      <c r="AG481" s="38">
        <f t="shared" si="25"/>
        <v>0</v>
      </c>
      <c r="AH481" s="51" t="str">
        <f t="shared" si="26"/>
        <v xml:space="preserve"> </v>
      </c>
      <c r="AI481" s="64"/>
      <c r="AJ481" s="1"/>
      <c r="AK481" s="65">
        <v>0</v>
      </c>
      <c r="AL481" s="1"/>
      <c r="AM481" s="1"/>
      <c r="AN481" s="81"/>
      <c r="AO481" s="81"/>
    </row>
    <row r="482" spans="1:41" s="26" customFormat="1" hidden="1" x14ac:dyDescent="0.25">
      <c r="A482" s="3" t="s">
        <v>1279</v>
      </c>
      <c r="B482" s="2" t="s">
        <v>172</v>
      </c>
      <c r="C482" s="21">
        <v>9.5</v>
      </c>
      <c r="D482" s="6">
        <v>1200</v>
      </c>
      <c r="E482" s="23"/>
      <c r="F482" s="28"/>
      <c r="G482" s="3" t="s">
        <v>1169</v>
      </c>
      <c r="H482" s="6"/>
      <c r="I482" s="6"/>
      <c r="J482" s="6">
        <v>30</v>
      </c>
      <c r="K482" s="21"/>
      <c r="L482" s="21" t="s">
        <v>1100</v>
      </c>
      <c r="M482" s="6" t="s">
        <v>959</v>
      </c>
      <c r="N482" s="6"/>
      <c r="O482" s="6" t="s">
        <v>380</v>
      </c>
      <c r="P482" s="6"/>
      <c r="Q482" s="27"/>
      <c r="R482" s="28" t="s">
        <v>946</v>
      </c>
      <c r="S482" s="6"/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f t="shared" si="24"/>
        <v>0</v>
      </c>
      <c r="Z482" s="10"/>
      <c r="AA482" s="10"/>
      <c r="AB482" s="10"/>
      <c r="AC482" s="10"/>
      <c r="AD482" s="10"/>
      <c r="AE482" s="10"/>
      <c r="AF482" s="10"/>
      <c r="AG482" s="38">
        <f t="shared" si="25"/>
        <v>0</v>
      </c>
      <c r="AH482" s="51" t="str">
        <f t="shared" si="26"/>
        <v xml:space="preserve"> </v>
      </c>
      <c r="AI482" s="64"/>
      <c r="AJ482" s="1"/>
      <c r="AK482" s="65">
        <v>0</v>
      </c>
      <c r="AL482" s="1"/>
      <c r="AM482" s="1"/>
      <c r="AN482" s="81"/>
      <c r="AO482" s="81"/>
    </row>
    <row r="483" spans="1:41" s="26" customFormat="1" hidden="1" x14ac:dyDescent="0.25">
      <c r="A483" s="3" t="s">
        <v>1280</v>
      </c>
      <c r="B483" s="2" t="s">
        <v>172</v>
      </c>
      <c r="C483" s="21">
        <v>9.5</v>
      </c>
      <c r="D483" s="23">
        <v>1200</v>
      </c>
      <c r="E483" s="23"/>
      <c r="F483" s="28"/>
      <c r="G483" s="3" t="s">
        <v>1026</v>
      </c>
      <c r="H483" s="4"/>
      <c r="I483" s="4" t="s">
        <v>942</v>
      </c>
      <c r="J483" s="4">
        <v>59</v>
      </c>
      <c r="K483" s="5"/>
      <c r="L483" s="5" t="s">
        <v>1075</v>
      </c>
      <c r="M483" s="4" t="s">
        <v>1110</v>
      </c>
      <c r="N483" s="4"/>
      <c r="O483" s="4" t="s">
        <v>380</v>
      </c>
      <c r="P483" s="4"/>
      <c r="Q483" s="24"/>
      <c r="R483" s="25" t="s">
        <v>946</v>
      </c>
      <c r="S483" s="4" t="s">
        <v>177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f t="shared" si="24"/>
        <v>0</v>
      </c>
      <c r="Z483" s="10"/>
      <c r="AA483" s="10"/>
      <c r="AB483" s="10"/>
      <c r="AC483" s="10"/>
      <c r="AD483" s="10"/>
      <c r="AE483" s="10"/>
      <c r="AF483" s="10"/>
      <c r="AG483" s="38">
        <f t="shared" si="25"/>
        <v>0</v>
      </c>
      <c r="AH483" s="51" t="str">
        <f t="shared" si="26"/>
        <v xml:space="preserve"> </v>
      </c>
      <c r="AI483" s="64"/>
      <c r="AJ483" s="1"/>
      <c r="AK483" s="65">
        <v>0</v>
      </c>
      <c r="AL483" s="1"/>
      <c r="AM483" s="1"/>
      <c r="AN483" s="81"/>
      <c r="AO483" s="81"/>
    </row>
    <row r="484" spans="1:41" s="26" customFormat="1" hidden="1" x14ac:dyDescent="0.25">
      <c r="A484" s="3" t="s">
        <v>1281</v>
      </c>
      <c r="B484" s="2" t="s">
        <v>172</v>
      </c>
      <c r="C484" s="21">
        <v>9.5</v>
      </c>
      <c r="D484" s="23">
        <v>1200</v>
      </c>
      <c r="E484" s="23"/>
      <c r="F484" s="28"/>
      <c r="G484" s="3" t="s">
        <v>1026</v>
      </c>
      <c r="H484" s="4"/>
      <c r="I484" s="4" t="s">
        <v>942</v>
      </c>
      <c r="J484" s="4">
        <v>59</v>
      </c>
      <c r="K484" s="5"/>
      <c r="L484" s="5" t="s">
        <v>1075</v>
      </c>
      <c r="M484" s="4" t="s">
        <v>1110</v>
      </c>
      <c r="N484" s="4"/>
      <c r="O484" s="4" t="s">
        <v>380</v>
      </c>
      <c r="P484" s="4"/>
      <c r="Q484" s="24"/>
      <c r="R484" s="25" t="s">
        <v>946</v>
      </c>
      <c r="S484" s="4" t="s">
        <v>177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f t="shared" si="24"/>
        <v>0</v>
      </c>
      <c r="Z484" s="10"/>
      <c r="AA484" s="10"/>
      <c r="AB484" s="10"/>
      <c r="AC484" s="10"/>
      <c r="AD484" s="10"/>
      <c r="AE484" s="10"/>
      <c r="AF484" s="10"/>
      <c r="AG484" s="38">
        <f t="shared" si="25"/>
        <v>0</v>
      </c>
      <c r="AH484" s="51" t="str">
        <f t="shared" si="26"/>
        <v xml:space="preserve"> </v>
      </c>
      <c r="AI484" s="64"/>
      <c r="AJ484" s="1"/>
      <c r="AK484" s="65">
        <v>0</v>
      </c>
      <c r="AL484" s="1"/>
      <c r="AM484" s="1"/>
      <c r="AN484" s="81"/>
      <c r="AO484" s="81"/>
    </row>
    <row r="485" spans="1:41" s="26" customFormat="1" hidden="1" x14ac:dyDescent="0.25">
      <c r="A485" s="3" t="s">
        <v>1282</v>
      </c>
      <c r="B485" s="2" t="s">
        <v>172</v>
      </c>
      <c r="C485" s="21">
        <v>10</v>
      </c>
      <c r="D485" s="23">
        <v>1300</v>
      </c>
      <c r="E485" s="23"/>
      <c r="F485" s="28"/>
      <c r="G485" s="3" t="s">
        <v>1112</v>
      </c>
      <c r="H485" s="4"/>
      <c r="I485" s="6"/>
      <c r="J485" s="4">
        <v>30</v>
      </c>
      <c r="K485" s="5"/>
      <c r="L485" s="5" t="s">
        <v>1100</v>
      </c>
      <c r="M485" s="4" t="s">
        <v>534</v>
      </c>
      <c r="N485" s="4"/>
      <c r="O485" s="4" t="s">
        <v>380</v>
      </c>
      <c r="P485" s="4"/>
      <c r="Q485" s="24"/>
      <c r="R485" s="25" t="s">
        <v>946</v>
      </c>
      <c r="S485" s="6"/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f t="shared" si="24"/>
        <v>0</v>
      </c>
      <c r="Z485" s="10"/>
      <c r="AA485" s="10"/>
      <c r="AB485" s="10"/>
      <c r="AC485" s="10"/>
      <c r="AD485" s="10"/>
      <c r="AE485" s="10"/>
      <c r="AF485" s="10"/>
      <c r="AG485" s="38">
        <f t="shared" si="25"/>
        <v>0</v>
      </c>
      <c r="AH485" s="51" t="str">
        <f t="shared" si="26"/>
        <v xml:space="preserve"> </v>
      </c>
      <c r="AI485" s="64"/>
      <c r="AJ485" s="1"/>
      <c r="AK485" s="65">
        <v>0</v>
      </c>
      <c r="AL485" s="1"/>
      <c r="AM485" s="1"/>
      <c r="AN485" s="81"/>
      <c r="AO485" s="81"/>
    </row>
    <row r="486" spans="1:41" s="26" customFormat="1" hidden="1" x14ac:dyDescent="0.25">
      <c r="A486" s="22" t="s">
        <v>1283</v>
      </c>
      <c r="B486" s="2" t="s">
        <v>172</v>
      </c>
      <c r="C486" s="21">
        <v>12</v>
      </c>
      <c r="D486" s="23">
        <v>1200</v>
      </c>
      <c r="E486" s="23"/>
      <c r="F486" s="28"/>
      <c r="G486" s="3" t="s">
        <v>1112</v>
      </c>
      <c r="H486" s="4"/>
      <c r="I486" s="4"/>
      <c r="J486" s="4">
        <v>30</v>
      </c>
      <c r="K486" s="5"/>
      <c r="L486" s="5" t="s">
        <v>1100</v>
      </c>
      <c r="M486" s="4" t="s">
        <v>260</v>
      </c>
      <c r="N486" s="4"/>
      <c r="O486" s="4" t="s">
        <v>380</v>
      </c>
      <c r="P486" s="4"/>
      <c r="Q486" s="24"/>
      <c r="R486" s="25" t="s">
        <v>946</v>
      </c>
      <c r="S486" s="4"/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f t="shared" si="24"/>
        <v>0</v>
      </c>
      <c r="Z486" s="10"/>
      <c r="AA486" s="10"/>
      <c r="AB486" s="10"/>
      <c r="AC486" s="10"/>
      <c r="AD486" s="10"/>
      <c r="AE486" s="10"/>
      <c r="AF486" s="10"/>
      <c r="AG486" s="38">
        <f t="shared" si="25"/>
        <v>0</v>
      </c>
      <c r="AH486" s="51" t="str">
        <f t="shared" si="26"/>
        <v xml:space="preserve"> </v>
      </c>
      <c r="AI486" s="64"/>
      <c r="AJ486" s="1"/>
      <c r="AK486" s="65">
        <v>0</v>
      </c>
      <c r="AL486" s="1"/>
      <c r="AM486" s="1"/>
      <c r="AN486" s="81"/>
      <c r="AO486" s="81"/>
    </row>
    <row r="487" spans="1:41" s="26" customFormat="1" hidden="1" x14ac:dyDescent="0.25">
      <c r="A487" s="22" t="s">
        <v>1284</v>
      </c>
      <c r="B487" s="2" t="s">
        <v>172</v>
      </c>
      <c r="C487" s="21">
        <v>12</v>
      </c>
      <c r="D487" s="23">
        <v>1000</v>
      </c>
      <c r="E487" s="23"/>
      <c r="F487" s="28"/>
      <c r="G487" s="3" t="s">
        <v>1285</v>
      </c>
      <c r="H487" s="4"/>
      <c r="I487" s="4"/>
      <c r="J487" s="4">
        <v>30</v>
      </c>
      <c r="K487" s="5"/>
      <c r="L487" s="5" t="s">
        <v>1100</v>
      </c>
      <c r="M487" s="4" t="s">
        <v>954</v>
      </c>
      <c r="N487" s="4"/>
      <c r="O487" s="4" t="s">
        <v>380</v>
      </c>
      <c r="P487" s="4"/>
      <c r="Q487" s="24"/>
      <c r="R487" s="25" t="s">
        <v>946</v>
      </c>
      <c r="S487" s="4"/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f t="shared" si="24"/>
        <v>0</v>
      </c>
      <c r="Z487" s="10"/>
      <c r="AA487" s="10"/>
      <c r="AB487" s="10"/>
      <c r="AC487" s="10"/>
      <c r="AD487" s="10"/>
      <c r="AE487" s="10"/>
      <c r="AF487" s="10"/>
      <c r="AG487" s="38">
        <f t="shared" si="25"/>
        <v>0</v>
      </c>
      <c r="AH487" s="51" t="str">
        <f t="shared" si="26"/>
        <v xml:space="preserve"> </v>
      </c>
      <c r="AI487" s="64"/>
      <c r="AJ487" s="1"/>
      <c r="AK487" s="65">
        <v>0</v>
      </c>
      <c r="AL487" s="1"/>
      <c r="AM487" s="1"/>
      <c r="AN487" s="81"/>
      <c r="AO487" s="81"/>
    </row>
    <row r="488" spans="1:41" s="26" customFormat="1" hidden="1" x14ac:dyDescent="0.25">
      <c r="A488" s="22" t="s">
        <v>1286</v>
      </c>
      <c r="B488" s="2" t="s">
        <v>172</v>
      </c>
      <c r="C488" s="21">
        <v>12.25</v>
      </c>
      <c r="D488" s="23">
        <v>1250</v>
      </c>
      <c r="E488" s="23"/>
      <c r="F488" s="28"/>
      <c r="G488" s="3" t="s">
        <v>1112</v>
      </c>
      <c r="H488" s="4"/>
      <c r="I488" s="4"/>
      <c r="J488" s="4">
        <v>30</v>
      </c>
      <c r="K488" s="5"/>
      <c r="L488" s="5" t="s">
        <v>1100</v>
      </c>
      <c r="M488" s="4" t="s">
        <v>954</v>
      </c>
      <c r="N488" s="4"/>
      <c r="O488" s="4" t="s">
        <v>380</v>
      </c>
      <c r="P488" s="4"/>
      <c r="Q488" s="24"/>
      <c r="R488" s="25" t="s">
        <v>946</v>
      </c>
      <c r="S488" s="4"/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f t="shared" si="24"/>
        <v>0</v>
      </c>
      <c r="Z488" s="10"/>
      <c r="AA488" s="10"/>
      <c r="AB488" s="10"/>
      <c r="AC488" s="10"/>
      <c r="AD488" s="10"/>
      <c r="AE488" s="10"/>
      <c r="AF488" s="10"/>
      <c r="AG488" s="38">
        <f t="shared" si="25"/>
        <v>0</v>
      </c>
      <c r="AH488" s="51" t="str">
        <f t="shared" si="26"/>
        <v xml:space="preserve"> </v>
      </c>
      <c r="AI488" s="64"/>
      <c r="AJ488" s="1"/>
      <c r="AK488" s="65">
        <v>0</v>
      </c>
      <c r="AL488" s="1"/>
      <c r="AM488" s="1"/>
      <c r="AN488" s="81"/>
      <c r="AO488" s="81"/>
    </row>
    <row r="489" spans="1:41" s="26" customFormat="1" hidden="1" x14ac:dyDescent="0.25">
      <c r="A489" s="22" t="s">
        <v>1287</v>
      </c>
      <c r="B489" s="2" t="s">
        <v>1017</v>
      </c>
      <c r="C489" s="21">
        <v>1.5</v>
      </c>
      <c r="D489" s="23">
        <v>490</v>
      </c>
      <c r="E489" s="23"/>
      <c r="F489" s="28"/>
      <c r="G489" s="3" t="s">
        <v>1122</v>
      </c>
      <c r="H489" s="6"/>
      <c r="I489" s="6"/>
      <c r="J489" s="6">
        <v>63</v>
      </c>
      <c r="K489" s="21"/>
      <c r="L489" s="21" t="s">
        <v>1123</v>
      </c>
      <c r="M489" s="6" t="s">
        <v>1124</v>
      </c>
      <c r="N489" s="6"/>
      <c r="O489" s="6" t="s">
        <v>380</v>
      </c>
      <c r="P489" s="6"/>
      <c r="Q489" s="27"/>
      <c r="R489" s="28" t="s">
        <v>946</v>
      </c>
      <c r="S489" s="6"/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f t="shared" si="24"/>
        <v>0</v>
      </c>
      <c r="Z489" s="10"/>
      <c r="AA489" s="10"/>
      <c r="AB489" s="10"/>
      <c r="AC489" s="10"/>
      <c r="AD489" s="10"/>
      <c r="AE489" s="10"/>
      <c r="AF489" s="10"/>
      <c r="AG489" s="38">
        <f t="shared" si="25"/>
        <v>0</v>
      </c>
      <c r="AH489" s="51" t="str">
        <f t="shared" si="26"/>
        <v xml:space="preserve"> </v>
      </c>
      <c r="AI489" s="64"/>
      <c r="AJ489" s="1"/>
      <c r="AK489" s="65">
        <v>0</v>
      </c>
      <c r="AL489" s="1"/>
      <c r="AM489" s="1"/>
      <c r="AN489" s="81"/>
      <c r="AO489" s="81"/>
    </row>
    <row r="490" spans="1:41" s="26" customFormat="1" hidden="1" x14ac:dyDescent="0.25">
      <c r="A490" s="22" t="s">
        <v>1288</v>
      </c>
      <c r="B490" s="2" t="s">
        <v>1017</v>
      </c>
      <c r="C490" s="21">
        <v>1.5</v>
      </c>
      <c r="D490" s="23">
        <v>755</v>
      </c>
      <c r="E490" s="23"/>
      <c r="F490" s="28"/>
      <c r="G490" s="3" t="s">
        <v>1122</v>
      </c>
      <c r="H490" s="6"/>
      <c r="I490" s="6"/>
      <c r="J490" s="6">
        <v>63</v>
      </c>
      <c r="K490" s="21"/>
      <c r="L490" s="21" t="s">
        <v>1123</v>
      </c>
      <c r="M490" s="6" t="s">
        <v>1124</v>
      </c>
      <c r="N490" s="6"/>
      <c r="O490" s="6" t="s">
        <v>380</v>
      </c>
      <c r="P490" s="6"/>
      <c r="Q490" s="27"/>
      <c r="R490" s="28" t="s">
        <v>946</v>
      </c>
      <c r="S490" s="6"/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f t="shared" si="24"/>
        <v>0</v>
      </c>
      <c r="Z490" s="10"/>
      <c r="AA490" s="10"/>
      <c r="AB490" s="10"/>
      <c r="AC490" s="10"/>
      <c r="AD490" s="10"/>
      <c r="AE490" s="10"/>
      <c r="AF490" s="10"/>
      <c r="AG490" s="38">
        <f t="shared" si="25"/>
        <v>0</v>
      </c>
      <c r="AH490" s="51" t="str">
        <f t="shared" si="26"/>
        <v xml:space="preserve"> </v>
      </c>
      <c r="AI490" s="64"/>
      <c r="AJ490" s="1"/>
      <c r="AK490" s="65">
        <v>0</v>
      </c>
      <c r="AL490" s="1"/>
      <c r="AM490" s="1"/>
      <c r="AN490" s="81"/>
      <c r="AO490" s="81"/>
    </row>
    <row r="491" spans="1:41" s="26" customFormat="1" hidden="1" x14ac:dyDescent="0.25">
      <c r="A491" s="22" t="s">
        <v>1289</v>
      </c>
      <c r="B491" s="2" t="s">
        <v>172</v>
      </c>
      <c r="C491" s="21">
        <v>11</v>
      </c>
      <c r="D491" s="23">
        <v>2370</v>
      </c>
      <c r="E491" s="23"/>
      <c r="F491" s="28"/>
      <c r="G491" s="3" t="s">
        <v>952</v>
      </c>
      <c r="H491" s="6"/>
      <c r="I491" s="6" t="s">
        <v>942</v>
      </c>
      <c r="J491" s="6">
        <v>59</v>
      </c>
      <c r="K491" s="21">
        <v>32</v>
      </c>
      <c r="L491" s="21" t="s">
        <v>39</v>
      </c>
      <c r="M491" s="6" t="s">
        <v>1290</v>
      </c>
      <c r="N491" s="6" t="s">
        <v>1290</v>
      </c>
      <c r="O491" s="6" t="s">
        <v>380</v>
      </c>
      <c r="P491" s="6"/>
      <c r="Q491" s="27"/>
      <c r="R491" s="28" t="s">
        <v>946</v>
      </c>
      <c r="S491" s="6" t="s">
        <v>946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f t="shared" si="24"/>
        <v>0</v>
      </c>
      <c r="Z491" s="10"/>
      <c r="AA491" s="10"/>
      <c r="AB491" s="10"/>
      <c r="AC491" s="10"/>
      <c r="AD491" s="10"/>
      <c r="AE491" s="10"/>
      <c r="AF491" s="10"/>
      <c r="AG491" s="38">
        <f t="shared" si="25"/>
        <v>0</v>
      </c>
      <c r="AH491" s="51" t="str">
        <f t="shared" si="26"/>
        <v xml:space="preserve"> </v>
      </c>
      <c r="AI491" s="64"/>
      <c r="AJ491" s="1"/>
      <c r="AK491" s="65">
        <v>0</v>
      </c>
      <c r="AL491" s="1"/>
      <c r="AM491" s="1"/>
      <c r="AN491" s="81"/>
      <c r="AO491" s="81"/>
    </row>
    <row r="492" spans="1:41" s="26" customFormat="1" hidden="1" x14ac:dyDescent="0.25">
      <c r="A492" s="22" t="s">
        <v>657</v>
      </c>
      <c r="B492" s="2" t="s">
        <v>172</v>
      </c>
      <c r="C492" s="21">
        <v>2</v>
      </c>
      <c r="D492" s="23">
        <v>1200</v>
      </c>
      <c r="E492" s="23"/>
      <c r="F492" s="28"/>
      <c r="G492" s="3" t="s">
        <v>1291</v>
      </c>
      <c r="H492" s="6"/>
      <c r="I492" s="6"/>
      <c r="J492" s="6">
        <v>32</v>
      </c>
      <c r="K492" s="21"/>
      <c r="L492" s="21" t="s">
        <v>1100</v>
      </c>
      <c r="M492" s="6"/>
      <c r="N492" s="6"/>
      <c r="O492" s="6"/>
      <c r="P492" s="6"/>
      <c r="Q492" s="27"/>
      <c r="R492" s="28" t="s">
        <v>946</v>
      </c>
      <c r="S492" s="6"/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f t="shared" si="24"/>
        <v>0</v>
      </c>
      <c r="Z492" s="10"/>
      <c r="AA492" s="10"/>
      <c r="AB492" s="10"/>
      <c r="AC492" s="10"/>
      <c r="AD492" s="10"/>
      <c r="AE492" s="10"/>
      <c r="AF492" s="10"/>
      <c r="AG492" s="38">
        <f t="shared" si="25"/>
        <v>0</v>
      </c>
      <c r="AH492" s="51" t="str">
        <f t="shared" si="26"/>
        <v xml:space="preserve"> </v>
      </c>
      <c r="AI492" s="64"/>
      <c r="AJ492" s="1"/>
      <c r="AK492" s="65">
        <v>0</v>
      </c>
      <c r="AL492" s="1"/>
      <c r="AM492" s="1"/>
      <c r="AN492" s="81"/>
      <c r="AO492" s="81"/>
    </row>
    <row r="493" spans="1:41" s="26" customFormat="1" hidden="1" x14ac:dyDescent="0.25">
      <c r="A493" s="22" t="s">
        <v>1292</v>
      </c>
      <c r="B493" s="2"/>
      <c r="C493" s="21"/>
      <c r="D493" s="23"/>
      <c r="E493" s="23"/>
      <c r="F493" s="28"/>
      <c r="G493" s="3"/>
      <c r="H493" s="4"/>
      <c r="I493" s="4"/>
      <c r="J493" s="4"/>
      <c r="K493" s="5"/>
      <c r="L493" s="5"/>
      <c r="M493" s="4" t="s">
        <v>1293</v>
      </c>
      <c r="N493" s="4"/>
      <c r="O493" s="4"/>
      <c r="P493" s="4"/>
      <c r="Q493" s="24"/>
      <c r="R493" s="25" t="s">
        <v>946</v>
      </c>
      <c r="S493" s="4"/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f t="shared" si="24"/>
        <v>0</v>
      </c>
      <c r="Z493" s="10"/>
      <c r="AA493" s="10"/>
      <c r="AB493" s="10"/>
      <c r="AC493" s="10"/>
      <c r="AD493" s="10"/>
      <c r="AE493" s="10"/>
      <c r="AF493" s="10"/>
      <c r="AG493" s="38">
        <f t="shared" si="25"/>
        <v>0</v>
      </c>
      <c r="AH493" s="51" t="str">
        <f t="shared" si="26"/>
        <v xml:space="preserve"> </v>
      </c>
      <c r="AI493" s="64"/>
      <c r="AJ493" s="1"/>
      <c r="AK493" s="65">
        <v>0</v>
      </c>
      <c r="AL493" s="1"/>
      <c r="AM493" s="1"/>
      <c r="AN493" s="81"/>
      <c r="AO493" s="81"/>
    </row>
    <row r="494" spans="1:41" s="26" customFormat="1" hidden="1" x14ac:dyDescent="0.25">
      <c r="A494" s="22" t="s">
        <v>1294</v>
      </c>
      <c r="B494" s="2"/>
      <c r="C494" s="21"/>
      <c r="D494" s="23"/>
      <c r="E494" s="23"/>
      <c r="F494" s="28"/>
      <c r="G494" s="3"/>
      <c r="H494" s="6"/>
      <c r="I494" s="6"/>
      <c r="J494" s="6"/>
      <c r="K494" s="21"/>
      <c r="L494" s="21"/>
      <c r="M494" s="6" t="s">
        <v>1293</v>
      </c>
      <c r="N494" s="6"/>
      <c r="O494" s="6"/>
      <c r="P494" s="6"/>
      <c r="Q494" s="27"/>
      <c r="R494" s="28" t="s">
        <v>946</v>
      </c>
      <c r="S494" s="6"/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f t="shared" si="24"/>
        <v>0</v>
      </c>
      <c r="Z494" s="10"/>
      <c r="AA494" s="10"/>
      <c r="AB494" s="10"/>
      <c r="AC494" s="10"/>
      <c r="AD494" s="10"/>
      <c r="AE494" s="10"/>
      <c r="AF494" s="10"/>
      <c r="AG494" s="38">
        <f t="shared" si="25"/>
        <v>0</v>
      </c>
      <c r="AH494" s="51" t="str">
        <f t="shared" si="26"/>
        <v xml:space="preserve"> </v>
      </c>
      <c r="AI494" s="64"/>
      <c r="AJ494" s="1"/>
      <c r="AK494" s="65">
        <v>0</v>
      </c>
      <c r="AL494" s="1"/>
      <c r="AM494" s="1"/>
      <c r="AN494" s="81"/>
      <c r="AO494" s="81"/>
    </row>
    <row r="495" spans="1:41" s="26" customFormat="1" hidden="1" x14ac:dyDescent="0.25">
      <c r="A495" s="22" t="s">
        <v>1295</v>
      </c>
      <c r="B495" s="2"/>
      <c r="C495" s="21"/>
      <c r="D495" s="23"/>
      <c r="E495" s="23"/>
      <c r="F495" s="28"/>
      <c r="G495" s="3"/>
      <c r="H495" s="6"/>
      <c r="I495" s="6"/>
      <c r="J495" s="6"/>
      <c r="K495" s="21"/>
      <c r="L495" s="21"/>
      <c r="M495" s="6" t="s">
        <v>1293</v>
      </c>
      <c r="N495" s="6"/>
      <c r="O495" s="6"/>
      <c r="P495" s="6"/>
      <c r="Q495" s="27"/>
      <c r="R495" s="28" t="s">
        <v>946</v>
      </c>
      <c r="S495" s="6"/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f t="shared" si="24"/>
        <v>0</v>
      </c>
      <c r="Z495" s="10"/>
      <c r="AA495" s="10"/>
      <c r="AB495" s="10"/>
      <c r="AC495" s="10"/>
      <c r="AD495" s="10"/>
      <c r="AE495" s="10"/>
      <c r="AF495" s="10"/>
      <c r="AG495" s="38">
        <f t="shared" si="25"/>
        <v>0</v>
      </c>
      <c r="AH495" s="51" t="str">
        <f t="shared" si="26"/>
        <v xml:space="preserve"> </v>
      </c>
      <c r="AI495" s="64"/>
      <c r="AJ495" s="1"/>
      <c r="AK495" s="65">
        <v>0</v>
      </c>
      <c r="AL495" s="1"/>
      <c r="AM495" s="1"/>
      <c r="AN495" s="81"/>
      <c r="AO495" s="81"/>
    </row>
    <row r="496" spans="1:41" s="26" customFormat="1" hidden="1" x14ac:dyDescent="0.25">
      <c r="A496" s="22" t="s">
        <v>1296</v>
      </c>
      <c r="B496" s="2"/>
      <c r="C496" s="21"/>
      <c r="D496" s="23"/>
      <c r="E496" s="23"/>
      <c r="F496" s="28"/>
      <c r="G496" s="3"/>
      <c r="H496" s="6"/>
      <c r="I496" s="6"/>
      <c r="J496" s="6"/>
      <c r="K496" s="21"/>
      <c r="L496" s="21"/>
      <c r="M496" s="6" t="s">
        <v>1293</v>
      </c>
      <c r="N496" s="6"/>
      <c r="O496" s="6"/>
      <c r="P496" s="6"/>
      <c r="Q496" s="27"/>
      <c r="R496" s="28" t="s">
        <v>946</v>
      </c>
      <c r="S496" s="6"/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f t="shared" si="24"/>
        <v>0</v>
      </c>
      <c r="Z496" s="10"/>
      <c r="AA496" s="10"/>
      <c r="AB496" s="10"/>
      <c r="AC496" s="10"/>
      <c r="AD496" s="10"/>
      <c r="AE496" s="10"/>
      <c r="AF496" s="10"/>
      <c r="AG496" s="38">
        <f t="shared" si="25"/>
        <v>0</v>
      </c>
      <c r="AH496" s="51" t="str">
        <f t="shared" si="26"/>
        <v xml:space="preserve"> </v>
      </c>
      <c r="AI496" s="64"/>
      <c r="AJ496" s="1"/>
      <c r="AK496" s="65">
        <v>0</v>
      </c>
      <c r="AL496" s="1"/>
      <c r="AM496" s="1"/>
      <c r="AN496" s="81"/>
      <c r="AO496" s="81"/>
    </row>
    <row r="497" spans="1:42" s="26" customFormat="1" hidden="1" x14ac:dyDescent="0.25">
      <c r="A497" s="22" t="s">
        <v>1297</v>
      </c>
      <c r="B497" s="2"/>
      <c r="C497" s="21"/>
      <c r="D497" s="23"/>
      <c r="E497" s="23"/>
      <c r="F497" s="28"/>
      <c r="G497" s="3"/>
      <c r="H497" s="6"/>
      <c r="I497" s="6"/>
      <c r="J497" s="6"/>
      <c r="K497" s="21"/>
      <c r="L497" s="21"/>
      <c r="M497" s="6" t="s">
        <v>1293</v>
      </c>
      <c r="N497" s="6"/>
      <c r="O497" s="6"/>
      <c r="P497" s="6"/>
      <c r="Q497" s="27"/>
      <c r="R497" s="28" t="s">
        <v>946</v>
      </c>
      <c r="S497" s="6"/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f t="shared" si="24"/>
        <v>0</v>
      </c>
      <c r="Z497" s="10"/>
      <c r="AA497" s="10"/>
      <c r="AB497" s="10"/>
      <c r="AC497" s="10"/>
      <c r="AD497" s="10"/>
      <c r="AE497" s="10"/>
      <c r="AF497" s="10"/>
      <c r="AG497" s="38">
        <f t="shared" si="25"/>
        <v>0</v>
      </c>
      <c r="AH497" s="51" t="str">
        <f t="shared" si="26"/>
        <v xml:space="preserve"> </v>
      </c>
      <c r="AI497" s="64"/>
      <c r="AJ497" s="1"/>
      <c r="AK497" s="65">
        <v>0</v>
      </c>
      <c r="AL497" s="1"/>
      <c r="AM497" s="1"/>
      <c r="AN497" s="81"/>
      <c r="AO497" s="81"/>
    </row>
    <row r="498" spans="1:42" s="26" customFormat="1" ht="22.5" hidden="1" x14ac:dyDescent="0.25">
      <c r="A498" s="19" t="s">
        <v>73</v>
      </c>
      <c r="B498" s="21" t="s">
        <v>197</v>
      </c>
      <c r="C498" s="21">
        <v>1</v>
      </c>
      <c r="D498" s="23">
        <v>1350</v>
      </c>
      <c r="E498" s="23">
        <v>315</v>
      </c>
      <c r="F498" s="23" t="s">
        <v>1298</v>
      </c>
      <c r="G498" s="20" t="s">
        <v>1299</v>
      </c>
      <c r="H498" s="6"/>
      <c r="I498" s="6" t="s">
        <v>1300</v>
      </c>
      <c r="J498" s="6">
        <v>90</v>
      </c>
      <c r="K498" s="21">
        <v>10</v>
      </c>
      <c r="L498" s="21" t="s">
        <v>1301</v>
      </c>
      <c r="M498" s="6" t="s">
        <v>378</v>
      </c>
      <c r="N498" s="6" t="s">
        <v>1302</v>
      </c>
      <c r="O498" s="6" t="s">
        <v>166</v>
      </c>
      <c r="P498" s="6"/>
      <c r="Q498" s="27"/>
      <c r="R498" s="28" t="s">
        <v>272</v>
      </c>
      <c r="S498" s="6"/>
      <c r="T498" s="1">
        <v>183.5911528</v>
      </c>
      <c r="U498" s="1">
        <v>159.33151999999998</v>
      </c>
      <c r="V498" s="1">
        <v>183.935688</v>
      </c>
      <c r="W498" s="1">
        <v>149.097928</v>
      </c>
      <c r="X498" s="1">
        <v>193.669768</v>
      </c>
      <c r="Y498" s="1">
        <f t="shared" ref="Y498:Y514" si="27">AVERAGE(T498:X498)</f>
        <v>173.92521135999999</v>
      </c>
      <c r="Z498" s="10" t="s">
        <v>168</v>
      </c>
      <c r="AA498" s="10" t="s">
        <v>168</v>
      </c>
      <c r="AB498" s="10" t="s">
        <v>168</v>
      </c>
      <c r="AC498" s="10" t="s">
        <v>168</v>
      </c>
      <c r="AD498" s="10" t="s">
        <v>168</v>
      </c>
      <c r="AE498" s="10" t="s">
        <v>168</v>
      </c>
      <c r="AF498" s="10" t="s">
        <v>168</v>
      </c>
      <c r="AG498" s="38">
        <f t="shared" ref="AG498:AG514" si="28">COUNTIF(Z498:AF498,"X")/7</f>
        <v>1</v>
      </c>
      <c r="AH498" s="51">
        <f t="shared" ref="AH498:AH514" si="29">IF(AG498=100%,Y498," ")</f>
        <v>173.92521135999999</v>
      </c>
      <c r="AI498" s="64">
        <v>2</v>
      </c>
      <c r="AJ498" s="62" t="s">
        <v>1303</v>
      </c>
      <c r="AK498" s="65">
        <f>8082.15083333333</f>
        <v>8082.1508333333304</v>
      </c>
      <c r="AL498" s="1"/>
      <c r="AM498" s="1"/>
      <c r="AN498" s="81">
        <v>46235</v>
      </c>
      <c r="AO498" s="93"/>
    </row>
    <row r="499" spans="1:42" s="26" customFormat="1" hidden="1" x14ac:dyDescent="0.25">
      <c r="A499" s="19" t="s">
        <v>41</v>
      </c>
      <c r="B499" s="21" t="s">
        <v>160</v>
      </c>
      <c r="C499" s="21">
        <v>1.8</v>
      </c>
      <c r="D499" s="23">
        <v>366</v>
      </c>
      <c r="E499" s="23">
        <v>840</v>
      </c>
      <c r="F499" s="23" t="s">
        <v>1304</v>
      </c>
      <c r="G499" s="20" t="s">
        <v>1305</v>
      </c>
      <c r="H499" s="6"/>
      <c r="I499" s="6" t="s">
        <v>1306</v>
      </c>
      <c r="J499" s="6">
        <v>59</v>
      </c>
      <c r="K499" s="21">
        <v>4</v>
      </c>
      <c r="L499" s="21" t="s">
        <v>1301</v>
      </c>
      <c r="M499" s="6" t="s">
        <v>378</v>
      </c>
      <c r="N499" s="6" t="s">
        <v>266</v>
      </c>
      <c r="O499" s="6" t="s">
        <v>166</v>
      </c>
      <c r="P499" s="6"/>
      <c r="Q499" s="27"/>
      <c r="R499" s="28" t="s">
        <v>272</v>
      </c>
      <c r="S499" s="6"/>
      <c r="T499" s="1">
        <v>86.416399999999996</v>
      </c>
      <c r="U499" s="1">
        <v>86.416399999999996</v>
      </c>
      <c r="V499" s="1">
        <v>88.18</v>
      </c>
      <c r="W499" s="1">
        <v>77.598399999999998</v>
      </c>
      <c r="X499" s="1">
        <v>98.761599999999987</v>
      </c>
      <c r="Y499" s="1">
        <f t="shared" si="27"/>
        <v>87.474559999999983</v>
      </c>
      <c r="Z499" s="10" t="s">
        <v>168</v>
      </c>
      <c r="AA499" s="10" t="s">
        <v>168</v>
      </c>
      <c r="AB499" s="10" t="s">
        <v>168</v>
      </c>
      <c r="AC499" s="10" t="s">
        <v>168</v>
      </c>
      <c r="AD499" s="10" t="s">
        <v>168</v>
      </c>
      <c r="AE499" s="10" t="s">
        <v>168</v>
      </c>
      <c r="AF499" s="10" t="s">
        <v>168</v>
      </c>
      <c r="AG499" s="38">
        <f t="shared" si="28"/>
        <v>1</v>
      </c>
      <c r="AH499" s="51">
        <f t="shared" si="29"/>
        <v>87.474559999999983</v>
      </c>
      <c r="AI499" s="64">
        <v>1</v>
      </c>
      <c r="AJ499" s="62" t="s">
        <v>1307</v>
      </c>
      <c r="AK499" s="65">
        <f>14011.7408333333</f>
        <v>14011.740833333301</v>
      </c>
      <c r="AL499" s="1"/>
      <c r="AM499" s="1"/>
      <c r="AN499" s="81">
        <v>46174</v>
      </c>
      <c r="AO499" s="81" t="s">
        <v>180</v>
      </c>
      <c r="AP499" s="95"/>
    </row>
    <row r="500" spans="1:42" s="26" customFormat="1" hidden="1" x14ac:dyDescent="0.25">
      <c r="A500" s="19" t="s">
        <v>1308</v>
      </c>
      <c r="B500" s="21" t="s">
        <v>160</v>
      </c>
      <c r="C500" s="21">
        <v>0.7</v>
      </c>
      <c r="D500" s="23">
        <v>1600</v>
      </c>
      <c r="E500" s="23">
        <v>675</v>
      </c>
      <c r="F500" s="23" t="s">
        <v>1309</v>
      </c>
      <c r="G500" s="20" t="s">
        <v>1310</v>
      </c>
      <c r="H500" s="6"/>
      <c r="I500" s="6" t="s">
        <v>1311</v>
      </c>
      <c r="J500" s="6">
        <v>60</v>
      </c>
      <c r="K500" s="21"/>
      <c r="L500" s="21" t="s">
        <v>1312</v>
      </c>
      <c r="M500" s="6" t="s">
        <v>378</v>
      </c>
      <c r="N500" s="6">
        <v>246</v>
      </c>
      <c r="O500" s="6" t="s">
        <v>166</v>
      </c>
      <c r="P500" s="6"/>
      <c r="Q500" s="27"/>
      <c r="R500" s="28" t="s">
        <v>272</v>
      </c>
      <c r="S500" s="6"/>
      <c r="T500" s="1">
        <v>67.905599999999993</v>
      </c>
      <c r="U500" s="1">
        <v>54.6616</v>
      </c>
      <c r="V500" s="1">
        <v>71.638000000000005</v>
      </c>
      <c r="W500" s="1">
        <v>54.6616</v>
      </c>
      <c r="X500" s="1">
        <v>56.467599999999997</v>
      </c>
      <c r="Y500" s="1">
        <f t="shared" si="27"/>
        <v>61.066879999999991</v>
      </c>
      <c r="Z500" s="10" t="s">
        <v>168</v>
      </c>
      <c r="AA500" s="10" t="s">
        <v>168</v>
      </c>
      <c r="AB500" s="10" t="s">
        <v>168</v>
      </c>
      <c r="AC500" s="10" t="s">
        <v>168</v>
      </c>
      <c r="AD500" s="10" t="s">
        <v>168</v>
      </c>
      <c r="AE500" s="10" t="s">
        <v>168</v>
      </c>
      <c r="AF500" s="10" t="s">
        <v>168</v>
      </c>
      <c r="AG500" s="38">
        <f t="shared" si="28"/>
        <v>1</v>
      </c>
      <c r="AH500" s="51">
        <f t="shared" si="29"/>
        <v>61.066879999999991</v>
      </c>
      <c r="AI500" s="64">
        <v>1</v>
      </c>
      <c r="AJ500" s="62" t="s">
        <v>1313</v>
      </c>
      <c r="AK500" s="65">
        <f>17038.2366666667</f>
        <v>17038.2366666667</v>
      </c>
      <c r="AL500" s="1"/>
      <c r="AM500" s="1"/>
      <c r="AN500" s="81">
        <v>46174</v>
      </c>
      <c r="AO500" s="81" t="s">
        <v>180</v>
      </c>
    </row>
    <row r="501" spans="1:42" s="26" customFormat="1" hidden="1" x14ac:dyDescent="0.25">
      <c r="A501" s="19" t="s">
        <v>50</v>
      </c>
      <c r="B501" s="21" t="s">
        <v>160</v>
      </c>
      <c r="C501" s="21">
        <v>1.8</v>
      </c>
      <c r="D501" s="23">
        <v>325</v>
      </c>
      <c r="E501" s="23">
        <v>630</v>
      </c>
      <c r="F501" s="23" t="s">
        <v>1314</v>
      </c>
      <c r="G501" s="20" t="s">
        <v>1305</v>
      </c>
      <c r="H501" s="6"/>
      <c r="I501" s="6" t="s">
        <v>1306</v>
      </c>
      <c r="J501" s="6">
        <v>59</v>
      </c>
      <c r="K501" s="21">
        <v>3</v>
      </c>
      <c r="L501" s="21" t="s">
        <v>1301</v>
      </c>
      <c r="M501" s="6" t="s">
        <v>378</v>
      </c>
      <c r="N501" s="6" t="s">
        <v>266</v>
      </c>
      <c r="O501" s="6" t="s">
        <v>166</v>
      </c>
      <c r="P501" s="6"/>
      <c r="Q501" s="27"/>
      <c r="R501" s="28" t="s">
        <v>272</v>
      </c>
      <c r="S501" s="6"/>
      <c r="T501" s="1">
        <v>59.033149999999992</v>
      </c>
      <c r="U501" s="1">
        <v>58.113999999999997</v>
      </c>
      <c r="V501" s="1">
        <v>62.265000000000001</v>
      </c>
      <c r="W501" s="1">
        <v>49.811999999999998</v>
      </c>
      <c r="X501" s="1">
        <v>68.491500000000002</v>
      </c>
      <c r="Y501" s="1">
        <f t="shared" si="27"/>
        <v>59.543129999999998</v>
      </c>
      <c r="Z501" s="10" t="s">
        <v>168</v>
      </c>
      <c r="AA501" s="10" t="s">
        <v>168</v>
      </c>
      <c r="AB501" s="10" t="s">
        <v>168</v>
      </c>
      <c r="AC501" s="10" t="s">
        <v>168</v>
      </c>
      <c r="AD501" s="10" t="s">
        <v>168</v>
      </c>
      <c r="AE501" s="10" t="s">
        <v>168</v>
      </c>
      <c r="AF501" s="10" t="s">
        <v>168</v>
      </c>
      <c r="AG501" s="38">
        <f t="shared" si="28"/>
        <v>1</v>
      </c>
      <c r="AH501" s="51">
        <f t="shared" si="29"/>
        <v>59.543129999999998</v>
      </c>
      <c r="AI501" s="64">
        <v>1</v>
      </c>
      <c r="AJ501" s="62" t="s">
        <v>1315</v>
      </c>
      <c r="AK501" s="65">
        <f>9475.1525</f>
        <v>9475.1525000000001</v>
      </c>
      <c r="AL501" s="1"/>
      <c r="AM501" s="1"/>
      <c r="AN501" s="81">
        <v>46174</v>
      </c>
      <c r="AO501" s="81" t="s">
        <v>180</v>
      </c>
    </row>
    <row r="502" spans="1:42" s="26" customFormat="1" ht="22.5" hidden="1" x14ac:dyDescent="0.25">
      <c r="A502" s="19" t="s">
        <v>74</v>
      </c>
      <c r="B502" s="21" t="s">
        <v>160</v>
      </c>
      <c r="C502" s="21">
        <v>1.5</v>
      </c>
      <c r="D502" s="23">
        <v>725</v>
      </c>
      <c r="E502" s="23">
        <v>630</v>
      </c>
      <c r="F502" s="23" t="s">
        <v>1304</v>
      </c>
      <c r="G502" s="20" t="s">
        <v>1305</v>
      </c>
      <c r="H502" s="6"/>
      <c r="I502" s="6" t="s">
        <v>1311</v>
      </c>
      <c r="J502" s="6">
        <v>69</v>
      </c>
      <c r="K502" s="21">
        <v>5</v>
      </c>
      <c r="L502" s="21" t="s">
        <v>1301</v>
      </c>
      <c r="M502" s="6" t="s">
        <v>378</v>
      </c>
      <c r="N502" s="6" t="s">
        <v>1316</v>
      </c>
      <c r="O502" s="6" t="s">
        <v>166</v>
      </c>
      <c r="P502" s="6"/>
      <c r="Q502" s="27"/>
      <c r="R502" s="28" t="s">
        <v>272</v>
      </c>
      <c r="S502" s="6"/>
      <c r="T502" s="1">
        <v>62.222799999999999</v>
      </c>
      <c r="U502" s="1">
        <v>61.262600000000006</v>
      </c>
      <c r="V502" s="1">
        <v>61.262600000000006</v>
      </c>
      <c r="W502" s="1">
        <v>48.031399999999991</v>
      </c>
      <c r="X502" s="1">
        <v>64.570399999999992</v>
      </c>
      <c r="Y502" s="1">
        <f t="shared" si="27"/>
        <v>59.469959999999993</v>
      </c>
      <c r="Z502" s="10" t="s">
        <v>168</v>
      </c>
      <c r="AA502" s="10" t="s">
        <v>168</v>
      </c>
      <c r="AB502" s="10" t="s">
        <v>168</v>
      </c>
      <c r="AC502" s="10" t="s">
        <v>168</v>
      </c>
      <c r="AD502" s="10" t="s">
        <v>168</v>
      </c>
      <c r="AE502" s="10" t="s">
        <v>168</v>
      </c>
      <c r="AF502" s="10" t="s">
        <v>168</v>
      </c>
      <c r="AG502" s="38">
        <f t="shared" si="28"/>
        <v>1</v>
      </c>
      <c r="AH502" s="51">
        <f t="shared" si="29"/>
        <v>59.469959999999993</v>
      </c>
      <c r="AI502" s="64">
        <v>2</v>
      </c>
      <c r="AJ502" s="62" t="s">
        <v>1317</v>
      </c>
      <c r="AK502" s="65">
        <f>9521.9975</f>
        <v>9521.9974999999995</v>
      </c>
      <c r="AL502" s="1"/>
      <c r="AM502" s="1"/>
      <c r="AN502" s="81">
        <v>46143</v>
      </c>
      <c r="AO502" s="81" t="s">
        <v>180</v>
      </c>
    </row>
    <row r="503" spans="1:42" s="26" customFormat="1" hidden="1" x14ac:dyDescent="0.25">
      <c r="A503" s="19" t="s">
        <v>1318</v>
      </c>
      <c r="B503" s="21" t="s">
        <v>160</v>
      </c>
      <c r="C503" s="21">
        <v>1</v>
      </c>
      <c r="D503" s="23">
        <v>1050</v>
      </c>
      <c r="E503" s="23">
        <v>755</v>
      </c>
      <c r="F503" s="21">
        <v>0.04</v>
      </c>
      <c r="G503" s="20" t="s">
        <v>1319</v>
      </c>
      <c r="H503" s="6"/>
      <c r="I503" s="6" t="s">
        <v>1320</v>
      </c>
      <c r="J503" s="6">
        <v>90</v>
      </c>
      <c r="K503" s="21">
        <v>10</v>
      </c>
      <c r="L503" s="21" t="s">
        <v>53</v>
      </c>
      <c r="M503" s="6" t="s">
        <v>378</v>
      </c>
      <c r="N503" s="35" t="s">
        <v>165</v>
      </c>
      <c r="O503" s="6" t="s">
        <v>166</v>
      </c>
      <c r="P503" s="6"/>
      <c r="Q503" s="27"/>
      <c r="R503" s="28" t="s">
        <v>272</v>
      </c>
      <c r="S503" s="6"/>
      <c r="T503" s="1">
        <v>44.7393</v>
      </c>
      <c r="U503" s="1">
        <v>48.229599999999998</v>
      </c>
      <c r="V503" s="1">
        <v>50.450699999999998</v>
      </c>
      <c r="W503" s="1">
        <v>21.2591</v>
      </c>
      <c r="X503" s="1">
        <v>52.989100000000001</v>
      </c>
      <c r="Y503" s="1">
        <f t="shared" si="27"/>
        <v>43.533560000000001</v>
      </c>
      <c r="Z503" s="10" t="s">
        <v>168</v>
      </c>
      <c r="AA503" s="10" t="s">
        <v>168</v>
      </c>
      <c r="AB503" s="10" t="s">
        <v>168</v>
      </c>
      <c r="AC503" s="10" t="s">
        <v>168</v>
      </c>
      <c r="AD503" s="10" t="s">
        <v>168</v>
      </c>
      <c r="AE503" s="10" t="s">
        <v>168</v>
      </c>
      <c r="AF503" s="10" t="s">
        <v>168</v>
      </c>
      <c r="AG503" s="38">
        <f t="shared" si="28"/>
        <v>1</v>
      </c>
      <c r="AH503" s="51">
        <f t="shared" si="29"/>
        <v>43.533560000000001</v>
      </c>
      <c r="AI503" s="64">
        <v>1</v>
      </c>
      <c r="AJ503" s="62" t="s">
        <v>1321</v>
      </c>
      <c r="AK503" s="65">
        <f>4547.8325</f>
        <v>4547.8325000000004</v>
      </c>
      <c r="AL503" s="1"/>
      <c r="AM503" s="1"/>
      <c r="AN503" s="81">
        <v>46174</v>
      </c>
      <c r="AO503" s="81" t="s">
        <v>180</v>
      </c>
    </row>
    <row r="504" spans="1:42" s="26" customFormat="1" hidden="1" x14ac:dyDescent="0.25">
      <c r="A504" s="19" t="s">
        <v>52</v>
      </c>
      <c r="B504" s="21" t="s">
        <v>160</v>
      </c>
      <c r="C504" s="21">
        <v>1.4</v>
      </c>
      <c r="D504" s="23">
        <v>575</v>
      </c>
      <c r="E504" s="23">
        <v>517</v>
      </c>
      <c r="F504" s="23" t="s">
        <v>1322</v>
      </c>
      <c r="G504" s="20" t="s">
        <v>1305</v>
      </c>
      <c r="H504" s="6"/>
      <c r="I504" s="6" t="s">
        <v>1306</v>
      </c>
      <c r="J504" s="6">
        <v>69</v>
      </c>
      <c r="K504" s="21"/>
      <c r="L504" s="21" t="s">
        <v>1323</v>
      </c>
      <c r="M504" s="6" t="s">
        <v>378</v>
      </c>
      <c r="N504" s="6">
        <v>246</v>
      </c>
      <c r="O504" s="6"/>
      <c r="P504" s="6"/>
      <c r="Q504" s="27"/>
      <c r="R504" s="28" t="s">
        <v>272</v>
      </c>
      <c r="S504" s="6"/>
      <c r="T504" s="1">
        <v>44.204160000000002</v>
      </c>
      <c r="U504" s="1">
        <v>33.633600000000001</v>
      </c>
      <c r="V504" s="1">
        <v>44.204160000000002</v>
      </c>
      <c r="W504" s="1">
        <v>33.633600000000001</v>
      </c>
      <c r="X504" s="1">
        <v>34.594560000000008</v>
      </c>
      <c r="Y504" s="1">
        <f t="shared" si="27"/>
        <v>38.054016000000004</v>
      </c>
      <c r="Z504" s="10" t="s">
        <v>168</v>
      </c>
      <c r="AA504" s="10" t="s">
        <v>168</v>
      </c>
      <c r="AB504" s="10" t="s">
        <v>168</v>
      </c>
      <c r="AC504" s="10" t="s">
        <v>168</v>
      </c>
      <c r="AD504" s="10" t="s">
        <v>168</v>
      </c>
      <c r="AE504" s="10" t="s">
        <v>168</v>
      </c>
      <c r="AF504" s="10" t="s">
        <v>168</v>
      </c>
      <c r="AG504" s="38">
        <f t="shared" si="28"/>
        <v>1</v>
      </c>
      <c r="AH504" s="51">
        <f t="shared" si="29"/>
        <v>38.054016000000004</v>
      </c>
      <c r="AI504" s="64"/>
      <c r="AJ504" s="1"/>
      <c r="AK504" s="65"/>
      <c r="AL504" s="1"/>
      <c r="AM504" s="1"/>
      <c r="AN504" s="81"/>
      <c r="AO504" s="81"/>
    </row>
    <row r="505" spans="1:42" s="26" customFormat="1" hidden="1" x14ac:dyDescent="0.25">
      <c r="A505" s="19" t="s">
        <v>1324</v>
      </c>
      <c r="B505" s="21" t="s">
        <v>160</v>
      </c>
      <c r="C505" s="21">
        <v>1.75</v>
      </c>
      <c r="D505" s="23">
        <v>300</v>
      </c>
      <c r="E505" s="23">
        <v>164</v>
      </c>
      <c r="F505" s="23" t="s">
        <v>1304</v>
      </c>
      <c r="G505" s="20" t="s">
        <v>1325</v>
      </c>
      <c r="H505" s="6"/>
      <c r="I505" s="6" t="s">
        <v>1306</v>
      </c>
      <c r="J505" s="6">
        <v>59</v>
      </c>
      <c r="K505" s="21">
        <v>1.8</v>
      </c>
      <c r="L505" s="21" t="s">
        <v>1301</v>
      </c>
      <c r="M505" s="6" t="s">
        <v>378</v>
      </c>
      <c r="N505" s="6" t="s">
        <v>1326</v>
      </c>
      <c r="O505" s="6" t="s">
        <v>166</v>
      </c>
      <c r="P505" s="6"/>
      <c r="Q505" s="27"/>
      <c r="R505" s="28" t="s">
        <v>272</v>
      </c>
      <c r="S505" s="6"/>
      <c r="T505" s="1">
        <v>41.235999999999997</v>
      </c>
      <c r="U505" s="1">
        <v>36.3688</v>
      </c>
      <c r="V505" s="1">
        <v>35.152000000000001</v>
      </c>
      <c r="W505" s="1">
        <v>36.3688</v>
      </c>
      <c r="X505" s="1">
        <v>36.3688</v>
      </c>
      <c r="Y505" s="1">
        <f t="shared" si="27"/>
        <v>37.098879999999994</v>
      </c>
      <c r="Z505" s="10" t="s">
        <v>168</v>
      </c>
      <c r="AA505" s="10" t="s">
        <v>168</v>
      </c>
      <c r="AB505" s="10" t="s">
        <v>168</v>
      </c>
      <c r="AC505" s="10" t="s">
        <v>168</v>
      </c>
      <c r="AD505" s="10" t="s">
        <v>168</v>
      </c>
      <c r="AE505" s="10" t="s">
        <v>168</v>
      </c>
      <c r="AF505" s="10" t="s">
        <v>168</v>
      </c>
      <c r="AG505" s="38">
        <f t="shared" si="28"/>
        <v>1</v>
      </c>
      <c r="AH505" s="51">
        <f t="shared" si="29"/>
        <v>37.098879999999994</v>
      </c>
      <c r="AI505" s="64">
        <v>1</v>
      </c>
      <c r="AJ505" s="62" t="s">
        <v>1327</v>
      </c>
      <c r="AK505" s="65">
        <f>2352.08</f>
        <v>2352.08</v>
      </c>
      <c r="AL505" s="1"/>
      <c r="AM505" s="1"/>
      <c r="AN505" s="81">
        <v>46174</v>
      </c>
      <c r="AO505" s="81" t="s">
        <v>180</v>
      </c>
    </row>
    <row r="506" spans="1:42" s="26" customFormat="1" hidden="1" x14ac:dyDescent="0.25">
      <c r="A506" s="19" t="s">
        <v>1328</v>
      </c>
      <c r="B506" s="21" t="s">
        <v>160</v>
      </c>
      <c r="C506" s="21">
        <v>1.2</v>
      </c>
      <c r="D506" s="23">
        <v>1250</v>
      </c>
      <c r="E506" s="23">
        <v>500</v>
      </c>
      <c r="F506" s="23" t="s">
        <v>1309</v>
      </c>
      <c r="G506" s="20" t="s">
        <v>1329</v>
      </c>
      <c r="H506" s="6"/>
      <c r="I506" s="6" t="s">
        <v>1306</v>
      </c>
      <c r="J506" s="6">
        <v>59</v>
      </c>
      <c r="K506" s="21">
        <v>7</v>
      </c>
      <c r="L506" s="21" t="s">
        <v>1301</v>
      </c>
      <c r="M506" s="6" t="s">
        <v>378</v>
      </c>
      <c r="N506" s="6" t="s">
        <v>331</v>
      </c>
      <c r="O506" s="6" t="s">
        <v>277</v>
      </c>
      <c r="P506" s="6"/>
      <c r="Q506" s="27"/>
      <c r="R506" s="28" t="s">
        <v>272</v>
      </c>
      <c r="S506" s="6"/>
      <c r="T506" s="1">
        <v>35.594999999999999</v>
      </c>
      <c r="U506" s="1">
        <v>34.578000000000003</v>
      </c>
      <c r="V506" s="1">
        <v>37.628999999999998</v>
      </c>
      <c r="W506" s="1">
        <v>26.442</v>
      </c>
      <c r="X506" s="1">
        <v>40.68</v>
      </c>
      <c r="Y506" s="1">
        <f t="shared" si="27"/>
        <v>34.9848</v>
      </c>
      <c r="Z506" s="10" t="s">
        <v>168</v>
      </c>
      <c r="AA506" s="10" t="s">
        <v>168</v>
      </c>
      <c r="AB506" s="10" t="s">
        <v>168</v>
      </c>
      <c r="AC506" s="10" t="s">
        <v>168</v>
      </c>
      <c r="AD506" s="10" t="s">
        <v>168</v>
      </c>
      <c r="AE506" s="10" t="s">
        <v>168</v>
      </c>
      <c r="AF506" s="10" t="s">
        <v>168</v>
      </c>
      <c r="AG506" s="38">
        <f t="shared" si="28"/>
        <v>1</v>
      </c>
      <c r="AH506" s="51">
        <f t="shared" si="29"/>
        <v>34.9848</v>
      </c>
      <c r="AI506" s="64">
        <v>1</v>
      </c>
      <c r="AJ506" s="1" t="s">
        <v>1330</v>
      </c>
      <c r="AK506" s="65">
        <f>6579.9675</f>
        <v>6579.9674999999997</v>
      </c>
      <c r="AL506" s="1"/>
      <c r="AM506" s="1"/>
      <c r="AN506" s="81">
        <v>46174</v>
      </c>
      <c r="AO506" s="81" t="s">
        <v>180</v>
      </c>
    </row>
    <row r="507" spans="1:42" s="26" customFormat="1" ht="33.75" hidden="1" x14ac:dyDescent="0.25">
      <c r="A507" s="19" t="s">
        <v>1331</v>
      </c>
      <c r="B507" s="21" t="s">
        <v>160</v>
      </c>
      <c r="C507" s="21">
        <v>0.7</v>
      </c>
      <c r="D507" s="23">
        <v>1500</v>
      </c>
      <c r="E507" s="23">
        <v>675</v>
      </c>
      <c r="F507" s="77">
        <v>4.4999999999999998E-2</v>
      </c>
      <c r="G507" s="20" t="s">
        <v>1332</v>
      </c>
      <c r="H507" s="6"/>
      <c r="I507" s="6" t="s">
        <v>1306</v>
      </c>
      <c r="J507" s="6">
        <v>59</v>
      </c>
      <c r="K507" s="21">
        <v>9</v>
      </c>
      <c r="L507" s="21" t="s">
        <v>1301</v>
      </c>
      <c r="M507" s="6" t="s">
        <v>378</v>
      </c>
      <c r="N507" s="6" t="s">
        <v>331</v>
      </c>
      <c r="O507" s="6" t="s">
        <v>166</v>
      </c>
      <c r="P507" s="6"/>
      <c r="Q507" s="27"/>
      <c r="R507" s="28" t="s">
        <v>272</v>
      </c>
      <c r="S507" s="6"/>
      <c r="T507" s="1">
        <v>33.031776000000008</v>
      </c>
      <c r="U507" s="1">
        <v>35.58672</v>
      </c>
      <c r="V507" s="1">
        <v>37.594175999999997</v>
      </c>
      <c r="W507" s="1">
        <v>26.826912</v>
      </c>
      <c r="X507" s="1">
        <v>40.514112000000004</v>
      </c>
      <c r="Y507" s="1">
        <f t="shared" si="27"/>
        <v>34.710739199999999</v>
      </c>
      <c r="Z507" s="10" t="s">
        <v>168</v>
      </c>
      <c r="AA507" s="10" t="s">
        <v>168</v>
      </c>
      <c r="AB507" s="10" t="s">
        <v>168</v>
      </c>
      <c r="AC507" s="10" t="s">
        <v>168</v>
      </c>
      <c r="AD507" s="10" t="s">
        <v>168</v>
      </c>
      <c r="AE507" s="10" t="s">
        <v>168</v>
      </c>
      <c r="AF507" s="10" t="s">
        <v>168</v>
      </c>
      <c r="AG507" s="38">
        <f t="shared" si="28"/>
        <v>1</v>
      </c>
      <c r="AH507" s="51">
        <f t="shared" si="29"/>
        <v>34.710739199999999</v>
      </c>
      <c r="AI507" s="64">
        <v>3</v>
      </c>
      <c r="AJ507" s="62" t="s">
        <v>1333</v>
      </c>
      <c r="AK507" s="65">
        <f>2993.12083333333</f>
        <v>2993.1208333333302</v>
      </c>
      <c r="AL507" s="1"/>
      <c r="AM507" s="1"/>
      <c r="AN507" s="81">
        <v>46174</v>
      </c>
      <c r="AO507" s="81" t="s">
        <v>180</v>
      </c>
    </row>
    <row r="508" spans="1:42" s="26" customFormat="1" hidden="1" x14ac:dyDescent="0.25">
      <c r="A508" s="19" t="s">
        <v>44</v>
      </c>
      <c r="B508" s="21" t="s">
        <v>160</v>
      </c>
      <c r="C508" s="21">
        <v>1.4</v>
      </c>
      <c r="D508" s="23">
        <v>312</v>
      </c>
      <c r="E508" s="23">
        <v>950</v>
      </c>
      <c r="F508" s="23" t="s">
        <v>1334</v>
      </c>
      <c r="G508" s="20" t="s">
        <v>1305</v>
      </c>
      <c r="H508" s="6"/>
      <c r="I508" s="6" t="s">
        <v>1311</v>
      </c>
      <c r="J508" s="6">
        <v>60</v>
      </c>
      <c r="K508" s="21"/>
      <c r="L508" s="21" t="s">
        <v>1312</v>
      </c>
      <c r="M508" s="6" t="s">
        <v>378</v>
      </c>
      <c r="N508" s="6">
        <v>246</v>
      </c>
      <c r="O508" s="6"/>
      <c r="P508" s="6"/>
      <c r="Q508" s="27"/>
      <c r="R508" s="28" t="s">
        <v>272</v>
      </c>
      <c r="S508" s="6"/>
      <c r="T508" s="1">
        <v>39.994239999999998</v>
      </c>
      <c r="U508" s="1">
        <v>30.430399999999999</v>
      </c>
      <c r="V508" s="1">
        <v>39.994239999999998</v>
      </c>
      <c r="W508" s="1">
        <v>30.430399999999999</v>
      </c>
      <c r="X508" s="1">
        <v>31.29984</v>
      </c>
      <c r="Y508" s="1">
        <f t="shared" si="27"/>
        <v>34.429823999999996</v>
      </c>
      <c r="Z508" s="10" t="s">
        <v>168</v>
      </c>
      <c r="AA508" s="10" t="s">
        <v>168</v>
      </c>
      <c r="AB508" s="10" t="s">
        <v>168</v>
      </c>
      <c r="AC508" s="10" t="s">
        <v>168</v>
      </c>
      <c r="AD508" s="10" t="s">
        <v>168</v>
      </c>
      <c r="AE508" s="10" t="s">
        <v>168</v>
      </c>
      <c r="AF508" s="10" t="s">
        <v>168</v>
      </c>
      <c r="AG508" s="38">
        <f t="shared" si="28"/>
        <v>1</v>
      </c>
      <c r="AH508" s="51">
        <f t="shared" si="29"/>
        <v>34.429823999999996</v>
      </c>
      <c r="AI508" s="64"/>
      <c r="AJ508" s="1"/>
      <c r="AK508" s="65">
        <f>0</f>
        <v>0</v>
      </c>
      <c r="AL508" s="1"/>
      <c r="AM508" s="1"/>
      <c r="AN508" s="81"/>
      <c r="AO508" s="81"/>
    </row>
    <row r="509" spans="1:42" s="26" customFormat="1" hidden="1" x14ac:dyDescent="0.25">
      <c r="A509" s="19" t="s">
        <v>1335</v>
      </c>
      <c r="B509" s="21" t="s">
        <v>160</v>
      </c>
      <c r="C509" s="21">
        <v>0.7</v>
      </c>
      <c r="D509" s="23">
        <v>275</v>
      </c>
      <c r="E509" s="23">
        <v>164.5</v>
      </c>
      <c r="F509" s="23" t="s">
        <v>1336</v>
      </c>
      <c r="G509" s="20" t="s">
        <v>1325</v>
      </c>
      <c r="H509" s="6"/>
      <c r="I509" s="6" t="s">
        <v>1306</v>
      </c>
      <c r="J509" s="6">
        <v>59</v>
      </c>
      <c r="K509" s="21">
        <v>1.5</v>
      </c>
      <c r="L509" s="21" t="s">
        <v>1301</v>
      </c>
      <c r="M509" s="6" t="s">
        <v>378</v>
      </c>
      <c r="N509" s="6" t="s">
        <v>1326</v>
      </c>
      <c r="O509" s="6" t="s">
        <v>166</v>
      </c>
      <c r="P509" s="6"/>
      <c r="Q509" s="27"/>
      <c r="R509" s="28" t="s">
        <v>272</v>
      </c>
      <c r="S509" s="6"/>
      <c r="T509" s="1">
        <v>38.192</v>
      </c>
      <c r="U509" s="1">
        <v>24.303999999999998</v>
      </c>
      <c r="V509" s="1">
        <v>23.56</v>
      </c>
      <c r="W509" s="1">
        <v>24.303999999999998</v>
      </c>
      <c r="X509" s="1">
        <v>24.303999999999998</v>
      </c>
      <c r="Y509" s="1">
        <f t="shared" si="27"/>
        <v>26.932799999999997</v>
      </c>
      <c r="Z509" s="10" t="s">
        <v>168</v>
      </c>
      <c r="AA509" s="10" t="s">
        <v>168</v>
      </c>
      <c r="AB509" s="10" t="s">
        <v>168</v>
      </c>
      <c r="AC509" s="10" t="s">
        <v>168</v>
      </c>
      <c r="AD509" s="10" t="s">
        <v>168</v>
      </c>
      <c r="AE509" s="10" t="s">
        <v>168</v>
      </c>
      <c r="AF509" s="10" t="s">
        <v>168</v>
      </c>
      <c r="AG509" s="38">
        <f t="shared" si="28"/>
        <v>1</v>
      </c>
      <c r="AH509" s="51">
        <f t="shared" si="29"/>
        <v>26.932799999999997</v>
      </c>
      <c r="AI509" s="64">
        <v>1</v>
      </c>
      <c r="AJ509" s="62" t="s">
        <v>1337</v>
      </c>
      <c r="AK509" s="65">
        <f>6736.4775</f>
        <v>6736.4775</v>
      </c>
      <c r="AL509" s="1"/>
      <c r="AM509" s="1"/>
      <c r="AN509" s="81">
        <v>46174</v>
      </c>
      <c r="AO509" s="81" t="s">
        <v>180</v>
      </c>
    </row>
    <row r="510" spans="1:42" s="26" customFormat="1" hidden="1" x14ac:dyDescent="0.25">
      <c r="A510" s="19" t="s">
        <v>71</v>
      </c>
      <c r="B510" s="21" t="s">
        <v>160</v>
      </c>
      <c r="C510" s="21">
        <v>1.8</v>
      </c>
      <c r="D510" s="23">
        <v>466</v>
      </c>
      <c r="E510" s="23"/>
      <c r="F510" s="23" t="s">
        <v>1314</v>
      </c>
      <c r="G510" s="20" t="s">
        <v>1305</v>
      </c>
      <c r="H510" s="6"/>
      <c r="I510" s="6" t="s">
        <v>1306</v>
      </c>
      <c r="J510" s="6">
        <v>59</v>
      </c>
      <c r="K510" s="21">
        <v>1.8</v>
      </c>
      <c r="L510" s="21" t="s">
        <v>1301</v>
      </c>
      <c r="M510" s="6" t="s">
        <v>378</v>
      </c>
      <c r="N510" s="6" t="s">
        <v>266</v>
      </c>
      <c r="O510" s="6"/>
      <c r="P510" s="6"/>
      <c r="Q510" s="27"/>
      <c r="R510" s="28" t="s">
        <v>272</v>
      </c>
      <c r="S510" s="6"/>
      <c r="T510" s="1">
        <v>28.492799999999999</v>
      </c>
      <c r="U510" s="1">
        <v>24.218880000000002</v>
      </c>
      <c r="V510" s="1">
        <v>27.068159999999999</v>
      </c>
      <c r="W510" s="1">
        <v>21.369599999999998</v>
      </c>
      <c r="X510" s="1">
        <v>29.917439999999999</v>
      </c>
      <c r="Y510" s="1">
        <f t="shared" si="27"/>
        <v>26.213376</v>
      </c>
      <c r="Z510" s="10" t="s">
        <v>168</v>
      </c>
      <c r="AA510" s="10" t="s">
        <v>168</v>
      </c>
      <c r="AB510" s="10" t="s">
        <v>168</v>
      </c>
      <c r="AC510" s="10" t="s">
        <v>168</v>
      </c>
      <c r="AD510" s="10" t="s">
        <v>168</v>
      </c>
      <c r="AE510" s="10" t="s">
        <v>168</v>
      </c>
      <c r="AF510" s="10" t="s">
        <v>168</v>
      </c>
      <c r="AG510" s="38">
        <f t="shared" si="28"/>
        <v>1</v>
      </c>
      <c r="AH510" s="51">
        <f t="shared" si="29"/>
        <v>26.213376</v>
      </c>
      <c r="AI510" s="64"/>
      <c r="AJ510" s="1"/>
      <c r="AK510" s="65">
        <v>3989.51</v>
      </c>
      <c r="AL510" s="1"/>
      <c r="AM510" s="1"/>
      <c r="AN510" s="81">
        <v>46174</v>
      </c>
      <c r="AO510" s="81" t="s">
        <v>180</v>
      </c>
    </row>
    <row r="511" spans="1:42" s="26" customFormat="1" hidden="1" x14ac:dyDescent="0.25">
      <c r="A511" s="19" t="s">
        <v>1338</v>
      </c>
      <c r="B511" s="21" t="s">
        <v>160</v>
      </c>
      <c r="C511" s="21">
        <v>0.7</v>
      </c>
      <c r="D511" s="23">
        <v>525</v>
      </c>
      <c r="E511" s="23">
        <v>750</v>
      </c>
      <c r="F511" s="23"/>
      <c r="G511" s="20" t="s">
        <v>1329</v>
      </c>
      <c r="H511" s="6"/>
      <c r="I511" s="6" t="s">
        <v>1311</v>
      </c>
      <c r="J511" s="6">
        <v>60</v>
      </c>
      <c r="K511" s="21"/>
      <c r="L511" s="21" t="s">
        <v>51</v>
      </c>
      <c r="M511" s="6" t="s">
        <v>378</v>
      </c>
      <c r="N511" s="6">
        <v>246</v>
      </c>
      <c r="O511" s="6"/>
      <c r="P511" s="6"/>
      <c r="Q511" s="27"/>
      <c r="R511" s="28" t="s">
        <v>272</v>
      </c>
      <c r="S511" s="6"/>
      <c r="T511" s="1">
        <v>25.372584000000003</v>
      </c>
      <c r="U511" s="1">
        <v>19.922112000000002</v>
      </c>
      <c r="V511" s="1">
        <v>26.110440000000004</v>
      </c>
      <c r="W511" s="1">
        <v>20.014344000000001</v>
      </c>
      <c r="X511" s="1">
        <v>20.576520000000002</v>
      </c>
      <c r="Y511" s="1">
        <f t="shared" si="27"/>
        <v>22.3992</v>
      </c>
      <c r="Z511" s="10" t="s">
        <v>168</v>
      </c>
      <c r="AA511" s="10" t="s">
        <v>168</v>
      </c>
      <c r="AB511" s="10" t="s">
        <v>168</v>
      </c>
      <c r="AC511" s="10" t="s">
        <v>168</v>
      </c>
      <c r="AD511" s="10" t="s">
        <v>168</v>
      </c>
      <c r="AE511" s="10" t="s">
        <v>168</v>
      </c>
      <c r="AF511" s="10" t="s">
        <v>168</v>
      </c>
      <c r="AG511" s="38">
        <f t="shared" si="28"/>
        <v>1</v>
      </c>
      <c r="AH511" s="51">
        <f t="shared" si="29"/>
        <v>22.3992</v>
      </c>
      <c r="AI511" s="64"/>
      <c r="AJ511" s="1"/>
      <c r="AK511" s="65">
        <f>0</f>
        <v>0</v>
      </c>
      <c r="AL511" s="1"/>
      <c r="AM511" s="1"/>
      <c r="AN511" s="81"/>
      <c r="AO511" s="81"/>
    </row>
    <row r="512" spans="1:42" s="26" customFormat="1" hidden="1" x14ac:dyDescent="0.25">
      <c r="A512" s="19" t="s">
        <v>76</v>
      </c>
      <c r="B512" s="21" t="s">
        <v>160</v>
      </c>
      <c r="C512" s="21">
        <v>1.2</v>
      </c>
      <c r="D512" s="23">
        <v>900</v>
      </c>
      <c r="E512" s="23">
        <v>400</v>
      </c>
      <c r="F512" s="23" t="s">
        <v>1336</v>
      </c>
      <c r="G512" s="20" t="s">
        <v>1339</v>
      </c>
      <c r="H512" s="6"/>
      <c r="I512" s="6" t="s">
        <v>1311</v>
      </c>
      <c r="J512" s="6">
        <v>69</v>
      </c>
      <c r="K512" s="21">
        <v>9</v>
      </c>
      <c r="L512" s="21" t="s">
        <v>1301</v>
      </c>
      <c r="M512" s="6" t="s">
        <v>378</v>
      </c>
      <c r="N512" s="6" t="s">
        <v>331</v>
      </c>
      <c r="O512" s="6" t="s">
        <v>166</v>
      </c>
      <c r="P512" s="6"/>
      <c r="Q512" s="27"/>
      <c r="R512" s="28" t="s">
        <v>272</v>
      </c>
      <c r="S512" s="6"/>
      <c r="T512" s="1">
        <v>20.414016</v>
      </c>
      <c r="U512" s="1">
        <v>21.752640000000003</v>
      </c>
      <c r="V512" s="1">
        <v>22.979712000000003</v>
      </c>
      <c r="W512" s="1">
        <v>16.398143999999998</v>
      </c>
      <c r="X512" s="1">
        <v>24.764544000000001</v>
      </c>
      <c r="Y512" s="1">
        <f t="shared" si="27"/>
        <v>21.261811200000004</v>
      </c>
      <c r="Z512" s="10" t="s">
        <v>168</v>
      </c>
      <c r="AA512" s="10" t="s">
        <v>168</v>
      </c>
      <c r="AB512" s="10" t="s">
        <v>168</v>
      </c>
      <c r="AC512" s="10" t="s">
        <v>168</v>
      </c>
      <c r="AD512" s="10" t="s">
        <v>168</v>
      </c>
      <c r="AE512" s="10" t="s">
        <v>168</v>
      </c>
      <c r="AF512" s="10" t="s">
        <v>168</v>
      </c>
      <c r="AG512" s="38">
        <f t="shared" si="28"/>
        <v>1</v>
      </c>
      <c r="AH512" s="51">
        <f t="shared" si="29"/>
        <v>21.261811200000004</v>
      </c>
      <c r="AI512" s="64">
        <v>1</v>
      </c>
      <c r="AJ512" s="62" t="s">
        <v>1340</v>
      </c>
      <c r="AK512" s="65">
        <f>3584.835</f>
        <v>3584.835</v>
      </c>
      <c r="AL512" s="1"/>
      <c r="AM512" s="1"/>
      <c r="AN512" s="81">
        <v>46235</v>
      </c>
      <c r="AO512" s="93"/>
    </row>
    <row r="513" spans="1:41" s="26" customFormat="1" ht="22.5" hidden="1" x14ac:dyDescent="0.25">
      <c r="A513" s="19" t="s">
        <v>75</v>
      </c>
      <c r="B513" s="21" t="s">
        <v>160</v>
      </c>
      <c r="C513" s="21">
        <v>1.2</v>
      </c>
      <c r="D513" s="23">
        <v>950</v>
      </c>
      <c r="E513" s="23">
        <v>378</v>
      </c>
      <c r="F513" s="23" t="s">
        <v>1336</v>
      </c>
      <c r="G513" s="20" t="s">
        <v>229</v>
      </c>
      <c r="H513" s="6"/>
      <c r="I513" s="6" t="s">
        <v>1311</v>
      </c>
      <c r="J513" s="6">
        <v>69</v>
      </c>
      <c r="K513" s="21">
        <v>9</v>
      </c>
      <c r="L513" s="21" t="s">
        <v>1301</v>
      </c>
      <c r="M513" s="6" t="s">
        <v>378</v>
      </c>
      <c r="N513" s="6" t="s">
        <v>331</v>
      </c>
      <c r="O513" s="6" t="s">
        <v>166</v>
      </c>
      <c r="P513" s="6"/>
      <c r="Q513" s="27"/>
      <c r="R513" s="28" t="s">
        <v>272</v>
      </c>
      <c r="S513" s="6"/>
      <c r="T513" s="1">
        <v>18.675519999999999</v>
      </c>
      <c r="U513" s="1">
        <v>21.971199999999996</v>
      </c>
      <c r="V513" s="1">
        <v>21.971199999999996</v>
      </c>
      <c r="W513" s="1">
        <v>16.478399999999997</v>
      </c>
      <c r="X513" s="1">
        <v>24.168320000000001</v>
      </c>
      <c r="Y513" s="1">
        <f t="shared" si="27"/>
        <v>20.652927999999996</v>
      </c>
      <c r="Z513" s="10" t="s">
        <v>168</v>
      </c>
      <c r="AA513" s="10" t="s">
        <v>168</v>
      </c>
      <c r="AB513" s="10" t="s">
        <v>168</v>
      </c>
      <c r="AC513" s="10" t="s">
        <v>168</v>
      </c>
      <c r="AD513" s="10" t="s">
        <v>168</v>
      </c>
      <c r="AE513" s="10" t="s">
        <v>168</v>
      </c>
      <c r="AF513" s="10" t="s">
        <v>168</v>
      </c>
      <c r="AG513" s="38">
        <f t="shared" si="28"/>
        <v>1</v>
      </c>
      <c r="AH513" s="51">
        <f t="shared" si="29"/>
        <v>20.652927999999996</v>
      </c>
      <c r="AI513" s="64">
        <v>2</v>
      </c>
      <c r="AJ513" s="62" t="s">
        <v>1341</v>
      </c>
      <c r="AK513" s="65">
        <f>7843.88666666667</f>
        <v>7843.88666666667</v>
      </c>
      <c r="AL513" s="1"/>
      <c r="AM513" s="1"/>
      <c r="AN513" s="81">
        <v>46235</v>
      </c>
      <c r="AO513" s="93"/>
    </row>
    <row r="514" spans="1:41" s="26" customFormat="1" hidden="1" x14ac:dyDescent="0.25">
      <c r="A514" s="19" t="s">
        <v>1342</v>
      </c>
      <c r="B514" s="21" t="s">
        <v>160</v>
      </c>
      <c r="C514" s="21">
        <v>0.7</v>
      </c>
      <c r="D514" s="23">
        <v>650</v>
      </c>
      <c r="E514" s="23">
        <v>850</v>
      </c>
      <c r="F514" s="23" t="s">
        <v>1336</v>
      </c>
      <c r="G514" s="20" t="s">
        <v>1343</v>
      </c>
      <c r="H514" s="6"/>
      <c r="I514" s="6" t="s">
        <v>1306</v>
      </c>
      <c r="J514" s="6">
        <v>59</v>
      </c>
      <c r="K514" s="21">
        <v>3.5</v>
      </c>
      <c r="L514" s="21" t="s">
        <v>1301</v>
      </c>
      <c r="M514" s="6" t="s">
        <v>378</v>
      </c>
      <c r="N514" s="6" t="s">
        <v>331</v>
      </c>
      <c r="O514" s="6" t="s">
        <v>166</v>
      </c>
      <c r="P514" s="6"/>
      <c r="Q514" s="27"/>
      <c r="R514" s="28" t="s">
        <v>272</v>
      </c>
      <c r="S514" s="6"/>
      <c r="T514" s="1">
        <v>18.920960000000001</v>
      </c>
      <c r="U514" s="1">
        <v>19.418880000000001</v>
      </c>
      <c r="V514" s="1">
        <v>20.514303999999999</v>
      </c>
      <c r="W514" s="1">
        <v>14.638847999999999</v>
      </c>
      <c r="X514" s="1">
        <v>22.107648000000001</v>
      </c>
      <c r="Y514" s="1">
        <f t="shared" si="27"/>
        <v>19.120128000000001</v>
      </c>
      <c r="Z514" s="10" t="s">
        <v>168</v>
      </c>
      <c r="AA514" s="10" t="s">
        <v>168</v>
      </c>
      <c r="AB514" s="10" t="s">
        <v>168</v>
      </c>
      <c r="AC514" s="10" t="s">
        <v>168</v>
      </c>
      <c r="AD514" s="10" t="s">
        <v>168</v>
      </c>
      <c r="AE514" s="10" t="s">
        <v>168</v>
      </c>
      <c r="AF514" s="10" t="s">
        <v>168</v>
      </c>
      <c r="AG514" s="38">
        <f t="shared" si="28"/>
        <v>1</v>
      </c>
      <c r="AH514" s="51">
        <f t="shared" si="29"/>
        <v>19.120128000000001</v>
      </c>
      <c r="AI514" s="64">
        <v>1</v>
      </c>
      <c r="AJ514" s="62" t="s">
        <v>1344</v>
      </c>
      <c r="AK514" s="65">
        <f>5209.45333333333</f>
        <v>5209.4533333333302</v>
      </c>
      <c r="AL514" s="1"/>
      <c r="AM514" s="1"/>
      <c r="AN514" s="81">
        <v>46174</v>
      </c>
      <c r="AO514" s="81" t="s">
        <v>180</v>
      </c>
    </row>
    <row r="515" spans="1:41" s="26" customFormat="1" hidden="1" x14ac:dyDescent="0.25">
      <c r="A515" s="19" t="s">
        <v>1345</v>
      </c>
      <c r="B515" s="21" t="s">
        <v>160</v>
      </c>
      <c r="C515" s="21">
        <v>0.8</v>
      </c>
      <c r="D515" s="23">
        <v>625</v>
      </c>
      <c r="E515" s="23">
        <v>645</v>
      </c>
      <c r="F515" s="23" t="s">
        <v>215</v>
      </c>
      <c r="G515" s="20" t="s">
        <v>916</v>
      </c>
      <c r="H515" s="6"/>
      <c r="I515" s="6" t="s">
        <v>1306</v>
      </c>
      <c r="J515" s="6">
        <v>59</v>
      </c>
      <c r="K515" s="21">
        <v>3.5</v>
      </c>
      <c r="L515" s="21" t="s">
        <v>1301</v>
      </c>
      <c r="M515" s="6" t="s">
        <v>378</v>
      </c>
      <c r="N515" s="6" t="s">
        <v>331</v>
      </c>
      <c r="O515" s="6" t="s">
        <v>277</v>
      </c>
      <c r="P515" s="6"/>
      <c r="Q515" s="27"/>
      <c r="R515" s="28" t="s">
        <v>272</v>
      </c>
      <c r="S515" s="6"/>
      <c r="T515" s="1">
        <v>16.496479999999998</v>
      </c>
      <c r="U515" s="1">
        <v>16.796416000000001</v>
      </c>
      <c r="V515" s="1">
        <v>17.546256</v>
      </c>
      <c r="W515" s="1">
        <v>12.597312000000001</v>
      </c>
      <c r="X515" s="1">
        <v>19.045935999999998</v>
      </c>
      <c r="Y515" s="1">
        <f t="shared" ref="Y515:Y580" si="30">AVERAGE(T515:X515)</f>
        <v>16.496479999999998</v>
      </c>
      <c r="Z515" s="10" t="s">
        <v>168</v>
      </c>
      <c r="AA515" s="10" t="s">
        <v>168</v>
      </c>
      <c r="AB515" s="10" t="s">
        <v>168</v>
      </c>
      <c r="AC515" s="10" t="s">
        <v>168</v>
      </c>
      <c r="AD515" s="10" t="s">
        <v>168</v>
      </c>
      <c r="AE515" s="10" t="s">
        <v>168</v>
      </c>
      <c r="AF515" s="10" t="s">
        <v>168</v>
      </c>
      <c r="AG515" s="38">
        <f t="shared" ref="AG515:AG580" si="31">COUNTIF(Z515:AF515,"X")/7</f>
        <v>1</v>
      </c>
      <c r="AH515" s="51">
        <f t="shared" ref="AH515:AH580" si="32">IF(AG515=100%,Y515," ")</f>
        <v>16.496479999999998</v>
      </c>
      <c r="AI515" s="64">
        <v>1</v>
      </c>
      <c r="AJ515" s="1" t="s">
        <v>1346</v>
      </c>
      <c r="AK515" s="65">
        <f>27611.06/12</f>
        <v>2300.9216666666666</v>
      </c>
      <c r="AL515" s="1"/>
      <c r="AM515" s="1"/>
      <c r="AN515" s="81">
        <v>46174</v>
      </c>
      <c r="AO515" s="81" t="s">
        <v>180</v>
      </c>
    </row>
    <row r="516" spans="1:41" s="26" customFormat="1" hidden="1" x14ac:dyDescent="0.25">
      <c r="A516" s="19" t="s">
        <v>1347</v>
      </c>
      <c r="B516" s="21" t="s">
        <v>160</v>
      </c>
      <c r="C516" s="21">
        <v>0.65</v>
      </c>
      <c r="D516" s="23">
        <v>750</v>
      </c>
      <c r="E516" s="23">
        <v>670</v>
      </c>
      <c r="F516" s="23" t="s">
        <v>215</v>
      </c>
      <c r="G516" s="20" t="s">
        <v>1332</v>
      </c>
      <c r="H516" s="6"/>
      <c r="I516" s="6" t="s">
        <v>1306</v>
      </c>
      <c r="J516" s="6">
        <v>59</v>
      </c>
      <c r="K516" s="21">
        <v>5</v>
      </c>
      <c r="L516" s="21" t="s">
        <v>1301</v>
      </c>
      <c r="M516" s="6" t="s">
        <v>378</v>
      </c>
      <c r="N516" s="6" t="s">
        <v>331</v>
      </c>
      <c r="O516" s="6"/>
      <c r="P516" s="6"/>
      <c r="Q516" s="27"/>
      <c r="R516" s="28" t="s">
        <v>272</v>
      </c>
      <c r="S516" s="6"/>
      <c r="T516" s="1">
        <v>15.237311999999999</v>
      </c>
      <c r="U516" s="1">
        <v>16.23648</v>
      </c>
      <c r="V516" s="1">
        <v>17.152383999999998</v>
      </c>
      <c r="W516" s="1">
        <v>12.239807999999998</v>
      </c>
      <c r="X516" s="1">
        <v>18.484608000000001</v>
      </c>
      <c r="Y516" s="1">
        <f t="shared" si="30"/>
        <v>15.870118400000001</v>
      </c>
      <c r="Z516" s="10" t="s">
        <v>168</v>
      </c>
      <c r="AA516" s="10" t="s">
        <v>168</v>
      </c>
      <c r="AB516" s="10" t="s">
        <v>168</v>
      </c>
      <c r="AC516" s="10" t="s">
        <v>168</v>
      </c>
      <c r="AD516" s="10" t="s">
        <v>168</v>
      </c>
      <c r="AE516" s="10" t="s">
        <v>168</v>
      </c>
      <c r="AF516" s="10" t="s">
        <v>168</v>
      </c>
      <c r="AG516" s="38">
        <f t="shared" si="31"/>
        <v>1</v>
      </c>
      <c r="AH516" s="51">
        <f t="shared" si="32"/>
        <v>15.870118400000001</v>
      </c>
      <c r="AI516" s="64">
        <v>1</v>
      </c>
      <c r="AJ516" s="1" t="s">
        <v>1348</v>
      </c>
      <c r="AK516" s="65">
        <f>42227.41/12</f>
        <v>3518.9508333333338</v>
      </c>
      <c r="AL516" s="1"/>
      <c r="AM516" s="1"/>
      <c r="AN516" s="81">
        <v>46113</v>
      </c>
      <c r="AO516" s="81" t="s">
        <v>180</v>
      </c>
    </row>
    <row r="517" spans="1:41" s="26" customFormat="1" ht="22.5" hidden="1" x14ac:dyDescent="0.25">
      <c r="A517" s="19" t="s">
        <v>574</v>
      </c>
      <c r="B517" s="21" t="s">
        <v>197</v>
      </c>
      <c r="C517" s="21">
        <v>1.5</v>
      </c>
      <c r="D517" s="23">
        <v>1100</v>
      </c>
      <c r="E517" s="23">
        <v>191</v>
      </c>
      <c r="F517" s="23" t="s">
        <v>1314</v>
      </c>
      <c r="G517" s="20" t="s">
        <v>711</v>
      </c>
      <c r="H517" s="6"/>
      <c r="I517" s="6" t="s">
        <v>1349</v>
      </c>
      <c r="J517" s="6">
        <v>90</v>
      </c>
      <c r="K517" s="21">
        <v>10</v>
      </c>
      <c r="L517" s="21" t="s">
        <v>53</v>
      </c>
      <c r="M517" s="6" t="s">
        <v>378</v>
      </c>
      <c r="N517" s="6" t="s">
        <v>331</v>
      </c>
      <c r="O517" s="6" t="s">
        <v>277</v>
      </c>
      <c r="P517" s="6"/>
      <c r="Q517" s="27"/>
      <c r="R517" s="28" t="s">
        <v>272</v>
      </c>
      <c r="S517" s="6"/>
      <c r="T517" s="1">
        <v>14.430456</v>
      </c>
      <c r="U517" s="1">
        <v>15.945045</v>
      </c>
      <c r="V517" s="1">
        <v>16.807625000000002</v>
      </c>
      <c r="W517" s="1">
        <v>11.974639999999999</v>
      </c>
      <c r="X517" s="1">
        <v>18.126865000000002</v>
      </c>
      <c r="Y517" s="1">
        <f t="shared" si="30"/>
        <v>15.456926200000002</v>
      </c>
      <c r="Z517" s="10" t="s">
        <v>168</v>
      </c>
      <c r="AA517" s="10" t="s">
        <v>168</v>
      </c>
      <c r="AB517" s="10" t="s">
        <v>168</v>
      </c>
      <c r="AC517" s="10" t="s">
        <v>168</v>
      </c>
      <c r="AD517" s="10" t="s">
        <v>168</v>
      </c>
      <c r="AE517" s="10" t="s">
        <v>168</v>
      </c>
      <c r="AF517" s="10" t="s">
        <v>168</v>
      </c>
      <c r="AG517" s="38">
        <f t="shared" si="31"/>
        <v>1</v>
      </c>
      <c r="AH517" s="51">
        <f t="shared" si="32"/>
        <v>15.456926200000002</v>
      </c>
      <c r="AI517" s="64">
        <v>2</v>
      </c>
      <c r="AJ517" s="62" t="s">
        <v>1350</v>
      </c>
      <c r="AK517" s="65">
        <f>451.548333333333+933.24</f>
        <v>1384.788333333333</v>
      </c>
      <c r="AL517" s="1"/>
      <c r="AM517" s="1"/>
      <c r="AN517" s="81">
        <v>46235</v>
      </c>
      <c r="AO517" s="93"/>
    </row>
    <row r="518" spans="1:41" s="26" customFormat="1" hidden="1" x14ac:dyDescent="0.25">
      <c r="A518" s="19" t="s">
        <v>1351</v>
      </c>
      <c r="B518" s="21" t="s">
        <v>197</v>
      </c>
      <c r="C518" s="21">
        <v>1.2</v>
      </c>
      <c r="D518" s="23">
        <v>1250</v>
      </c>
      <c r="E518" s="23">
        <v>465</v>
      </c>
      <c r="F518" s="23"/>
      <c r="G518" s="20" t="s">
        <v>1330</v>
      </c>
      <c r="H518" s="6"/>
      <c r="I518" s="6"/>
      <c r="J518" s="6"/>
      <c r="K518" s="21"/>
      <c r="L518" s="21"/>
      <c r="M518" s="6" t="s">
        <v>378</v>
      </c>
      <c r="N518" s="6"/>
      <c r="O518" s="6"/>
      <c r="P518" s="6"/>
      <c r="Q518" s="27"/>
      <c r="R518" s="28" t="s">
        <v>272</v>
      </c>
      <c r="S518" s="6"/>
      <c r="T518" s="1"/>
      <c r="U518" s="1"/>
      <c r="V518" s="1"/>
      <c r="W518" s="1"/>
      <c r="X518" s="1"/>
      <c r="Y518" s="1"/>
      <c r="Z518" s="10" t="s">
        <v>168</v>
      </c>
      <c r="AA518" s="10" t="s">
        <v>168</v>
      </c>
      <c r="AB518" s="10" t="s">
        <v>168</v>
      </c>
      <c r="AC518" s="10" t="s">
        <v>168</v>
      </c>
      <c r="AD518" s="10" t="s">
        <v>168</v>
      </c>
      <c r="AE518" s="10" t="s">
        <v>168</v>
      </c>
      <c r="AF518" s="10" t="s">
        <v>168</v>
      </c>
      <c r="AG518" s="38">
        <f t="shared" ref="AG518:AG519" si="33">COUNTIF(Z518:AF518,"X")/7</f>
        <v>1</v>
      </c>
      <c r="AH518" s="51"/>
      <c r="AI518" s="64">
        <v>2</v>
      </c>
      <c r="AJ518" s="62" t="s">
        <v>1330</v>
      </c>
      <c r="AK518" s="65">
        <v>732</v>
      </c>
      <c r="AL518" s="1"/>
      <c r="AM518" s="1"/>
      <c r="AN518" s="81">
        <v>46235</v>
      </c>
      <c r="AO518" s="93"/>
    </row>
    <row r="519" spans="1:41" s="26" customFormat="1" hidden="1" x14ac:dyDescent="0.25">
      <c r="A519" s="19" t="s">
        <v>1352</v>
      </c>
      <c r="B519" s="21" t="s">
        <v>197</v>
      </c>
      <c r="C519" s="21"/>
      <c r="D519" s="23"/>
      <c r="E519" s="23"/>
      <c r="F519" s="23"/>
      <c r="G519" s="20"/>
      <c r="H519" s="6"/>
      <c r="I519" s="6"/>
      <c r="J519" s="6"/>
      <c r="K519" s="21"/>
      <c r="L519" s="21"/>
      <c r="M519" s="6"/>
      <c r="N519" s="6"/>
      <c r="O519" s="6"/>
      <c r="P519" s="6"/>
      <c r="Q519" s="27"/>
      <c r="R519" s="28" t="s">
        <v>272</v>
      </c>
      <c r="S519" s="6"/>
      <c r="T519" s="1"/>
      <c r="U519" s="1"/>
      <c r="V519" s="1"/>
      <c r="W519" s="1"/>
      <c r="X519" s="1"/>
      <c r="Y519" s="1"/>
      <c r="Z519" s="10" t="s">
        <v>168</v>
      </c>
      <c r="AA519" s="10" t="s">
        <v>168</v>
      </c>
      <c r="AB519" s="10" t="s">
        <v>168</v>
      </c>
      <c r="AC519" s="10" t="s">
        <v>168</v>
      </c>
      <c r="AD519" s="10" t="s">
        <v>168</v>
      </c>
      <c r="AE519" s="10" t="s">
        <v>168</v>
      </c>
      <c r="AF519" s="10" t="s">
        <v>168</v>
      </c>
      <c r="AG519" s="38">
        <f t="shared" si="33"/>
        <v>1</v>
      </c>
      <c r="AH519" s="51"/>
      <c r="AI519" s="64"/>
      <c r="AJ519" s="62"/>
      <c r="AK519" s="65">
        <v>2600</v>
      </c>
      <c r="AL519" s="1"/>
      <c r="AM519" s="1"/>
      <c r="AN519" s="81">
        <v>46235</v>
      </c>
      <c r="AO519" s="93"/>
    </row>
    <row r="520" spans="1:41" s="26" customFormat="1" hidden="1" x14ac:dyDescent="0.25">
      <c r="A520" s="19" t="s">
        <v>1353</v>
      </c>
      <c r="B520" s="21" t="s">
        <v>197</v>
      </c>
      <c r="C520" s="21">
        <v>1</v>
      </c>
      <c r="D520" s="23">
        <v>1150</v>
      </c>
      <c r="E520" s="23">
        <v>250</v>
      </c>
      <c r="F520" s="23" t="s">
        <v>1354</v>
      </c>
      <c r="G520" s="20" t="s">
        <v>1355</v>
      </c>
      <c r="H520" s="6"/>
      <c r="I520" s="6" t="s">
        <v>1356</v>
      </c>
      <c r="J520" s="6">
        <v>90</v>
      </c>
      <c r="K520" s="21">
        <v>8</v>
      </c>
      <c r="L520" s="21" t="s">
        <v>53</v>
      </c>
      <c r="M520" s="6" t="s">
        <v>378</v>
      </c>
      <c r="N520" s="35" t="s">
        <v>165</v>
      </c>
      <c r="O520" s="6" t="s">
        <v>277</v>
      </c>
      <c r="P520" s="6"/>
      <c r="Q520" s="27"/>
      <c r="R520" s="28" t="s">
        <v>272</v>
      </c>
      <c r="S520" s="6"/>
      <c r="T520" s="1">
        <v>11.883105000000002</v>
      </c>
      <c r="U520" s="1">
        <v>16.588950000000001</v>
      </c>
      <c r="V520" s="1">
        <v>16.588950000000001</v>
      </c>
      <c r="W520" s="1">
        <v>6.3196000000000003</v>
      </c>
      <c r="X520" s="1">
        <v>18.168850000000003</v>
      </c>
      <c r="Y520" s="1">
        <f t="shared" si="30"/>
        <v>13.909891000000002</v>
      </c>
      <c r="Z520" s="10" t="s">
        <v>168</v>
      </c>
      <c r="AA520" s="10" t="s">
        <v>168</v>
      </c>
      <c r="AB520" s="10" t="s">
        <v>168</v>
      </c>
      <c r="AC520" s="10" t="s">
        <v>168</v>
      </c>
      <c r="AD520" s="10" t="s">
        <v>168</v>
      </c>
      <c r="AE520" s="10" t="s">
        <v>168</v>
      </c>
      <c r="AF520" s="10" t="s">
        <v>168</v>
      </c>
      <c r="AG520" s="38">
        <f t="shared" si="31"/>
        <v>1</v>
      </c>
      <c r="AH520" s="51">
        <f t="shared" si="32"/>
        <v>13.909891000000002</v>
      </c>
      <c r="AI520" s="64">
        <v>1</v>
      </c>
      <c r="AJ520" s="1" t="s">
        <v>1357</v>
      </c>
      <c r="AK520" s="65">
        <f>34245.48/12</f>
        <v>2853.7900000000004</v>
      </c>
      <c r="AL520" s="1"/>
      <c r="AM520" s="1"/>
      <c r="AN520" s="81">
        <v>46174</v>
      </c>
      <c r="AO520" s="81" t="s">
        <v>180</v>
      </c>
    </row>
    <row r="521" spans="1:41" s="26" customFormat="1" hidden="1" x14ac:dyDescent="0.25">
      <c r="A521" s="19" t="s">
        <v>1358</v>
      </c>
      <c r="B521" s="21" t="s">
        <v>160</v>
      </c>
      <c r="C521" s="21">
        <v>0.7</v>
      </c>
      <c r="D521" s="23">
        <v>550</v>
      </c>
      <c r="E521" s="23">
        <v>740</v>
      </c>
      <c r="F521" s="23" t="s">
        <v>215</v>
      </c>
      <c r="G521" s="20" t="s">
        <v>1359</v>
      </c>
      <c r="H521" s="6"/>
      <c r="I521" s="6" t="s">
        <v>1306</v>
      </c>
      <c r="J521" s="6">
        <v>59</v>
      </c>
      <c r="K521" s="21">
        <v>3</v>
      </c>
      <c r="L521" s="21" t="s">
        <v>1301</v>
      </c>
      <c r="M521" s="6" t="s">
        <v>378</v>
      </c>
      <c r="N521" s="6" t="s">
        <v>331</v>
      </c>
      <c r="O521" s="6" t="s">
        <v>277</v>
      </c>
      <c r="P521" s="6"/>
      <c r="Q521" s="27"/>
      <c r="R521" s="28" t="s">
        <v>272</v>
      </c>
      <c r="S521" s="6"/>
      <c r="T521" s="1">
        <v>13.759039999999999</v>
      </c>
      <c r="U521" s="1">
        <v>14.121119999999999</v>
      </c>
      <c r="V521" s="1">
        <v>14.917695999999999</v>
      </c>
      <c r="W521" s="1">
        <v>10.645152</v>
      </c>
      <c r="X521" s="1">
        <v>16.076352</v>
      </c>
      <c r="Y521" s="1">
        <f t="shared" si="30"/>
        <v>13.903871999999998</v>
      </c>
      <c r="Z521" s="10" t="s">
        <v>168</v>
      </c>
      <c r="AA521" s="10" t="s">
        <v>168</v>
      </c>
      <c r="AB521" s="10" t="s">
        <v>168</v>
      </c>
      <c r="AC521" s="10" t="s">
        <v>168</v>
      </c>
      <c r="AD521" s="10" t="s">
        <v>168</v>
      </c>
      <c r="AE521" s="10" t="s">
        <v>168</v>
      </c>
      <c r="AF521" s="10" t="s">
        <v>168</v>
      </c>
      <c r="AG521" s="38">
        <f t="shared" si="31"/>
        <v>1</v>
      </c>
      <c r="AH521" s="51">
        <f t="shared" si="32"/>
        <v>13.903871999999998</v>
      </c>
      <c r="AI521" s="64"/>
      <c r="AJ521" s="1"/>
      <c r="AK521" s="65">
        <f>26601.63/12</f>
        <v>2216.8025000000002</v>
      </c>
      <c r="AL521" s="1"/>
      <c r="AM521" s="1"/>
      <c r="AN521" s="81">
        <v>46174</v>
      </c>
      <c r="AO521" s="81" t="s">
        <v>180</v>
      </c>
    </row>
    <row r="522" spans="1:41" s="26" customFormat="1" ht="22.5" hidden="1" x14ac:dyDescent="0.25">
      <c r="A522" s="19" t="s">
        <v>1360</v>
      </c>
      <c r="B522" s="21" t="s">
        <v>160</v>
      </c>
      <c r="C522" s="21">
        <v>0.7</v>
      </c>
      <c r="D522" s="23">
        <v>800</v>
      </c>
      <c r="E522" s="23">
        <v>920</v>
      </c>
      <c r="F522" s="77">
        <v>3.5000000000000003E-2</v>
      </c>
      <c r="G522" s="20" t="s">
        <v>1329</v>
      </c>
      <c r="H522" s="6"/>
      <c r="I522" s="6" t="s">
        <v>1311</v>
      </c>
      <c r="J522" s="6">
        <v>69</v>
      </c>
      <c r="K522" s="21">
        <v>4.5</v>
      </c>
      <c r="L522" s="21" t="s">
        <v>1301</v>
      </c>
      <c r="M522" s="6" t="s">
        <v>378</v>
      </c>
      <c r="N522" s="6" t="s">
        <v>331</v>
      </c>
      <c r="O522" s="6" t="s">
        <v>166</v>
      </c>
      <c r="P522" s="6"/>
      <c r="Q522" s="27"/>
      <c r="R522" s="28" t="s">
        <v>272</v>
      </c>
      <c r="S522" s="6"/>
      <c r="T522" s="1">
        <v>12.4542</v>
      </c>
      <c r="U522" s="1">
        <v>12.600720000000001</v>
      </c>
      <c r="V522" s="1">
        <v>13.479839999999999</v>
      </c>
      <c r="W522" s="1">
        <v>9.5238000000000014</v>
      </c>
      <c r="X522" s="1">
        <v>14.505480000000002</v>
      </c>
      <c r="Y522" s="1">
        <f t="shared" si="30"/>
        <v>12.512808000000001</v>
      </c>
      <c r="Z522" s="10" t="s">
        <v>168</v>
      </c>
      <c r="AA522" s="10" t="s">
        <v>168</v>
      </c>
      <c r="AB522" s="10" t="s">
        <v>168</v>
      </c>
      <c r="AC522" s="10" t="s">
        <v>168</v>
      </c>
      <c r="AD522" s="10" t="s">
        <v>168</v>
      </c>
      <c r="AE522" s="10" t="s">
        <v>168</v>
      </c>
      <c r="AF522" s="10" t="s">
        <v>168</v>
      </c>
      <c r="AG522" s="38">
        <f t="shared" si="31"/>
        <v>1</v>
      </c>
      <c r="AH522" s="51">
        <f t="shared" si="32"/>
        <v>12.512808000000001</v>
      </c>
      <c r="AI522" s="64">
        <v>2</v>
      </c>
      <c r="AJ522" s="62" t="s">
        <v>1361</v>
      </c>
      <c r="AK522" s="65">
        <f>1268.74833333333</f>
        <v>1268.74833333333</v>
      </c>
      <c r="AL522" s="1"/>
      <c r="AM522" s="1"/>
      <c r="AN522" s="81">
        <v>46235</v>
      </c>
      <c r="AO522" s="93"/>
    </row>
    <row r="523" spans="1:41" s="26" customFormat="1" hidden="1" x14ac:dyDescent="0.25">
      <c r="A523" s="19" t="s">
        <v>1362</v>
      </c>
      <c r="B523" s="21" t="s">
        <v>160</v>
      </c>
      <c r="C523" s="21">
        <v>1.5</v>
      </c>
      <c r="D523" s="23">
        <v>1150</v>
      </c>
      <c r="E523" s="23"/>
      <c r="F523" s="23"/>
      <c r="G523" s="20" t="s">
        <v>1363</v>
      </c>
      <c r="H523" s="6"/>
      <c r="I523" s="6" t="s">
        <v>1306</v>
      </c>
      <c r="J523" s="6">
        <v>59</v>
      </c>
      <c r="K523" s="21">
        <v>26</v>
      </c>
      <c r="L523" s="21" t="s">
        <v>39</v>
      </c>
      <c r="M523" s="6" t="s">
        <v>1364</v>
      </c>
      <c r="N523" s="6" t="s">
        <v>218</v>
      </c>
      <c r="O523" s="6"/>
      <c r="P523" s="6"/>
      <c r="Q523" s="27"/>
      <c r="R523" s="28" t="s">
        <v>272</v>
      </c>
      <c r="S523" s="6" t="s">
        <v>177</v>
      </c>
      <c r="T523" s="1">
        <v>6.4080000000000004</v>
      </c>
      <c r="U523" s="1">
        <v>11.505600000000001</v>
      </c>
      <c r="V523" s="1">
        <v>18.532799999999998</v>
      </c>
      <c r="W523" s="1">
        <v>12.142800000000001</v>
      </c>
      <c r="X523" s="1">
        <v>13.7448</v>
      </c>
      <c r="Y523" s="1">
        <f t="shared" si="30"/>
        <v>12.466799999999999</v>
      </c>
      <c r="Z523" s="10" t="s">
        <v>168</v>
      </c>
      <c r="AA523" s="10" t="s">
        <v>168</v>
      </c>
      <c r="AB523" s="10" t="s">
        <v>168</v>
      </c>
      <c r="AC523" s="10" t="s">
        <v>168</v>
      </c>
      <c r="AD523" s="10" t="s">
        <v>168</v>
      </c>
      <c r="AE523" s="10" t="s">
        <v>168</v>
      </c>
      <c r="AF523" s="10" t="s">
        <v>168</v>
      </c>
      <c r="AG523" s="38">
        <f t="shared" si="31"/>
        <v>1</v>
      </c>
      <c r="AH523" s="51">
        <f t="shared" si="32"/>
        <v>12.466799999999999</v>
      </c>
      <c r="AI523" s="64"/>
      <c r="AJ523" s="1"/>
      <c r="AK523" s="65">
        <f>0</f>
        <v>0</v>
      </c>
      <c r="AL523" s="1"/>
      <c r="AM523" s="1"/>
      <c r="AN523" s="81"/>
      <c r="AO523" s="81"/>
    </row>
    <row r="524" spans="1:41" s="26" customFormat="1" hidden="1" x14ac:dyDescent="0.25">
      <c r="A524" s="19" t="s">
        <v>1365</v>
      </c>
      <c r="B524" s="21" t="s">
        <v>160</v>
      </c>
      <c r="C524" s="21">
        <v>1.8</v>
      </c>
      <c r="D524" s="23">
        <v>300</v>
      </c>
      <c r="E524" s="23">
        <v>180</v>
      </c>
      <c r="F524" s="23" t="s">
        <v>1366</v>
      </c>
      <c r="G524" s="20" t="s">
        <v>1367</v>
      </c>
      <c r="H524" s="6"/>
      <c r="I524" s="6" t="s">
        <v>1311</v>
      </c>
      <c r="J524" s="6">
        <v>69</v>
      </c>
      <c r="K524" s="21">
        <v>1.7</v>
      </c>
      <c r="L524" s="21" t="s">
        <v>1301</v>
      </c>
      <c r="M524" s="6" t="s">
        <v>378</v>
      </c>
      <c r="N524" s="6" t="s">
        <v>1316</v>
      </c>
      <c r="O524" s="6"/>
      <c r="P524" s="6"/>
      <c r="Q524" s="27"/>
      <c r="R524" s="28" t="s">
        <v>272</v>
      </c>
      <c r="S524" s="6"/>
      <c r="T524" s="1">
        <v>12.129463199999998</v>
      </c>
      <c r="U524" s="1">
        <v>10.81875</v>
      </c>
      <c r="V524" s="1">
        <v>12.549749999999998</v>
      </c>
      <c r="W524" s="1">
        <v>10.962999999999999</v>
      </c>
      <c r="X524" s="1">
        <v>15.001999999999999</v>
      </c>
      <c r="Y524" s="1">
        <f t="shared" si="30"/>
        <v>12.292592639999999</v>
      </c>
      <c r="Z524" s="10" t="s">
        <v>168</v>
      </c>
      <c r="AA524" s="10" t="s">
        <v>168</v>
      </c>
      <c r="AB524" s="10" t="s">
        <v>168</v>
      </c>
      <c r="AC524" s="10" t="s">
        <v>168</v>
      </c>
      <c r="AD524" s="10" t="s">
        <v>168</v>
      </c>
      <c r="AE524" s="10" t="s">
        <v>168</v>
      </c>
      <c r="AF524" s="10" t="s">
        <v>168</v>
      </c>
      <c r="AG524" s="38">
        <f t="shared" si="31"/>
        <v>1</v>
      </c>
      <c r="AH524" s="51">
        <f t="shared" si="32"/>
        <v>12.292592639999999</v>
      </c>
      <c r="AI524" s="64">
        <v>1</v>
      </c>
      <c r="AJ524" s="1" t="s">
        <v>1368</v>
      </c>
      <c r="AK524" s="65">
        <f>8426.39/12</f>
        <v>702.19916666666666</v>
      </c>
      <c r="AL524" s="1"/>
      <c r="AM524" s="1"/>
      <c r="AN524" s="81">
        <v>46174</v>
      </c>
      <c r="AO524" s="81" t="s">
        <v>180</v>
      </c>
    </row>
    <row r="525" spans="1:41" s="26" customFormat="1" hidden="1" x14ac:dyDescent="0.25">
      <c r="A525" s="19" t="s">
        <v>1369</v>
      </c>
      <c r="B525" s="21" t="s">
        <v>172</v>
      </c>
      <c r="C525" s="21">
        <v>4</v>
      </c>
      <c r="D525" s="23">
        <v>1300</v>
      </c>
      <c r="E525" s="23"/>
      <c r="F525" s="23"/>
      <c r="G525" s="20" t="s">
        <v>1370</v>
      </c>
      <c r="H525" s="6"/>
      <c r="I525" s="6"/>
      <c r="J525" s="6">
        <v>120</v>
      </c>
      <c r="K525" s="21"/>
      <c r="L525" s="21" t="s">
        <v>1371</v>
      </c>
      <c r="M525" s="6" t="s">
        <v>378</v>
      </c>
      <c r="N525" s="6" t="s">
        <v>331</v>
      </c>
      <c r="O525" s="6"/>
      <c r="P525" s="6"/>
      <c r="Q525" s="27"/>
      <c r="R525" s="28" t="s">
        <v>272</v>
      </c>
      <c r="S525" s="6" t="s">
        <v>177</v>
      </c>
      <c r="T525" s="1">
        <v>10.699128</v>
      </c>
      <c r="U525" s="1">
        <v>11.822085</v>
      </c>
      <c r="V525" s="1">
        <v>12.461625</v>
      </c>
      <c r="W525" s="1">
        <v>8.8783200000000004</v>
      </c>
      <c r="X525" s="1">
        <v>13.439745</v>
      </c>
      <c r="Y525" s="1">
        <f t="shared" si="30"/>
        <v>11.460180600000001</v>
      </c>
      <c r="Z525" s="10" t="s">
        <v>168</v>
      </c>
      <c r="AA525" s="10" t="s">
        <v>168</v>
      </c>
      <c r="AB525" s="10" t="s">
        <v>168</v>
      </c>
      <c r="AC525" s="10" t="s">
        <v>168</v>
      </c>
      <c r="AD525" s="10" t="s">
        <v>168</v>
      </c>
      <c r="AE525" s="10" t="s">
        <v>168</v>
      </c>
      <c r="AF525" s="10" t="s">
        <v>168</v>
      </c>
      <c r="AG525" s="38">
        <f t="shared" si="31"/>
        <v>1</v>
      </c>
      <c r="AH525" s="51">
        <f t="shared" si="32"/>
        <v>11.460180600000001</v>
      </c>
      <c r="AI525" s="64"/>
      <c r="AJ525" s="1"/>
      <c r="AK525" s="65">
        <f>0</f>
        <v>0</v>
      </c>
      <c r="AL525" s="1"/>
      <c r="AM525" s="1"/>
      <c r="AN525" s="81"/>
      <c r="AO525" s="81"/>
    </row>
    <row r="526" spans="1:41" s="26" customFormat="1" hidden="1" x14ac:dyDescent="0.25">
      <c r="A526" s="19" t="s">
        <v>1372</v>
      </c>
      <c r="B526" s="21" t="s">
        <v>160</v>
      </c>
      <c r="C526" s="21">
        <v>1.65</v>
      </c>
      <c r="D526" s="23">
        <v>520</v>
      </c>
      <c r="E526" s="23">
        <v>248</v>
      </c>
      <c r="F526" s="23" t="s">
        <v>1366</v>
      </c>
      <c r="G526" s="20" t="s">
        <v>1373</v>
      </c>
      <c r="H526" s="6"/>
      <c r="I526" s="6" t="s">
        <v>1311</v>
      </c>
      <c r="J526" s="6">
        <v>69</v>
      </c>
      <c r="K526" s="21">
        <v>2</v>
      </c>
      <c r="L526" s="21" t="s">
        <v>1301</v>
      </c>
      <c r="M526" s="6" t="s">
        <v>378</v>
      </c>
      <c r="N526" s="6" t="s">
        <v>331</v>
      </c>
      <c r="O526" s="6" t="s">
        <v>277</v>
      </c>
      <c r="P526" s="6"/>
      <c r="Q526" s="27"/>
      <c r="R526" s="28" t="s">
        <v>272</v>
      </c>
      <c r="S526" s="6"/>
      <c r="T526" s="1">
        <v>9.8248799999999985</v>
      </c>
      <c r="U526" s="1">
        <v>11.46236</v>
      </c>
      <c r="V526" s="1">
        <v>11.46236</v>
      </c>
      <c r="W526" s="1">
        <v>8.1874000000000002</v>
      </c>
      <c r="X526" s="1">
        <v>12.2811</v>
      </c>
      <c r="Y526" s="1">
        <f t="shared" si="30"/>
        <v>10.64362</v>
      </c>
      <c r="Z526" s="10" t="s">
        <v>168</v>
      </c>
      <c r="AA526" s="10" t="s">
        <v>168</v>
      </c>
      <c r="AB526" s="10" t="s">
        <v>168</v>
      </c>
      <c r="AC526" s="10" t="s">
        <v>168</v>
      </c>
      <c r="AD526" s="10" t="s">
        <v>168</v>
      </c>
      <c r="AE526" s="10" t="s">
        <v>168</v>
      </c>
      <c r="AF526" s="10" t="s">
        <v>168</v>
      </c>
      <c r="AG526" s="38">
        <f t="shared" si="31"/>
        <v>1</v>
      </c>
      <c r="AH526" s="51">
        <f t="shared" si="32"/>
        <v>10.64362</v>
      </c>
      <c r="AI526" s="64">
        <v>1</v>
      </c>
      <c r="AJ526" s="1" t="s">
        <v>1374</v>
      </c>
      <c r="AK526" s="65">
        <f>20698.99/12</f>
        <v>1724.9158333333335</v>
      </c>
      <c r="AL526" s="1"/>
      <c r="AM526" s="1"/>
      <c r="AN526" s="81">
        <v>46174</v>
      </c>
      <c r="AO526" s="81" t="s">
        <v>180</v>
      </c>
    </row>
    <row r="527" spans="1:41" s="26" customFormat="1" hidden="1" x14ac:dyDescent="0.25">
      <c r="A527" s="19" t="s">
        <v>1375</v>
      </c>
      <c r="B527" s="21" t="s">
        <v>160</v>
      </c>
      <c r="C527" s="21">
        <v>1.2</v>
      </c>
      <c r="D527" s="23">
        <v>525</v>
      </c>
      <c r="E527" s="23">
        <v>140</v>
      </c>
      <c r="F527" s="23" t="s">
        <v>1376</v>
      </c>
      <c r="G527" s="20" t="s">
        <v>1310</v>
      </c>
      <c r="H527" s="6"/>
      <c r="I527" s="6" t="s">
        <v>1311</v>
      </c>
      <c r="J527" s="6">
        <v>69</v>
      </c>
      <c r="K527" s="21">
        <v>1.8</v>
      </c>
      <c r="L527" s="21" t="s">
        <v>1301</v>
      </c>
      <c r="M527" s="6" t="s">
        <v>378</v>
      </c>
      <c r="N527" s="6" t="s">
        <v>1316</v>
      </c>
      <c r="O527" s="6" t="s">
        <v>277</v>
      </c>
      <c r="P527" s="6"/>
      <c r="Q527" s="27"/>
      <c r="R527" s="28" t="s">
        <v>272</v>
      </c>
      <c r="S527" s="6"/>
      <c r="T527" s="1">
        <v>8.018203999999999</v>
      </c>
      <c r="U527" s="1">
        <v>9.0838839999999994</v>
      </c>
      <c r="V527" s="1">
        <v>9.5890439999999995</v>
      </c>
      <c r="W527" s="1">
        <v>10.13434</v>
      </c>
      <c r="X527" s="1">
        <v>11.996511999999999</v>
      </c>
      <c r="Y527" s="1">
        <f t="shared" si="30"/>
        <v>9.7643968000000001</v>
      </c>
      <c r="Z527" s="10" t="s">
        <v>168</v>
      </c>
      <c r="AA527" s="10" t="s">
        <v>168</v>
      </c>
      <c r="AB527" s="10" t="s">
        <v>168</v>
      </c>
      <c r="AC527" s="10" t="s">
        <v>168</v>
      </c>
      <c r="AD527" s="10" t="s">
        <v>168</v>
      </c>
      <c r="AE527" s="10" t="s">
        <v>168</v>
      </c>
      <c r="AF527" s="10" t="s">
        <v>168</v>
      </c>
      <c r="AG527" s="38">
        <f t="shared" si="31"/>
        <v>1</v>
      </c>
      <c r="AH527" s="51">
        <f t="shared" si="32"/>
        <v>9.7643968000000001</v>
      </c>
      <c r="AI527" s="64">
        <v>1</v>
      </c>
      <c r="AJ527" s="62" t="s">
        <v>1377</v>
      </c>
      <c r="AK527" s="65">
        <f>1060.15666666667+1161.48</f>
        <v>2221.63666666667</v>
      </c>
      <c r="AL527" s="1"/>
      <c r="AM527" s="1"/>
      <c r="AN527" s="81">
        <v>46174</v>
      </c>
      <c r="AO527" s="93"/>
    </row>
    <row r="528" spans="1:41" s="26" customFormat="1" hidden="1" x14ac:dyDescent="0.25">
      <c r="A528" s="19" t="s">
        <v>1378</v>
      </c>
      <c r="B528" s="21" t="s">
        <v>160</v>
      </c>
      <c r="C528" s="21">
        <v>1.2</v>
      </c>
      <c r="D528" s="23">
        <v>600</v>
      </c>
      <c r="E528" s="23">
        <v>115</v>
      </c>
      <c r="F528" s="23" t="s">
        <v>215</v>
      </c>
      <c r="G528" s="20" t="s">
        <v>916</v>
      </c>
      <c r="H528" s="6"/>
      <c r="I528" s="6" t="s">
        <v>1306</v>
      </c>
      <c r="J528" s="6">
        <v>59</v>
      </c>
      <c r="K528" s="21">
        <v>1.6</v>
      </c>
      <c r="L528" s="21" t="s">
        <v>1301</v>
      </c>
      <c r="M528" s="6" t="s">
        <v>378</v>
      </c>
      <c r="N528" s="6" t="s">
        <v>1316</v>
      </c>
      <c r="O528" s="6" t="s">
        <v>380</v>
      </c>
      <c r="P528" s="6"/>
      <c r="Q528" s="27"/>
      <c r="R528" s="28" t="s">
        <v>272</v>
      </c>
      <c r="S528" s="6"/>
      <c r="T528" s="1">
        <v>11.020800000000001</v>
      </c>
      <c r="U528" s="1">
        <v>6.8224000000000009</v>
      </c>
      <c r="V528" s="1">
        <v>8.9215999999999998</v>
      </c>
      <c r="W528" s="1">
        <v>5.7728000000000002</v>
      </c>
      <c r="X528" s="1">
        <v>8.9215999999999998</v>
      </c>
      <c r="Y528" s="1">
        <f t="shared" si="30"/>
        <v>8.2918399999999988</v>
      </c>
      <c r="Z528" s="10" t="s">
        <v>168</v>
      </c>
      <c r="AA528" s="10" t="s">
        <v>168</v>
      </c>
      <c r="AB528" s="10" t="s">
        <v>168</v>
      </c>
      <c r="AC528" s="10" t="s">
        <v>168</v>
      </c>
      <c r="AD528" s="10" t="s">
        <v>168</v>
      </c>
      <c r="AE528" s="10" t="s">
        <v>168</v>
      </c>
      <c r="AF528" s="10" t="s">
        <v>168</v>
      </c>
      <c r="AG528" s="38">
        <f t="shared" si="31"/>
        <v>1</v>
      </c>
      <c r="AH528" s="51">
        <f t="shared" si="32"/>
        <v>8.2918399999999988</v>
      </c>
      <c r="AI528" s="64">
        <v>1</v>
      </c>
      <c r="AJ528" s="1" t="s">
        <v>1379</v>
      </c>
      <c r="AK528" s="65">
        <f>5364.19/12</f>
        <v>447.01583333333332</v>
      </c>
      <c r="AL528" s="1"/>
      <c r="AM528" s="1"/>
      <c r="AN528" s="81">
        <v>46174</v>
      </c>
      <c r="AO528" s="81" t="s">
        <v>180</v>
      </c>
    </row>
    <row r="529" spans="1:41" s="26" customFormat="1" ht="22.5" hidden="1" x14ac:dyDescent="0.25">
      <c r="A529" s="19" t="s">
        <v>1380</v>
      </c>
      <c r="B529" s="21" t="s">
        <v>160</v>
      </c>
      <c r="C529" s="21">
        <v>1.5</v>
      </c>
      <c r="D529" s="23">
        <v>1100</v>
      </c>
      <c r="E529" s="23">
        <v>165</v>
      </c>
      <c r="F529" s="23" t="s">
        <v>215</v>
      </c>
      <c r="G529" s="20" t="s">
        <v>1363</v>
      </c>
      <c r="H529" s="6"/>
      <c r="I529" s="6" t="s">
        <v>1306</v>
      </c>
      <c r="J529" s="6">
        <v>59</v>
      </c>
      <c r="K529" s="21">
        <v>24</v>
      </c>
      <c r="L529" s="21" t="s">
        <v>39</v>
      </c>
      <c r="M529" s="6" t="s">
        <v>338</v>
      </c>
      <c r="N529" s="6" t="s">
        <v>218</v>
      </c>
      <c r="O529" s="6" t="s">
        <v>380</v>
      </c>
      <c r="P529" s="6"/>
      <c r="Q529" s="27"/>
      <c r="R529" s="28" t="s">
        <v>272</v>
      </c>
      <c r="S529" s="6" t="s">
        <v>177</v>
      </c>
      <c r="T529" s="1">
        <v>4.7143199999999998</v>
      </c>
      <c r="U529" s="1">
        <v>8.9044799999999995</v>
      </c>
      <c r="V529" s="1">
        <v>8.9044799999999995</v>
      </c>
      <c r="W529" s="1">
        <v>7.8093600000000007</v>
      </c>
      <c r="X529" s="1">
        <v>8.9044799999999995</v>
      </c>
      <c r="Y529" s="1">
        <f t="shared" si="30"/>
        <v>7.8474240000000011</v>
      </c>
      <c r="Z529" s="10" t="s">
        <v>168</v>
      </c>
      <c r="AA529" s="10" t="s">
        <v>168</v>
      </c>
      <c r="AB529" s="10" t="s">
        <v>168</v>
      </c>
      <c r="AC529" s="10" t="s">
        <v>168</v>
      </c>
      <c r="AD529" s="10" t="s">
        <v>168</v>
      </c>
      <c r="AE529" s="10" t="s">
        <v>168</v>
      </c>
      <c r="AF529" s="10" t="s">
        <v>168</v>
      </c>
      <c r="AG529" s="38">
        <f t="shared" si="31"/>
        <v>1</v>
      </c>
      <c r="AH529" s="51">
        <f t="shared" si="32"/>
        <v>7.8474240000000011</v>
      </c>
      <c r="AI529" s="64">
        <v>2</v>
      </c>
      <c r="AJ529" s="62" t="s">
        <v>1381</v>
      </c>
      <c r="AK529" s="65">
        <v>2016.19</v>
      </c>
      <c r="AL529" s="1"/>
      <c r="AM529" s="1"/>
      <c r="AN529" s="81">
        <v>46174</v>
      </c>
      <c r="AO529" s="81" t="s">
        <v>180</v>
      </c>
    </row>
    <row r="530" spans="1:41" s="26" customFormat="1" hidden="1" x14ac:dyDescent="0.25">
      <c r="A530" s="19" t="s">
        <v>915</v>
      </c>
      <c r="B530" s="21" t="s">
        <v>160</v>
      </c>
      <c r="C530" s="21">
        <v>1.2</v>
      </c>
      <c r="D530" s="23">
        <v>550</v>
      </c>
      <c r="E530" s="23"/>
      <c r="F530" s="23"/>
      <c r="G530" s="20" t="s">
        <v>1382</v>
      </c>
      <c r="H530" s="6"/>
      <c r="I530" s="6" t="s">
        <v>1311</v>
      </c>
      <c r="J530" s="6">
        <v>60</v>
      </c>
      <c r="K530" s="21"/>
      <c r="L530" s="21" t="s">
        <v>1301</v>
      </c>
      <c r="M530" s="6" t="s">
        <v>378</v>
      </c>
      <c r="N530" s="6" t="s">
        <v>331</v>
      </c>
      <c r="O530" s="6"/>
      <c r="P530" s="6"/>
      <c r="Q530" s="27"/>
      <c r="R530" s="28" t="s">
        <v>272</v>
      </c>
      <c r="S530" s="6"/>
      <c r="T530" s="1">
        <v>7.8249599999999999</v>
      </c>
      <c r="U530" s="1">
        <v>7.8249599999999999</v>
      </c>
      <c r="V530" s="1">
        <v>8.4268799999999988</v>
      </c>
      <c r="W530" s="1">
        <v>6.0191999999999997</v>
      </c>
      <c r="X530" s="1">
        <v>9.0287999999999986</v>
      </c>
      <c r="Y530" s="1">
        <f t="shared" si="30"/>
        <v>7.824959999999999</v>
      </c>
      <c r="Z530" s="10" t="s">
        <v>168</v>
      </c>
      <c r="AA530" s="10" t="s">
        <v>168</v>
      </c>
      <c r="AB530" s="10" t="s">
        <v>168</v>
      </c>
      <c r="AC530" s="10" t="s">
        <v>168</v>
      </c>
      <c r="AD530" s="10" t="s">
        <v>168</v>
      </c>
      <c r="AE530" s="10" t="s">
        <v>168</v>
      </c>
      <c r="AF530" s="10" t="s">
        <v>168</v>
      </c>
      <c r="AG530" s="38">
        <f t="shared" si="31"/>
        <v>1</v>
      </c>
      <c r="AH530" s="51">
        <f t="shared" si="32"/>
        <v>7.824959999999999</v>
      </c>
      <c r="AI530" s="64"/>
      <c r="AJ530" s="1"/>
      <c r="AK530" s="65">
        <v>0</v>
      </c>
      <c r="AL530" s="1"/>
      <c r="AM530" s="1"/>
      <c r="AN530" s="81"/>
      <c r="AO530" s="81"/>
    </row>
    <row r="531" spans="1:41" s="26" customFormat="1" hidden="1" x14ac:dyDescent="0.25">
      <c r="A531" s="19" t="s">
        <v>1383</v>
      </c>
      <c r="B531" s="21" t="s">
        <v>160</v>
      </c>
      <c r="C531" s="21">
        <v>1.2</v>
      </c>
      <c r="D531" s="23">
        <v>375</v>
      </c>
      <c r="E531" s="23">
        <v>183</v>
      </c>
      <c r="F531" s="23" t="s">
        <v>1376</v>
      </c>
      <c r="G531" s="20" t="s">
        <v>1384</v>
      </c>
      <c r="H531" s="6"/>
      <c r="I531" s="6" t="s">
        <v>1311</v>
      </c>
      <c r="J531" s="6">
        <v>60</v>
      </c>
      <c r="K531" s="21"/>
      <c r="L531" s="21" t="s">
        <v>51</v>
      </c>
      <c r="M531" s="6" t="s">
        <v>378</v>
      </c>
      <c r="N531" s="6">
        <v>246</v>
      </c>
      <c r="O531" s="6" t="s">
        <v>277</v>
      </c>
      <c r="P531" s="6"/>
      <c r="Q531" s="27"/>
      <c r="R531" s="28" t="s">
        <v>272</v>
      </c>
      <c r="S531" s="6"/>
      <c r="T531" s="1">
        <v>7.626240000000001</v>
      </c>
      <c r="U531" s="1">
        <v>6.0374400000000001</v>
      </c>
      <c r="V531" s="1">
        <v>7.944</v>
      </c>
      <c r="W531" s="1">
        <v>6.0374400000000001</v>
      </c>
      <c r="X531" s="1">
        <v>6.3552000000000008</v>
      </c>
      <c r="Y531" s="1">
        <f t="shared" si="30"/>
        <v>6.8000640000000008</v>
      </c>
      <c r="Z531" s="10" t="s">
        <v>168</v>
      </c>
      <c r="AA531" s="10" t="s">
        <v>168</v>
      </c>
      <c r="AB531" s="10" t="s">
        <v>168</v>
      </c>
      <c r="AC531" s="10" t="s">
        <v>168</v>
      </c>
      <c r="AD531" s="10" t="s">
        <v>168</v>
      </c>
      <c r="AE531" s="10" t="s">
        <v>168</v>
      </c>
      <c r="AF531" s="10" t="s">
        <v>168</v>
      </c>
      <c r="AG531" s="38">
        <f t="shared" si="31"/>
        <v>1</v>
      </c>
      <c r="AH531" s="51">
        <f t="shared" si="32"/>
        <v>6.8000640000000008</v>
      </c>
      <c r="AI531" s="64">
        <v>1</v>
      </c>
      <c r="AJ531" s="1" t="s">
        <v>1385</v>
      </c>
      <c r="AK531" s="65">
        <f>6829.6/12</f>
        <v>569.13333333333333</v>
      </c>
      <c r="AL531" s="1"/>
      <c r="AM531" s="1"/>
      <c r="AN531" s="81">
        <v>46174</v>
      </c>
      <c r="AO531" s="81" t="s">
        <v>180</v>
      </c>
    </row>
    <row r="532" spans="1:41" s="26" customFormat="1" hidden="1" x14ac:dyDescent="0.25">
      <c r="A532" s="19" t="s">
        <v>1386</v>
      </c>
      <c r="B532" s="21" t="s">
        <v>172</v>
      </c>
      <c r="C532" s="21">
        <v>3</v>
      </c>
      <c r="D532" s="23">
        <v>1050</v>
      </c>
      <c r="E532" s="23"/>
      <c r="F532" s="23"/>
      <c r="G532" s="20" t="s">
        <v>1387</v>
      </c>
      <c r="H532" s="6"/>
      <c r="I532" s="6" t="s">
        <v>1306</v>
      </c>
      <c r="J532" s="6">
        <v>59</v>
      </c>
      <c r="K532" s="21">
        <v>20</v>
      </c>
      <c r="L532" s="21" t="s">
        <v>39</v>
      </c>
      <c r="M532" s="6" t="s">
        <v>338</v>
      </c>
      <c r="N532" s="6" t="s">
        <v>218</v>
      </c>
      <c r="O532" s="6"/>
      <c r="P532" s="6"/>
      <c r="Q532" s="27"/>
      <c r="R532" s="28" t="s">
        <v>272</v>
      </c>
      <c r="S532" s="6" t="s">
        <v>177</v>
      </c>
      <c r="T532" s="1">
        <v>5.1520320000000002</v>
      </c>
      <c r="U532" s="1">
        <v>6.689951999999999</v>
      </c>
      <c r="V532" s="1">
        <v>6.689951999999999</v>
      </c>
      <c r="W532" s="1">
        <v>8.7732639999999993</v>
      </c>
      <c r="X532" s="1">
        <v>5.205076</v>
      </c>
      <c r="Y532" s="1">
        <f t="shared" si="30"/>
        <v>6.5020551999999991</v>
      </c>
      <c r="Z532" s="10" t="s">
        <v>168</v>
      </c>
      <c r="AA532" s="10" t="s">
        <v>168</v>
      </c>
      <c r="AB532" s="10" t="s">
        <v>168</v>
      </c>
      <c r="AC532" s="10" t="s">
        <v>168</v>
      </c>
      <c r="AD532" s="10" t="s">
        <v>168</v>
      </c>
      <c r="AE532" s="10" t="s">
        <v>168</v>
      </c>
      <c r="AF532" s="10" t="s">
        <v>168</v>
      </c>
      <c r="AG532" s="38">
        <f t="shared" si="31"/>
        <v>1</v>
      </c>
      <c r="AH532" s="51">
        <f t="shared" si="32"/>
        <v>6.5020551999999991</v>
      </c>
      <c r="AI532" s="64"/>
      <c r="AJ532" s="1"/>
      <c r="AK532" s="65">
        <v>0</v>
      </c>
      <c r="AL532" s="1"/>
      <c r="AM532" s="1"/>
      <c r="AN532" s="81"/>
      <c r="AO532" s="81"/>
    </row>
    <row r="533" spans="1:41" s="26" customFormat="1" hidden="1" x14ac:dyDescent="0.25">
      <c r="A533" s="19" t="s">
        <v>1388</v>
      </c>
      <c r="B533" s="21" t="s">
        <v>160</v>
      </c>
      <c r="C533" s="21">
        <v>1.2</v>
      </c>
      <c r="D533" s="23">
        <v>1150</v>
      </c>
      <c r="E533" s="23"/>
      <c r="F533" s="23"/>
      <c r="G533" s="20" t="s">
        <v>1363</v>
      </c>
      <c r="H533" s="6"/>
      <c r="I533" s="6" t="s">
        <v>1311</v>
      </c>
      <c r="J533" s="6">
        <v>69</v>
      </c>
      <c r="K533" s="21">
        <v>26</v>
      </c>
      <c r="L533" s="21" t="s">
        <v>39</v>
      </c>
      <c r="M533" s="6" t="s">
        <v>1364</v>
      </c>
      <c r="N533" s="6" t="s">
        <v>1389</v>
      </c>
      <c r="O533" s="6"/>
      <c r="P533" s="6"/>
      <c r="Q533" s="27"/>
      <c r="R533" s="28" t="s">
        <v>272</v>
      </c>
      <c r="S533" s="6" t="s">
        <v>177</v>
      </c>
      <c r="T533" s="1">
        <v>1.8766799999999999</v>
      </c>
      <c r="U533" s="1">
        <v>6.4300800000000002</v>
      </c>
      <c r="V533" s="1">
        <v>11.204880000000001</v>
      </c>
      <c r="W533" s="1">
        <v>5.8783199999999995</v>
      </c>
      <c r="X533" s="1">
        <v>6.8863199999999996</v>
      </c>
      <c r="Y533" s="1">
        <f t="shared" si="30"/>
        <v>6.4552560000000003</v>
      </c>
      <c r="Z533" s="10" t="s">
        <v>168</v>
      </c>
      <c r="AA533" s="10" t="s">
        <v>168</v>
      </c>
      <c r="AB533" s="10" t="s">
        <v>168</v>
      </c>
      <c r="AC533" s="10" t="s">
        <v>168</v>
      </c>
      <c r="AD533" s="10" t="s">
        <v>168</v>
      </c>
      <c r="AE533" s="10" t="s">
        <v>168</v>
      </c>
      <c r="AF533" s="10" t="s">
        <v>168</v>
      </c>
      <c r="AG533" s="38">
        <f t="shared" si="31"/>
        <v>1</v>
      </c>
      <c r="AH533" s="51">
        <f t="shared" si="32"/>
        <v>6.4552560000000003</v>
      </c>
      <c r="AI533" s="64"/>
      <c r="AJ533" s="1"/>
      <c r="AK533" s="65">
        <v>0</v>
      </c>
      <c r="AL533" s="1"/>
      <c r="AM533" s="1"/>
      <c r="AN533" s="81"/>
      <c r="AO533" s="81"/>
    </row>
    <row r="534" spans="1:41" s="26" customFormat="1" hidden="1" x14ac:dyDescent="0.25">
      <c r="A534" s="19" t="s">
        <v>1390</v>
      </c>
      <c r="B534" s="21" t="s">
        <v>197</v>
      </c>
      <c r="C534" s="21">
        <v>2.5</v>
      </c>
      <c r="D534" s="23">
        <v>525</v>
      </c>
      <c r="E534" s="23">
        <v>97</v>
      </c>
      <c r="F534" s="23" t="s">
        <v>1391</v>
      </c>
      <c r="G534" s="20" t="s">
        <v>1392</v>
      </c>
      <c r="H534" s="6"/>
      <c r="I534" s="6" t="s">
        <v>1311</v>
      </c>
      <c r="J534" s="6">
        <v>69</v>
      </c>
      <c r="K534" s="21">
        <v>2</v>
      </c>
      <c r="L534" s="21" t="s">
        <v>1301</v>
      </c>
      <c r="M534" s="6" t="s">
        <v>378</v>
      </c>
      <c r="N534" s="6" t="s">
        <v>331</v>
      </c>
      <c r="O534" s="6" t="s">
        <v>277</v>
      </c>
      <c r="P534" s="6"/>
      <c r="Q534" s="27"/>
      <c r="R534" s="28" t="s">
        <v>272</v>
      </c>
      <c r="S534" s="6"/>
      <c r="T534" s="1">
        <v>6.1440000000000001</v>
      </c>
      <c r="U534" s="1">
        <v>6.1440000000000001</v>
      </c>
      <c r="V534" s="1">
        <v>7.3727999999999998</v>
      </c>
      <c r="W534" s="1">
        <v>4.9151999999999996</v>
      </c>
      <c r="X534" s="1">
        <v>7.3727999999999998</v>
      </c>
      <c r="Y534" s="1">
        <f t="shared" si="30"/>
        <v>6.3897599999999999</v>
      </c>
      <c r="Z534" s="10" t="s">
        <v>168</v>
      </c>
      <c r="AA534" s="10" t="s">
        <v>168</v>
      </c>
      <c r="AB534" s="10" t="s">
        <v>168</v>
      </c>
      <c r="AC534" s="10" t="s">
        <v>168</v>
      </c>
      <c r="AD534" s="10" t="s">
        <v>168</v>
      </c>
      <c r="AE534" s="10" t="s">
        <v>168</v>
      </c>
      <c r="AF534" s="10" t="s">
        <v>168</v>
      </c>
      <c r="AG534" s="38">
        <f t="shared" si="31"/>
        <v>1</v>
      </c>
      <c r="AH534" s="51">
        <f t="shared" si="32"/>
        <v>6.3897599999999999</v>
      </c>
      <c r="AI534" s="64">
        <v>1</v>
      </c>
      <c r="AJ534" s="1" t="s">
        <v>1393</v>
      </c>
      <c r="AK534" s="65">
        <f>9529.58/12</f>
        <v>794.13166666666666</v>
      </c>
      <c r="AL534" s="1"/>
      <c r="AM534" s="1"/>
      <c r="AN534" s="81">
        <v>46174</v>
      </c>
      <c r="AO534" s="81" t="s">
        <v>180</v>
      </c>
    </row>
    <row r="535" spans="1:41" s="26" customFormat="1" hidden="1" x14ac:dyDescent="0.25">
      <c r="A535" s="19" t="s">
        <v>1394</v>
      </c>
      <c r="B535" s="21" t="s">
        <v>160</v>
      </c>
      <c r="C535" s="21">
        <v>1.2</v>
      </c>
      <c r="D535" s="23">
        <v>467</v>
      </c>
      <c r="E535" s="23">
        <v>130</v>
      </c>
      <c r="F535" s="23" t="s">
        <v>1376</v>
      </c>
      <c r="G535" s="20" t="s">
        <v>1384</v>
      </c>
      <c r="H535" s="6"/>
      <c r="I535" s="6" t="s">
        <v>1311</v>
      </c>
      <c r="J535" s="6">
        <v>60</v>
      </c>
      <c r="K535" s="21"/>
      <c r="L535" s="21" t="s">
        <v>51</v>
      </c>
      <c r="M535" s="6" t="s">
        <v>378</v>
      </c>
      <c r="N535" s="6">
        <v>246</v>
      </c>
      <c r="O535" s="6" t="s">
        <v>277</v>
      </c>
      <c r="P535" s="6"/>
      <c r="Q535" s="27"/>
      <c r="R535" s="28" t="s">
        <v>272</v>
      </c>
      <c r="S535" s="6"/>
      <c r="T535" s="1">
        <v>6.8207999999999993</v>
      </c>
      <c r="U535" s="1">
        <v>5.3591999999999995</v>
      </c>
      <c r="V535" s="1">
        <v>6.8207999999999993</v>
      </c>
      <c r="W535" s="1">
        <v>5.3591999999999995</v>
      </c>
      <c r="X535" s="1">
        <v>5.3591999999999995</v>
      </c>
      <c r="Y535" s="1">
        <f t="shared" si="30"/>
        <v>5.9438399999999998</v>
      </c>
      <c r="Z535" s="10" t="s">
        <v>168</v>
      </c>
      <c r="AA535" s="10" t="s">
        <v>168</v>
      </c>
      <c r="AB535" s="10" t="s">
        <v>168</v>
      </c>
      <c r="AC535" s="10" t="s">
        <v>168</v>
      </c>
      <c r="AD535" s="10" t="s">
        <v>168</v>
      </c>
      <c r="AE535" s="10" t="s">
        <v>168</v>
      </c>
      <c r="AF535" s="10" t="s">
        <v>168</v>
      </c>
      <c r="AG535" s="38">
        <f t="shared" si="31"/>
        <v>1</v>
      </c>
      <c r="AH535" s="51">
        <f t="shared" si="32"/>
        <v>5.9438399999999998</v>
      </c>
      <c r="AI535" s="64">
        <v>1</v>
      </c>
      <c r="AJ535" s="1">
        <f>6072.26/12</f>
        <v>506.0216666666667</v>
      </c>
      <c r="AK535" s="65">
        <v>0</v>
      </c>
      <c r="AL535" s="1"/>
      <c r="AM535" s="1"/>
      <c r="AN535" s="81"/>
      <c r="AO535" s="81"/>
    </row>
    <row r="536" spans="1:41" s="26" customFormat="1" hidden="1" x14ac:dyDescent="0.25">
      <c r="A536" s="19" t="s">
        <v>1395</v>
      </c>
      <c r="B536" s="21" t="s">
        <v>197</v>
      </c>
      <c r="C536" s="21">
        <v>2.5</v>
      </c>
      <c r="D536" s="23">
        <v>1000</v>
      </c>
      <c r="E536" s="23"/>
      <c r="F536" s="23" t="s">
        <v>1391</v>
      </c>
      <c r="G536" s="20" t="s">
        <v>1396</v>
      </c>
      <c r="H536" s="6"/>
      <c r="I536" s="6" t="s">
        <v>1311</v>
      </c>
      <c r="J536" s="6">
        <v>69</v>
      </c>
      <c r="K536" s="21">
        <v>1.7</v>
      </c>
      <c r="L536" s="21" t="s">
        <v>1301</v>
      </c>
      <c r="M536" s="6" t="s">
        <v>378</v>
      </c>
      <c r="N536" s="6" t="s">
        <v>331</v>
      </c>
      <c r="O536" s="6"/>
      <c r="P536" s="6"/>
      <c r="Q536" s="27"/>
      <c r="R536" s="28" t="s">
        <v>272</v>
      </c>
      <c r="S536" s="6"/>
      <c r="T536" s="1">
        <v>4.5359999999999996</v>
      </c>
      <c r="U536" s="1">
        <v>6.8040000000000003</v>
      </c>
      <c r="V536" s="1">
        <v>5.67</v>
      </c>
      <c r="W536" s="1">
        <v>4.5359999999999996</v>
      </c>
      <c r="X536" s="1">
        <v>6.8040000000000003</v>
      </c>
      <c r="Y536" s="1">
        <f t="shared" si="30"/>
        <v>5.67</v>
      </c>
      <c r="Z536" s="10" t="s">
        <v>168</v>
      </c>
      <c r="AA536" s="10" t="s">
        <v>168</v>
      </c>
      <c r="AB536" s="10" t="s">
        <v>168</v>
      </c>
      <c r="AC536" s="10" t="s">
        <v>168</v>
      </c>
      <c r="AD536" s="10" t="s">
        <v>168</v>
      </c>
      <c r="AE536" s="10" t="s">
        <v>168</v>
      </c>
      <c r="AF536" s="10" t="s">
        <v>168</v>
      </c>
      <c r="AG536" s="38">
        <f t="shared" si="31"/>
        <v>1</v>
      </c>
      <c r="AH536" s="51">
        <f t="shared" si="32"/>
        <v>5.67</v>
      </c>
      <c r="AI536" s="64"/>
      <c r="AJ536" s="1"/>
      <c r="AK536" s="65">
        <v>0</v>
      </c>
      <c r="AL536" s="1"/>
      <c r="AM536" s="1"/>
      <c r="AN536" s="81"/>
      <c r="AO536" s="81"/>
    </row>
    <row r="537" spans="1:41" s="26" customFormat="1" hidden="1" x14ac:dyDescent="0.25">
      <c r="A537" s="19" t="s">
        <v>926</v>
      </c>
      <c r="B537" s="21" t="s">
        <v>197</v>
      </c>
      <c r="C537" s="21">
        <v>0.75</v>
      </c>
      <c r="D537" s="23">
        <v>500</v>
      </c>
      <c r="E537" s="23">
        <v>325</v>
      </c>
      <c r="F537" s="23" t="s">
        <v>215</v>
      </c>
      <c r="G537" s="20" t="s">
        <v>1397</v>
      </c>
      <c r="H537" s="6"/>
      <c r="I537" s="6" t="s">
        <v>1306</v>
      </c>
      <c r="J537" s="6">
        <v>59</v>
      </c>
      <c r="K537" s="21">
        <v>5</v>
      </c>
      <c r="L537" s="21" t="s">
        <v>1301</v>
      </c>
      <c r="M537" s="6" t="s">
        <v>378</v>
      </c>
      <c r="N537" s="6" t="s">
        <v>331</v>
      </c>
      <c r="O537" s="6"/>
      <c r="P537" s="6"/>
      <c r="Q537" s="27"/>
      <c r="R537" s="28" t="s">
        <v>272</v>
      </c>
      <c r="S537" s="6"/>
      <c r="T537" s="1">
        <v>5.4259199999999996</v>
      </c>
      <c r="U537" s="1">
        <v>5.4259199999999996</v>
      </c>
      <c r="V537" s="1">
        <v>6.3302399999999999</v>
      </c>
      <c r="W537" s="1">
        <v>4.5215999999999994</v>
      </c>
      <c r="X537" s="1">
        <v>6.3302399999999999</v>
      </c>
      <c r="Y537" s="1">
        <f t="shared" si="30"/>
        <v>5.6067839999999993</v>
      </c>
      <c r="Z537" s="10" t="s">
        <v>168</v>
      </c>
      <c r="AA537" s="10" t="s">
        <v>168</v>
      </c>
      <c r="AB537" s="10" t="s">
        <v>168</v>
      </c>
      <c r="AC537" s="10" t="s">
        <v>168</v>
      </c>
      <c r="AD537" s="10" t="s">
        <v>168</v>
      </c>
      <c r="AE537" s="10" t="s">
        <v>168</v>
      </c>
      <c r="AF537" s="10" t="s">
        <v>168</v>
      </c>
      <c r="AG537" s="38">
        <f t="shared" si="31"/>
        <v>1</v>
      </c>
      <c r="AH537" s="51">
        <f t="shared" si="32"/>
        <v>5.6067839999999993</v>
      </c>
      <c r="AI537" s="64">
        <v>1</v>
      </c>
      <c r="AJ537" s="1" t="s">
        <v>1398</v>
      </c>
      <c r="AK537" s="65">
        <f>10239.63/12</f>
        <v>853.3024999999999</v>
      </c>
      <c r="AL537" s="1"/>
      <c r="AM537" s="1"/>
      <c r="AN537" s="81">
        <v>46174</v>
      </c>
      <c r="AO537" s="81" t="s">
        <v>180</v>
      </c>
    </row>
    <row r="538" spans="1:41" s="26" customFormat="1" hidden="1" x14ac:dyDescent="0.25">
      <c r="A538" s="19" t="s">
        <v>1399</v>
      </c>
      <c r="B538" s="21" t="s">
        <v>160</v>
      </c>
      <c r="C538" s="21">
        <v>0.7</v>
      </c>
      <c r="D538" s="23">
        <v>750</v>
      </c>
      <c r="E538" s="23">
        <v>241</v>
      </c>
      <c r="F538" s="23" t="s">
        <v>215</v>
      </c>
      <c r="G538" s="20" t="s">
        <v>1359</v>
      </c>
      <c r="H538" s="6"/>
      <c r="I538" s="6" t="s">
        <v>1311</v>
      </c>
      <c r="J538" s="6">
        <v>60</v>
      </c>
      <c r="K538" s="21"/>
      <c r="L538" s="21" t="s">
        <v>51</v>
      </c>
      <c r="M538" s="6" t="s">
        <v>378</v>
      </c>
      <c r="N538" s="6">
        <v>246</v>
      </c>
      <c r="O538" s="6" t="s">
        <v>277</v>
      </c>
      <c r="P538" s="6"/>
      <c r="Q538" s="27"/>
      <c r="R538" s="28" t="s">
        <v>272</v>
      </c>
      <c r="S538" s="6"/>
      <c r="T538" s="1">
        <v>5.7415200000000004</v>
      </c>
      <c r="U538" s="1">
        <v>4.6217199999999998</v>
      </c>
      <c r="V538" s="1">
        <v>6.0571000000000002</v>
      </c>
      <c r="W538" s="1">
        <v>4.6217199999999998</v>
      </c>
      <c r="X538" s="1">
        <v>4.7744200000000001</v>
      </c>
      <c r="Y538" s="1">
        <f t="shared" si="30"/>
        <v>5.1632960000000008</v>
      </c>
      <c r="Z538" s="10" t="s">
        <v>168</v>
      </c>
      <c r="AA538" s="10" t="s">
        <v>168</v>
      </c>
      <c r="AB538" s="10" t="s">
        <v>168</v>
      </c>
      <c r="AC538" s="10" t="s">
        <v>168</v>
      </c>
      <c r="AD538" s="10" t="s">
        <v>168</v>
      </c>
      <c r="AE538" s="10" t="s">
        <v>168</v>
      </c>
      <c r="AF538" s="10" t="s">
        <v>168</v>
      </c>
      <c r="AG538" s="38">
        <f t="shared" si="31"/>
        <v>1</v>
      </c>
      <c r="AH538" s="51">
        <f t="shared" si="32"/>
        <v>5.1632960000000008</v>
      </c>
      <c r="AI538" s="64">
        <v>1</v>
      </c>
      <c r="AJ538" s="1" t="s">
        <v>1400</v>
      </c>
      <c r="AK538" s="65">
        <f>25247/12</f>
        <v>2103.9166666666665</v>
      </c>
      <c r="AL538" s="1"/>
      <c r="AM538" s="1"/>
      <c r="AN538" s="81">
        <v>46174</v>
      </c>
      <c r="AO538" s="81" t="s">
        <v>180</v>
      </c>
    </row>
    <row r="539" spans="1:41" s="26" customFormat="1" hidden="1" x14ac:dyDescent="0.25">
      <c r="A539" s="19" t="s">
        <v>1401</v>
      </c>
      <c r="B539" s="21" t="s">
        <v>160</v>
      </c>
      <c r="C539" s="21">
        <v>0.8</v>
      </c>
      <c r="D539" s="23">
        <v>350</v>
      </c>
      <c r="E539" s="23">
        <v>180</v>
      </c>
      <c r="F539" s="23" t="s">
        <v>215</v>
      </c>
      <c r="G539" s="20" t="s">
        <v>1402</v>
      </c>
      <c r="H539" s="6"/>
      <c r="I539" s="6" t="s">
        <v>1311</v>
      </c>
      <c r="J539" s="6">
        <v>69</v>
      </c>
      <c r="K539" s="21">
        <v>2</v>
      </c>
      <c r="L539" s="21" t="s">
        <v>1301</v>
      </c>
      <c r="M539" s="6" t="s">
        <v>378</v>
      </c>
      <c r="N539" s="6" t="s">
        <v>1316</v>
      </c>
      <c r="O539" s="6" t="s">
        <v>277</v>
      </c>
      <c r="P539" s="6"/>
      <c r="Q539" s="27"/>
      <c r="R539" s="28" t="s">
        <v>272</v>
      </c>
      <c r="S539" s="6"/>
      <c r="T539" s="1">
        <v>4.42</v>
      </c>
      <c r="U539" s="1">
        <v>4.8620000000000001</v>
      </c>
      <c r="V539" s="1">
        <v>5.7460000000000004</v>
      </c>
      <c r="W539" s="1">
        <v>4.42</v>
      </c>
      <c r="X539" s="1">
        <v>5.7460000000000004</v>
      </c>
      <c r="Y539" s="1">
        <f t="shared" si="30"/>
        <v>5.0388000000000002</v>
      </c>
      <c r="Z539" s="10" t="s">
        <v>168</v>
      </c>
      <c r="AA539" s="10" t="s">
        <v>168</v>
      </c>
      <c r="AB539" s="10" t="s">
        <v>168</v>
      </c>
      <c r="AC539" s="10" t="s">
        <v>168</v>
      </c>
      <c r="AD539" s="10" t="s">
        <v>168</v>
      </c>
      <c r="AE539" s="10" t="s">
        <v>168</v>
      </c>
      <c r="AF539" s="10" t="s">
        <v>168</v>
      </c>
      <c r="AG539" s="38">
        <f t="shared" si="31"/>
        <v>1</v>
      </c>
      <c r="AH539" s="51">
        <f t="shared" si="32"/>
        <v>5.0388000000000002</v>
      </c>
      <c r="AI539" s="64">
        <v>1</v>
      </c>
      <c r="AJ539" s="1" t="s">
        <v>1403</v>
      </c>
      <c r="AK539" s="65">
        <f>8902.03/12</f>
        <v>741.83583333333343</v>
      </c>
      <c r="AL539" s="1"/>
      <c r="AM539" s="1"/>
      <c r="AN539" s="81">
        <v>46174</v>
      </c>
      <c r="AO539" s="81" t="s">
        <v>180</v>
      </c>
    </row>
    <row r="540" spans="1:41" s="26" customFormat="1" hidden="1" x14ac:dyDescent="0.25">
      <c r="A540" s="19" t="s">
        <v>1404</v>
      </c>
      <c r="B540" s="21" t="s">
        <v>160</v>
      </c>
      <c r="C540" s="21">
        <v>1.2</v>
      </c>
      <c r="D540" s="23">
        <v>1300</v>
      </c>
      <c r="E540" s="23"/>
      <c r="F540" s="23"/>
      <c r="G540" s="20" t="s">
        <v>1405</v>
      </c>
      <c r="H540" s="6"/>
      <c r="I540" s="6" t="s">
        <v>1306</v>
      </c>
      <c r="J540" s="6">
        <v>59</v>
      </c>
      <c r="K540" s="21">
        <v>28</v>
      </c>
      <c r="L540" s="21" t="s">
        <v>39</v>
      </c>
      <c r="M540" s="6" t="s">
        <v>1364</v>
      </c>
      <c r="N540" s="6" t="s">
        <v>1406</v>
      </c>
      <c r="O540" s="6"/>
      <c r="P540" s="6"/>
      <c r="Q540" s="27"/>
      <c r="R540" s="28" t="s">
        <v>272</v>
      </c>
      <c r="S540" s="6" t="s">
        <v>177</v>
      </c>
      <c r="T540" s="1">
        <v>0.85750000000000004</v>
      </c>
      <c r="U540" s="1">
        <v>5.3164999999999996</v>
      </c>
      <c r="V540" s="1">
        <v>9.1438199999999998</v>
      </c>
      <c r="W540" s="1">
        <v>4.7568100000000006</v>
      </c>
      <c r="X540" s="1">
        <v>4.6304999999999996</v>
      </c>
      <c r="Y540" s="1">
        <f t="shared" si="30"/>
        <v>4.941025999999999</v>
      </c>
      <c r="Z540" s="10" t="s">
        <v>168</v>
      </c>
      <c r="AA540" s="10" t="s">
        <v>168</v>
      </c>
      <c r="AB540" s="10" t="s">
        <v>168</v>
      </c>
      <c r="AC540" s="10" t="s">
        <v>168</v>
      </c>
      <c r="AD540" s="10" t="s">
        <v>168</v>
      </c>
      <c r="AE540" s="10" t="s">
        <v>168</v>
      </c>
      <c r="AF540" s="10" t="s">
        <v>168</v>
      </c>
      <c r="AG540" s="38">
        <f t="shared" si="31"/>
        <v>1</v>
      </c>
      <c r="AH540" s="51">
        <f t="shared" si="32"/>
        <v>4.941025999999999</v>
      </c>
      <c r="AI540" s="64"/>
      <c r="AJ540" s="1"/>
      <c r="AK540" s="65">
        <v>0</v>
      </c>
      <c r="AL540" s="1"/>
      <c r="AM540" s="1"/>
      <c r="AN540" s="81"/>
      <c r="AO540" s="81"/>
    </row>
    <row r="541" spans="1:41" s="26" customFormat="1" hidden="1" x14ac:dyDescent="0.25">
      <c r="A541" s="19" t="s">
        <v>911</v>
      </c>
      <c r="B541" s="21" t="s">
        <v>160</v>
      </c>
      <c r="C541" s="21">
        <v>0.8</v>
      </c>
      <c r="D541" s="23">
        <v>900</v>
      </c>
      <c r="E541" s="23"/>
      <c r="F541" s="23"/>
      <c r="G541" s="20" t="s">
        <v>1382</v>
      </c>
      <c r="H541" s="6"/>
      <c r="I541" s="6" t="s">
        <v>1311</v>
      </c>
      <c r="J541" s="6">
        <v>60</v>
      </c>
      <c r="K541" s="21"/>
      <c r="L541" s="21" t="s">
        <v>1301</v>
      </c>
      <c r="M541" s="6" t="s">
        <v>378</v>
      </c>
      <c r="N541" s="6" t="s">
        <v>331</v>
      </c>
      <c r="O541" s="6"/>
      <c r="P541" s="6"/>
      <c r="Q541" s="27"/>
      <c r="R541" s="28" t="s">
        <v>272</v>
      </c>
      <c r="S541" s="6"/>
      <c r="T541" s="1">
        <v>5.4568919999999999</v>
      </c>
      <c r="U541" s="1">
        <v>4.8360479999999999</v>
      </c>
      <c r="V541" s="1">
        <v>5.1301320000000006</v>
      </c>
      <c r="W541" s="1">
        <v>3.6597119999999999</v>
      </c>
      <c r="X541" s="1">
        <v>5.5222440000000006</v>
      </c>
      <c r="Y541" s="1">
        <f t="shared" si="30"/>
        <v>4.9210056</v>
      </c>
      <c r="Z541" s="10" t="s">
        <v>168</v>
      </c>
      <c r="AA541" s="10" t="s">
        <v>168</v>
      </c>
      <c r="AB541" s="10" t="s">
        <v>168</v>
      </c>
      <c r="AC541" s="10" t="s">
        <v>168</v>
      </c>
      <c r="AD541" s="10" t="s">
        <v>168</v>
      </c>
      <c r="AE541" s="10" t="s">
        <v>168</v>
      </c>
      <c r="AF541" s="10" t="s">
        <v>168</v>
      </c>
      <c r="AG541" s="38">
        <f t="shared" si="31"/>
        <v>1</v>
      </c>
      <c r="AH541" s="51">
        <f t="shared" si="32"/>
        <v>4.9210056</v>
      </c>
      <c r="AI541" s="64"/>
      <c r="AJ541" s="1"/>
      <c r="AK541" s="65">
        <v>0</v>
      </c>
      <c r="AL541" s="1"/>
      <c r="AM541" s="1"/>
      <c r="AN541" s="81"/>
      <c r="AO541" s="81"/>
    </row>
    <row r="542" spans="1:41" s="26" customFormat="1" hidden="1" x14ac:dyDescent="0.25">
      <c r="A542" s="19" t="s">
        <v>1407</v>
      </c>
      <c r="B542" s="21" t="s">
        <v>160</v>
      </c>
      <c r="C542" s="21">
        <v>2.5</v>
      </c>
      <c r="D542" s="23">
        <v>175</v>
      </c>
      <c r="E542" s="23">
        <v>132</v>
      </c>
      <c r="F542" s="23">
        <v>0.105</v>
      </c>
      <c r="G542" s="20" t="s">
        <v>1396</v>
      </c>
      <c r="H542" s="6"/>
      <c r="I542" s="6" t="s">
        <v>1306</v>
      </c>
      <c r="J542" s="6">
        <v>59</v>
      </c>
      <c r="K542" s="21">
        <v>1.9</v>
      </c>
      <c r="L542" s="21" t="s">
        <v>1301</v>
      </c>
      <c r="M542" s="6" t="s">
        <v>378</v>
      </c>
      <c r="N542" s="6">
        <v>246</v>
      </c>
      <c r="O542" s="6" t="s">
        <v>380</v>
      </c>
      <c r="P542" s="6"/>
      <c r="Q542" s="27"/>
      <c r="R542" s="28" t="s">
        <v>272</v>
      </c>
      <c r="S542" s="6"/>
      <c r="T542" s="1">
        <v>5.5679999999999996</v>
      </c>
      <c r="U542" s="1">
        <v>3.7120000000000002</v>
      </c>
      <c r="V542" s="1">
        <v>5.5679999999999996</v>
      </c>
      <c r="W542" s="1">
        <v>3.7120000000000002</v>
      </c>
      <c r="X542" s="1">
        <v>3.7120000000000002</v>
      </c>
      <c r="Y542" s="1">
        <f t="shared" si="30"/>
        <v>4.4543999999999997</v>
      </c>
      <c r="Z542" s="10" t="s">
        <v>168</v>
      </c>
      <c r="AA542" s="10" t="s">
        <v>168</v>
      </c>
      <c r="AB542" s="10" t="s">
        <v>168</v>
      </c>
      <c r="AC542" s="10" t="s">
        <v>168</v>
      </c>
      <c r="AD542" s="10" t="s">
        <v>168</v>
      </c>
      <c r="AE542" s="10" t="s">
        <v>168</v>
      </c>
      <c r="AF542" s="10" t="s">
        <v>168</v>
      </c>
      <c r="AG542" s="38">
        <f t="shared" si="31"/>
        <v>1</v>
      </c>
      <c r="AH542" s="51">
        <f t="shared" si="32"/>
        <v>4.4543999999999997</v>
      </c>
      <c r="AI542" s="64">
        <v>1</v>
      </c>
      <c r="AJ542" s="1" t="s">
        <v>1408</v>
      </c>
      <c r="AK542" s="65">
        <f>3984.53/12</f>
        <v>332.04416666666668</v>
      </c>
      <c r="AL542" s="1"/>
      <c r="AM542" s="1"/>
      <c r="AN542" s="81">
        <v>46174</v>
      </c>
      <c r="AO542" s="81" t="s">
        <v>180</v>
      </c>
    </row>
    <row r="543" spans="1:41" s="26" customFormat="1" hidden="1" x14ac:dyDescent="0.25">
      <c r="A543" s="19" t="s">
        <v>1409</v>
      </c>
      <c r="B543" s="21" t="s">
        <v>160</v>
      </c>
      <c r="C543" s="21">
        <v>0.7</v>
      </c>
      <c r="D543" s="23">
        <v>1350</v>
      </c>
      <c r="E543" s="23"/>
      <c r="F543" s="23"/>
      <c r="G543" s="20" t="s">
        <v>1410</v>
      </c>
      <c r="H543" s="6"/>
      <c r="I543" s="6" t="s">
        <v>1306</v>
      </c>
      <c r="J543" s="6">
        <v>59</v>
      </c>
      <c r="K543" s="21">
        <v>30</v>
      </c>
      <c r="L543" s="21" t="s">
        <v>39</v>
      </c>
      <c r="M543" s="6" t="s">
        <v>338</v>
      </c>
      <c r="N543" s="6" t="s">
        <v>218</v>
      </c>
      <c r="O543" s="6"/>
      <c r="P543" s="6"/>
      <c r="Q543" s="27"/>
      <c r="R543" s="28" t="s">
        <v>272</v>
      </c>
      <c r="S543" s="6" t="s">
        <v>177</v>
      </c>
      <c r="T543" s="1">
        <v>3.4830000000000001</v>
      </c>
      <c r="U543" s="1">
        <v>4.5279000000000007</v>
      </c>
      <c r="V543" s="1">
        <v>5.2244999999999999</v>
      </c>
      <c r="W543" s="1">
        <v>4.1796000000000006</v>
      </c>
      <c r="X543" s="1">
        <v>4.5279000000000007</v>
      </c>
      <c r="Y543" s="1">
        <f t="shared" si="30"/>
        <v>4.3885800000000001</v>
      </c>
      <c r="Z543" s="10" t="s">
        <v>168</v>
      </c>
      <c r="AA543" s="10" t="s">
        <v>168</v>
      </c>
      <c r="AB543" s="10" t="s">
        <v>168</v>
      </c>
      <c r="AC543" s="10" t="s">
        <v>168</v>
      </c>
      <c r="AD543" s="10" t="s">
        <v>168</v>
      </c>
      <c r="AE543" s="10" t="s">
        <v>168</v>
      </c>
      <c r="AF543" s="10" t="s">
        <v>168</v>
      </c>
      <c r="AG543" s="38">
        <f t="shared" si="31"/>
        <v>1</v>
      </c>
      <c r="AH543" s="51">
        <f t="shared" si="32"/>
        <v>4.3885800000000001</v>
      </c>
      <c r="AI543" s="64"/>
      <c r="AJ543" s="1"/>
      <c r="AK543" s="65">
        <v>0</v>
      </c>
      <c r="AL543" s="1"/>
      <c r="AM543" s="1"/>
      <c r="AN543" s="81"/>
      <c r="AO543" s="81"/>
    </row>
    <row r="544" spans="1:41" s="26" customFormat="1" hidden="1" x14ac:dyDescent="0.25">
      <c r="A544" s="19" t="s">
        <v>1411</v>
      </c>
      <c r="B544" s="21" t="s">
        <v>197</v>
      </c>
      <c r="C544" s="21">
        <v>1.5</v>
      </c>
      <c r="D544" s="23">
        <v>350</v>
      </c>
      <c r="E544" s="23">
        <v>161</v>
      </c>
      <c r="F544" s="23" t="s">
        <v>1366</v>
      </c>
      <c r="G544" s="20" t="s">
        <v>1412</v>
      </c>
      <c r="H544" s="6"/>
      <c r="I544" s="6" t="s">
        <v>1311</v>
      </c>
      <c r="J544" s="6">
        <v>69</v>
      </c>
      <c r="K544" s="21">
        <v>1.1000000000000001</v>
      </c>
      <c r="L544" s="21" t="s">
        <v>1301</v>
      </c>
      <c r="M544" s="6" t="s">
        <v>378</v>
      </c>
      <c r="N544" s="6" t="s">
        <v>331</v>
      </c>
      <c r="O544" s="6" t="s">
        <v>277</v>
      </c>
      <c r="P544" s="6"/>
      <c r="Q544" s="27"/>
      <c r="R544" s="28" t="s">
        <v>272</v>
      </c>
      <c r="S544" s="6"/>
      <c r="T544" s="1">
        <v>3.8678400000000002</v>
      </c>
      <c r="U544" s="1">
        <v>4.2738000000000005</v>
      </c>
      <c r="V544" s="1">
        <v>4.5049999999999999</v>
      </c>
      <c r="W544" s="1">
        <v>3.2096000000000005</v>
      </c>
      <c r="X544" s="1">
        <v>4.8586</v>
      </c>
      <c r="Y544" s="1">
        <f t="shared" si="30"/>
        <v>4.1429680000000007</v>
      </c>
      <c r="Z544" s="10" t="s">
        <v>168</v>
      </c>
      <c r="AA544" s="10" t="s">
        <v>168</v>
      </c>
      <c r="AB544" s="10" t="s">
        <v>168</v>
      </c>
      <c r="AC544" s="10" t="s">
        <v>168</v>
      </c>
      <c r="AD544" s="10" t="s">
        <v>168</v>
      </c>
      <c r="AE544" s="10" t="s">
        <v>168</v>
      </c>
      <c r="AF544" s="10" t="s">
        <v>168</v>
      </c>
      <c r="AG544" s="38">
        <f t="shared" si="31"/>
        <v>1</v>
      </c>
      <c r="AH544" s="51">
        <f t="shared" si="32"/>
        <v>4.1429680000000007</v>
      </c>
      <c r="AI544" s="64">
        <v>1</v>
      </c>
      <c r="AJ544" s="1" t="s">
        <v>1413</v>
      </c>
      <c r="AK544" s="65">
        <f>6584.07/12</f>
        <v>548.67250000000001</v>
      </c>
      <c r="AL544" s="1"/>
      <c r="AM544" s="1"/>
      <c r="AN544" s="81">
        <v>46174</v>
      </c>
      <c r="AO544" s="81" t="s">
        <v>180</v>
      </c>
    </row>
    <row r="545" spans="1:41" s="26" customFormat="1" hidden="1" x14ac:dyDescent="0.25">
      <c r="A545" s="19" t="s">
        <v>1414</v>
      </c>
      <c r="B545" s="21" t="s">
        <v>160</v>
      </c>
      <c r="C545" s="21">
        <v>0.8</v>
      </c>
      <c r="D545" s="23">
        <v>350</v>
      </c>
      <c r="E545" s="23">
        <v>144</v>
      </c>
      <c r="F545" s="23" t="s">
        <v>215</v>
      </c>
      <c r="G545" s="20" t="s">
        <v>916</v>
      </c>
      <c r="H545" s="6"/>
      <c r="I545" s="6" t="s">
        <v>1311</v>
      </c>
      <c r="J545" s="6">
        <v>69</v>
      </c>
      <c r="K545" s="21">
        <v>1.3</v>
      </c>
      <c r="L545" s="21" t="s">
        <v>1301</v>
      </c>
      <c r="M545" s="6" t="s">
        <v>378</v>
      </c>
      <c r="N545" s="6" t="s">
        <v>1316</v>
      </c>
      <c r="O545" s="6" t="s">
        <v>380</v>
      </c>
      <c r="P545" s="6"/>
      <c r="Q545" s="27"/>
      <c r="R545" s="28" t="s">
        <v>272</v>
      </c>
      <c r="S545" s="6"/>
      <c r="T545" s="1">
        <v>4.9296000000000006</v>
      </c>
      <c r="U545" s="1">
        <v>3.4128000000000003</v>
      </c>
      <c r="V545" s="1">
        <v>4.1711999999999998</v>
      </c>
      <c r="W545" s="1">
        <v>3.0335999999999999</v>
      </c>
      <c r="X545" s="1">
        <v>4.1711999999999998</v>
      </c>
      <c r="Y545" s="1">
        <f t="shared" si="30"/>
        <v>3.9436799999999996</v>
      </c>
      <c r="Z545" s="10" t="s">
        <v>168</v>
      </c>
      <c r="AA545" s="10" t="s">
        <v>168</v>
      </c>
      <c r="AB545" s="10" t="s">
        <v>168</v>
      </c>
      <c r="AC545" s="10" t="s">
        <v>168</v>
      </c>
      <c r="AD545" s="10" t="s">
        <v>168</v>
      </c>
      <c r="AE545" s="10" t="s">
        <v>168</v>
      </c>
      <c r="AF545" s="10" t="s">
        <v>168</v>
      </c>
      <c r="AG545" s="38">
        <f t="shared" si="31"/>
        <v>1</v>
      </c>
      <c r="AH545" s="51">
        <f t="shared" si="32"/>
        <v>3.9436799999999996</v>
      </c>
      <c r="AI545" s="64">
        <v>1</v>
      </c>
      <c r="AJ545" s="1" t="s">
        <v>1415</v>
      </c>
      <c r="AK545" s="65">
        <f>3330.91/12</f>
        <v>277.57583333333332</v>
      </c>
      <c r="AL545" s="1"/>
      <c r="AM545" s="1"/>
      <c r="AN545" s="81">
        <v>46174</v>
      </c>
      <c r="AO545" s="81" t="s">
        <v>180</v>
      </c>
    </row>
    <row r="546" spans="1:41" s="26" customFormat="1" hidden="1" x14ac:dyDescent="0.25">
      <c r="A546" s="19" t="s">
        <v>1416</v>
      </c>
      <c r="B546" s="21" t="s">
        <v>197</v>
      </c>
      <c r="C546" s="21">
        <v>1.5</v>
      </c>
      <c r="D546" s="23">
        <v>367</v>
      </c>
      <c r="E546" s="23">
        <v>145</v>
      </c>
      <c r="F546" s="23" t="s">
        <v>1366</v>
      </c>
      <c r="G546" s="20" t="s">
        <v>1412</v>
      </c>
      <c r="H546" s="6"/>
      <c r="I546" s="6" t="s">
        <v>1311</v>
      </c>
      <c r="J546" s="6">
        <v>69</v>
      </c>
      <c r="K546" s="21">
        <v>1.1000000000000001</v>
      </c>
      <c r="L546" s="21" t="s">
        <v>1301</v>
      </c>
      <c r="M546" s="6" t="s">
        <v>378</v>
      </c>
      <c r="N546" s="6" t="s">
        <v>331</v>
      </c>
      <c r="O546" s="6" t="s">
        <v>277</v>
      </c>
      <c r="P546" s="6"/>
      <c r="Q546" s="27"/>
      <c r="R546" s="28" t="s">
        <v>272</v>
      </c>
      <c r="S546" s="6"/>
      <c r="T546" s="1">
        <v>3.6516959999999998</v>
      </c>
      <c r="U546" s="1">
        <v>4.0349700000000004</v>
      </c>
      <c r="V546" s="1">
        <v>4.2532500000000004</v>
      </c>
      <c r="W546" s="1">
        <v>3.03024</v>
      </c>
      <c r="X546" s="1">
        <v>4.5870899999999999</v>
      </c>
      <c r="Y546" s="1">
        <f t="shared" si="30"/>
        <v>3.9114491999999998</v>
      </c>
      <c r="Z546" s="10" t="s">
        <v>168</v>
      </c>
      <c r="AA546" s="10" t="s">
        <v>168</v>
      </c>
      <c r="AB546" s="10" t="s">
        <v>168</v>
      </c>
      <c r="AC546" s="10" t="s">
        <v>168</v>
      </c>
      <c r="AD546" s="10" t="s">
        <v>168</v>
      </c>
      <c r="AE546" s="10" t="s">
        <v>168</v>
      </c>
      <c r="AF546" s="10" t="s">
        <v>168</v>
      </c>
      <c r="AG546" s="38">
        <f t="shared" si="31"/>
        <v>1</v>
      </c>
      <c r="AH546" s="51">
        <f t="shared" si="32"/>
        <v>3.9114491999999998</v>
      </c>
      <c r="AI546" s="64">
        <v>1</v>
      </c>
      <c r="AJ546" s="1" t="s">
        <v>1417</v>
      </c>
      <c r="AK546" s="65">
        <f>6302.45/12</f>
        <v>525.20416666666665</v>
      </c>
      <c r="AL546" s="1"/>
      <c r="AM546" s="1"/>
      <c r="AN546" s="81">
        <v>46174</v>
      </c>
      <c r="AO546" s="81" t="s">
        <v>180</v>
      </c>
    </row>
    <row r="547" spans="1:41" s="26" customFormat="1" hidden="1" x14ac:dyDescent="0.25">
      <c r="A547" s="19" t="s">
        <v>1418</v>
      </c>
      <c r="B547" s="21" t="s">
        <v>197</v>
      </c>
      <c r="C547" s="21">
        <v>1.4</v>
      </c>
      <c r="D547" s="23">
        <v>1050</v>
      </c>
      <c r="E547" s="23"/>
      <c r="F547" s="23"/>
      <c r="G547" s="20" t="s">
        <v>1387</v>
      </c>
      <c r="H547" s="6"/>
      <c r="I547" s="6" t="s">
        <v>1311</v>
      </c>
      <c r="J547" s="6">
        <v>69</v>
      </c>
      <c r="K547" s="21">
        <v>24</v>
      </c>
      <c r="L547" s="21" t="s">
        <v>39</v>
      </c>
      <c r="M547" s="6" t="s">
        <v>338</v>
      </c>
      <c r="N547" s="6" t="s">
        <v>218</v>
      </c>
      <c r="O547" s="6"/>
      <c r="P547" s="6"/>
      <c r="Q547" s="27"/>
      <c r="R547" s="28" t="s">
        <v>272</v>
      </c>
      <c r="S547" s="6" t="s">
        <v>177</v>
      </c>
      <c r="T547" s="1">
        <v>2.7763840000000002</v>
      </c>
      <c r="U547" s="1">
        <v>3.8319840000000003</v>
      </c>
      <c r="V547" s="1">
        <v>4.7958559999999997</v>
      </c>
      <c r="W547" s="1">
        <v>3.7036480000000003</v>
      </c>
      <c r="X547" s="1">
        <v>4.2431999999999999</v>
      </c>
      <c r="Y547" s="1">
        <f t="shared" si="30"/>
        <v>3.8702144000000005</v>
      </c>
      <c r="Z547" s="10" t="s">
        <v>168</v>
      </c>
      <c r="AA547" s="10" t="s">
        <v>168</v>
      </c>
      <c r="AB547" s="10" t="s">
        <v>168</v>
      </c>
      <c r="AC547" s="10" t="s">
        <v>168</v>
      </c>
      <c r="AD547" s="10" t="s">
        <v>168</v>
      </c>
      <c r="AE547" s="10" t="s">
        <v>168</v>
      </c>
      <c r="AF547" s="10" t="s">
        <v>168</v>
      </c>
      <c r="AG547" s="38">
        <f t="shared" si="31"/>
        <v>1</v>
      </c>
      <c r="AH547" s="51">
        <f t="shared" si="32"/>
        <v>3.8702144000000005</v>
      </c>
      <c r="AI547" s="64"/>
      <c r="AJ547" s="1"/>
      <c r="AK547" s="65">
        <v>0</v>
      </c>
      <c r="AL547" s="1"/>
      <c r="AM547" s="1"/>
      <c r="AN547" s="81"/>
      <c r="AO547" s="81"/>
    </row>
    <row r="548" spans="1:41" s="26" customFormat="1" hidden="1" x14ac:dyDescent="0.25">
      <c r="A548" s="19" t="s">
        <v>1419</v>
      </c>
      <c r="B548" s="21" t="s">
        <v>197</v>
      </c>
      <c r="C548" s="21">
        <v>1.6</v>
      </c>
      <c r="D548" s="23">
        <v>417</v>
      </c>
      <c r="E548" s="23">
        <v>125</v>
      </c>
      <c r="F548" s="23" t="s">
        <v>1366</v>
      </c>
      <c r="G548" s="20" t="s">
        <v>1420</v>
      </c>
      <c r="H548" s="6"/>
      <c r="I548" s="6" t="s">
        <v>1311</v>
      </c>
      <c r="J548" s="6">
        <v>69</v>
      </c>
      <c r="K548" s="21">
        <v>1.5</v>
      </c>
      <c r="L548" s="21" t="s">
        <v>1301</v>
      </c>
      <c r="M548" s="6" t="s">
        <v>378</v>
      </c>
      <c r="N548" s="6" t="s">
        <v>331</v>
      </c>
      <c r="O548" s="6" t="s">
        <v>277</v>
      </c>
      <c r="P548" s="6"/>
      <c r="Q548" s="27"/>
      <c r="R548" s="28" t="s">
        <v>272</v>
      </c>
      <c r="S548" s="6"/>
      <c r="T548" s="1">
        <v>3.62304</v>
      </c>
      <c r="U548" s="1">
        <v>3.92496</v>
      </c>
      <c r="V548" s="1">
        <v>4.07592</v>
      </c>
      <c r="W548" s="1">
        <v>3.0191999999999997</v>
      </c>
      <c r="X548" s="1">
        <v>4.5288000000000004</v>
      </c>
      <c r="Y548" s="1">
        <f t="shared" si="30"/>
        <v>3.834384</v>
      </c>
      <c r="Z548" s="10" t="s">
        <v>168</v>
      </c>
      <c r="AA548" s="10" t="s">
        <v>168</v>
      </c>
      <c r="AB548" s="10" t="s">
        <v>168</v>
      </c>
      <c r="AC548" s="10" t="s">
        <v>168</v>
      </c>
      <c r="AD548" s="10" t="s">
        <v>168</v>
      </c>
      <c r="AE548" s="10" t="s">
        <v>168</v>
      </c>
      <c r="AF548" s="10" t="s">
        <v>168</v>
      </c>
      <c r="AG548" s="38">
        <f t="shared" si="31"/>
        <v>1</v>
      </c>
      <c r="AH548" s="51">
        <f t="shared" si="32"/>
        <v>3.834384</v>
      </c>
      <c r="AI548" s="64">
        <v>1</v>
      </c>
      <c r="AJ548" s="1" t="s">
        <v>1421</v>
      </c>
      <c r="AK548" s="65">
        <f>6848.75/12</f>
        <v>570.72916666666663</v>
      </c>
      <c r="AL548" s="1"/>
      <c r="AM548" s="1"/>
      <c r="AN548" s="81">
        <v>46174</v>
      </c>
      <c r="AO548" s="81" t="s">
        <v>180</v>
      </c>
    </row>
    <row r="549" spans="1:41" s="26" customFormat="1" hidden="1" x14ac:dyDescent="0.25">
      <c r="A549" s="19" t="s">
        <v>1422</v>
      </c>
      <c r="B549" s="21" t="s">
        <v>160</v>
      </c>
      <c r="C549" s="21">
        <v>1.5</v>
      </c>
      <c r="D549" s="23">
        <v>1050</v>
      </c>
      <c r="E549" s="23"/>
      <c r="F549" s="23"/>
      <c r="G549" s="20" t="s">
        <v>1363</v>
      </c>
      <c r="H549" s="6"/>
      <c r="I549" s="6" t="s">
        <v>1311</v>
      </c>
      <c r="J549" s="6">
        <v>69</v>
      </c>
      <c r="K549" s="21">
        <v>24</v>
      </c>
      <c r="L549" s="21" t="s">
        <v>39</v>
      </c>
      <c r="M549" s="6" t="s">
        <v>338</v>
      </c>
      <c r="N549" s="6" t="s">
        <v>218</v>
      </c>
      <c r="O549" s="6"/>
      <c r="P549" s="6"/>
      <c r="Q549" s="27"/>
      <c r="R549" s="28" t="s">
        <v>272</v>
      </c>
      <c r="S549" s="6" t="s">
        <v>177</v>
      </c>
      <c r="T549" s="1">
        <v>2.3759999999999999</v>
      </c>
      <c r="U549" s="1">
        <v>4.7519999999999998</v>
      </c>
      <c r="V549" s="1">
        <v>4.7519999999999998</v>
      </c>
      <c r="W549" s="1">
        <v>3.5640000000000001</v>
      </c>
      <c r="X549" s="1">
        <v>3.5640000000000001</v>
      </c>
      <c r="Y549" s="1">
        <f t="shared" si="30"/>
        <v>3.8015999999999996</v>
      </c>
      <c r="Z549" s="10" t="s">
        <v>168</v>
      </c>
      <c r="AA549" s="10" t="s">
        <v>168</v>
      </c>
      <c r="AB549" s="10" t="s">
        <v>168</v>
      </c>
      <c r="AC549" s="10" t="s">
        <v>168</v>
      </c>
      <c r="AD549" s="10" t="s">
        <v>168</v>
      </c>
      <c r="AE549" s="10" t="s">
        <v>168</v>
      </c>
      <c r="AF549" s="10" t="s">
        <v>168</v>
      </c>
      <c r="AG549" s="38">
        <f t="shared" si="31"/>
        <v>1</v>
      </c>
      <c r="AH549" s="51">
        <f t="shared" si="32"/>
        <v>3.8015999999999996</v>
      </c>
      <c r="AI549" s="64"/>
      <c r="AJ549" s="1"/>
      <c r="AK549" s="65">
        <v>0</v>
      </c>
      <c r="AL549" s="1"/>
      <c r="AM549" s="1"/>
      <c r="AN549" s="81"/>
      <c r="AO549" s="81"/>
    </row>
    <row r="550" spans="1:41" s="26" customFormat="1" hidden="1" x14ac:dyDescent="0.25">
      <c r="A550" s="19" t="s">
        <v>1423</v>
      </c>
      <c r="B550" s="21" t="s">
        <v>197</v>
      </c>
      <c r="C550" s="21">
        <v>1</v>
      </c>
      <c r="D550" s="6">
        <v>1050</v>
      </c>
      <c r="E550" s="23"/>
      <c r="F550" s="23"/>
      <c r="G550" s="20" t="s">
        <v>1424</v>
      </c>
      <c r="H550" s="6"/>
      <c r="I550" s="6" t="s">
        <v>1311</v>
      </c>
      <c r="J550" s="6">
        <v>69</v>
      </c>
      <c r="K550" s="21">
        <v>18</v>
      </c>
      <c r="L550" s="21" t="s">
        <v>39</v>
      </c>
      <c r="M550" s="6" t="s">
        <v>338</v>
      </c>
      <c r="N550" s="6" t="s">
        <v>218</v>
      </c>
      <c r="O550" s="6"/>
      <c r="P550" s="6"/>
      <c r="Q550" s="27"/>
      <c r="R550" s="28" t="s">
        <v>272</v>
      </c>
      <c r="S550" s="6" t="s">
        <v>177</v>
      </c>
      <c r="T550" s="1">
        <v>2.8512000000000004</v>
      </c>
      <c r="U550" s="1">
        <v>3.7223999999999999</v>
      </c>
      <c r="V550" s="1">
        <v>4.6464000000000008</v>
      </c>
      <c r="W550" s="1">
        <v>3.6168</v>
      </c>
      <c r="X550" s="1">
        <v>4.1448</v>
      </c>
      <c r="Y550" s="1">
        <f t="shared" si="30"/>
        <v>3.7963200000000001</v>
      </c>
      <c r="Z550" s="10" t="s">
        <v>168</v>
      </c>
      <c r="AA550" s="10" t="s">
        <v>168</v>
      </c>
      <c r="AB550" s="10" t="s">
        <v>168</v>
      </c>
      <c r="AC550" s="10" t="s">
        <v>168</v>
      </c>
      <c r="AD550" s="10" t="s">
        <v>168</v>
      </c>
      <c r="AE550" s="10" t="s">
        <v>168</v>
      </c>
      <c r="AF550" s="10" t="s">
        <v>168</v>
      </c>
      <c r="AG550" s="38">
        <f t="shared" si="31"/>
        <v>1</v>
      </c>
      <c r="AH550" s="51">
        <f t="shared" si="32"/>
        <v>3.7963200000000001</v>
      </c>
      <c r="AI550" s="64"/>
      <c r="AJ550" s="1"/>
      <c r="AK550" s="65">
        <v>0</v>
      </c>
      <c r="AL550" s="1"/>
      <c r="AM550" s="1"/>
      <c r="AN550" s="81"/>
      <c r="AO550" s="81"/>
    </row>
    <row r="551" spans="1:41" s="26" customFormat="1" hidden="1" x14ac:dyDescent="0.25">
      <c r="A551" s="19" t="s">
        <v>1425</v>
      </c>
      <c r="B551" s="21" t="s">
        <v>160</v>
      </c>
      <c r="C551" s="21">
        <v>1.2</v>
      </c>
      <c r="D551" s="23">
        <v>1000</v>
      </c>
      <c r="E551" s="23"/>
      <c r="F551" s="23"/>
      <c r="G551" s="20" t="s">
        <v>633</v>
      </c>
      <c r="H551" s="6"/>
      <c r="I551" s="6" t="s">
        <v>1311</v>
      </c>
      <c r="J551" s="6">
        <v>69</v>
      </c>
      <c r="K551" s="21">
        <v>22</v>
      </c>
      <c r="L551" s="21" t="s">
        <v>39</v>
      </c>
      <c r="M551" s="6" t="s">
        <v>338</v>
      </c>
      <c r="N551" s="6" t="s">
        <v>218</v>
      </c>
      <c r="O551" s="6"/>
      <c r="P551" s="6"/>
      <c r="Q551" s="27"/>
      <c r="R551" s="28" t="s">
        <v>272</v>
      </c>
      <c r="S551" s="6" t="s">
        <v>177</v>
      </c>
      <c r="T551" s="1">
        <v>2.5851600000000001</v>
      </c>
      <c r="U551" s="1">
        <v>3.8777400000000002</v>
      </c>
      <c r="V551" s="1">
        <v>4.7394600000000002</v>
      </c>
      <c r="W551" s="1">
        <v>3.8777400000000002</v>
      </c>
      <c r="X551" s="1">
        <v>3.8777400000000002</v>
      </c>
      <c r="Y551" s="1">
        <f t="shared" si="30"/>
        <v>3.7915680000000003</v>
      </c>
      <c r="Z551" s="10" t="s">
        <v>168</v>
      </c>
      <c r="AA551" s="10" t="s">
        <v>168</v>
      </c>
      <c r="AB551" s="10" t="s">
        <v>168</v>
      </c>
      <c r="AC551" s="10" t="s">
        <v>168</v>
      </c>
      <c r="AD551" s="10" t="s">
        <v>168</v>
      </c>
      <c r="AE551" s="10" t="s">
        <v>168</v>
      </c>
      <c r="AF551" s="10" t="s">
        <v>168</v>
      </c>
      <c r="AG551" s="38">
        <f t="shared" si="31"/>
        <v>1</v>
      </c>
      <c r="AH551" s="51">
        <f t="shared" si="32"/>
        <v>3.7915680000000003</v>
      </c>
      <c r="AI551" s="64"/>
      <c r="AJ551" s="1"/>
      <c r="AK551" s="65">
        <v>0</v>
      </c>
      <c r="AL551" s="1"/>
      <c r="AM551" s="1"/>
      <c r="AN551" s="81"/>
      <c r="AO551" s="81"/>
    </row>
    <row r="552" spans="1:41" s="26" customFormat="1" hidden="1" x14ac:dyDescent="0.25">
      <c r="A552" s="19" t="s">
        <v>930</v>
      </c>
      <c r="B552" s="21" t="s">
        <v>160</v>
      </c>
      <c r="C552" s="21">
        <v>1.2</v>
      </c>
      <c r="D552" s="23">
        <v>316</v>
      </c>
      <c r="E552" s="23"/>
      <c r="F552" s="23"/>
      <c r="G552" s="20" t="s">
        <v>229</v>
      </c>
      <c r="H552" s="6"/>
      <c r="I552" s="6" t="s">
        <v>1311</v>
      </c>
      <c r="J552" s="6">
        <v>69</v>
      </c>
      <c r="K552" s="21">
        <v>1</v>
      </c>
      <c r="L552" s="21" t="s">
        <v>1301</v>
      </c>
      <c r="M552" s="6" t="s">
        <v>378</v>
      </c>
      <c r="N552" s="6" t="s">
        <v>331</v>
      </c>
      <c r="O552" s="6"/>
      <c r="P552" s="6"/>
      <c r="Q552" s="27"/>
      <c r="R552" s="28" t="s">
        <v>272</v>
      </c>
      <c r="S552" s="6"/>
      <c r="T552" s="1">
        <v>4.62</v>
      </c>
      <c r="U552" s="1">
        <v>2.97</v>
      </c>
      <c r="V552" s="1">
        <v>3.3</v>
      </c>
      <c r="W552" s="1">
        <v>3.3</v>
      </c>
      <c r="X552" s="1">
        <v>3.3</v>
      </c>
      <c r="Y552" s="1">
        <f t="shared" si="30"/>
        <v>3.4980000000000002</v>
      </c>
      <c r="Z552" s="10" t="s">
        <v>168</v>
      </c>
      <c r="AA552" s="10" t="s">
        <v>168</v>
      </c>
      <c r="AB552" s="10" t="s">
        <v>168</v>
      </c>
      <c r="AC552" s="10" t="s">
        <v>168</v>
      </c>
      <c r="AD552" s="10" t="s">
        <v>168</v>
      </c>
      <c r="AE552" s="10" t="s">
        <v>168</v>
      </c>
      <c r="AF552" s="10" t="s">
        <v>168</v>
      </c>
      <c r="AG552" s="38">
        <f t="shared" si="31"/>
        <v>1</v>
      </c>
      <c r="AH552" s="51">
        <f t="shared" si="32"/>
        <v>3.4980000000000002</v>
      </c>
      <c r="AI552" s="64"/>
      <c r="AJ552" s="1"/>
      <c r="AK552" s="65">
        <v>0</v>
      </c>
      <c r="AL552" s="1"/>
      <c r="AM552" s="1"/>
      <c r="AN552" s="81"/>
      <c r="AO552" s="81"/>
    </row>
    <row r="553" spans="1:41" s="26" customFormat="1" hidden="1" x14ac:dyDescent="0.25">
      <c r="A553" s="19" t="s">
        <v>1426</v>
      </c>
      <c r="B553" s="21" t="s">
        <v>197</v>
      </c>
      <c r="C553" s="21">
        <v>1.8</v>
      </c>
      <c r="D553" s="23">
        <v>190</v>
      </c>
      <c r="E553" s="23">
        <v>115</v>
      </c>
      <c r="F553" s="23" t="s">
        <v>1427</v>
      </c>
      <c r="G553" s="20" t="s">
        <v>1428</v>
      </c>
      <c r="H553" s="6"/>
      <c r="I553" s="6" t="s">
        <v>1311</v>
      </c>
      <c r="J553" s="6">
        <v>69</v>
      </c>
      <c r="K553" s="21">
        <v>1.6</v>
      </c>
      <c r="L553" s="21" t="s">
        <v>1301</v>
      </c>
      <c r="M553" s="6" t="s">
        <v>378</v>
      </c>
      <c r="N553" s="6" t="s">
        <v>1316</v>
      </c>
      <c r="O553" s="6" t="s">
        <v>380</v>
      </c>
      <c r="P553" s="6"/>
      <c r="Q553" s="27"/>
      <c r="R553" s="28" t="s">
        <v>272</v>
      </c>
      <c r="S553" s="6"/>
      <c r="T553" s="1">
        <v>3.2373263999999997</v>
      </c>
      <c r="U553" s="1">
        <v>2.8875000000000002</v>
      </c>
      <c r="V553" s="1">
        <v>3.3494999999999999</v>
      </c>
      <c r="W553" s="1">
        <v>2.9260000000000002</v>
      </c>
      <c r="X553" s="1">
        <v>4.0039999999999996</v>
      </c>
      <c r="Y553" s="1">
        <f t="shared" si="30"/>
        <v>3.2808652799999996</v>
      </c>
      <c r="Z553" s="10" t="s">
        <v>168</v>
      </c>
      <c r="AA553" s="10" t="s">
        <v>168</v>
      </c>
      <c r="AB553" s="10" t="s">
        <v>168</v>
      </c>
      <c r="AC553" s="10" t="s">
        <v>168</v>
      </c>
      <c r="AD553" s="10" t="s">
        <v>168</v>
      </c>
      <c r="AE553" s="10" t="s">
        <v>168</v>
      </c>
      <c r="AF553" s="10" t="s">
        <v>168</v>
      </c>
      <c r="AG553" s="38">
        <f t="shared" si="31"/>
        <v>1</v>
      </c>
      <c r="AH553" s="51">
        <f t="shared" si="32"/>
        <v>3.2808652799999996</v>
      </c>
      <c r="AI553" s="64">
        <v>1</v>
      </c>
      <c r="AJ553" s="1" t="s">
        <v>1429</v>
      </c>
      <c r="AK553" s="65">
        <f>2328.83/12</f>
        <v>194.06916666666666</v>
      </c>
      <c r="AL553" s="1"/>
      <c r="AM553" s="1"/>
      <c r="AN553" s="81">
        <v>46174</v>
      </c>
      <c r="AO553" s="81" t="s">
        <v>180</v>
      </c>
    </row>
    <row r="554" spans="1:41" s="26" customFormat="1" hidden="1" x14ac:dyDescent="0.25">
      <c r="A554" s="19" t="s">
        <v>1430</v>
      </c>
      <c r="B554" s="21" t="s">
        <v>160</v>
      </c>
      <c r="C554" s="21">
        <v>1</v>
      </c>
      <c r="D554" s="23">
        <v>1200</v>
      </c>
      <c r="E554" s="23"/>
      <c r="F554" s="23"/>
      <c r="G554" s="20" t="s">
        <v>1363</v>
      </c>
      <c r="H554" s="6"/>
      <c r="I554" s="6" t="s">
        <v>1306</v>
      </c>
      <c r="J554" s="6">
        <v>59</v>
      </c>
      <c r="K554" s="21">
        <v>26</v>
      </c>
      <c r="L554" s="21" t="s">
        <v>39</v>
      </c>
      <c r="M554" s="6" t="s">
        <v>338</v>
      </c>
      <c r="N554" s="6" t="s">
        <v>218</v>
      </c>
      <c r="O554" s="6"/>
      <c r="P554" s="6"/>
      <c r="Q554" s="27"/>
      <c r="R554" s="28" t="s">
        <v>272</v>
      </c>
      <c r="S554" s="6" t="s">
        <v>177</v>
      </c>
      <c r="T554" s="1">
        <v>3.6084000000000001</v>
      </c>
      <c r="U554" s="1">
        <v>1.0655999999999999</v>
      </c>
      <c r="V554" s="1">
        <v>4.9888000000000003</v>
      </c>
      <c r="W554" s="1">
        <v>1.9131999999999998</v>
      </c>
      <c r="X554" s="1">
        <v>3.6084000000000001</v>
      </c>
      <c r="Y554" s="1">
        <f t="shared" si="30"/>
        <v>3.03688</v>
      </c>
      <c r="Z554" s="10" t="s">
        <v>168</v>
      </c>
      <c r="AA554" s="10" t="s">
        <v>168</v>
      </c>
      <c r="AB554" s="10" t="s">
        <v>168</v>
      </c>
      <c r="AC554" s="10" t="s">
        <v>168</v>
      </c>
      <c r="AD554" s="10" t="s">
        <v>168</v>
      </c>
      <c r="AE554" s="10" t="s">
        <v>168</v>
      </c>
      <c r="AF554" s="10" t="s">
        <v>168</v>
      </c>
      <c r="AG554" s="38">
        <f t="shared" si="31"/>
        <v>1</v>
      </c>
      <c r="AH554" s="51">
        <f t="shared" si="32"/>
        <v>3.03688</v>
      </c>
      <c r="AI554" s="64"/>
      <c r="AJ554" s="1"/>
      <c r="AK554" s="65">
        <v>0</v>
      </c>
      <c r="AL554" s="1"/>
      <c r="AM554" s="1"/>
      <c r="AN554" s="81"/>
      <c r="AO554" s="81"/>
    </row>
    <row r="555" spans="1:41" s="26" customFormat="1" hidden="1" x14ac:dyDescent="0.25">
      <c r="A555" s="19" t="s">
        <v>1431</v>
      </c>
      <c r="B555" s="21" t="s">
        <v>197</v>
      </c>
      <c r="C555" s="21">
        <v>1.5</v>
      </c>
      <c r="D555" s="23">
        <v>1250</v>
      </c>
      <c r="E555" s="23"/>
      <c r="F555" s="23"/>
      <c r="G555" s="20" t="s">
        <v>1420</v>
      </c>
      <c r="H555" s="6"/>
      <c r="I555" s="6" t="s">
        <v>1311</v>
      </c>
      <c r="J555" s="6">
        <v>69</v>
      </c>
      <c r="K555" s="21">
        <v>1.5</v>
      </c>
      <c r="L555" s="21" t="s">
        <v>1301</v>
      </c>
      <c r="M555" s="6" t="s">
        <v>378</v>
      </c>
      <c r="N555" s="6" t="s">
        <v>331</v>
      </c>
      <c r="O555" s="6"/>
      <c r="P555" s="6"/>
      <c r="Q555" s="27"/>
      <c r="R555" s="28" t="s">
        <v>272</v>
      </c>
      <c r="S555" s="6"/>
      <c r="T555" s="1">
        <v>2.8274400000000002</v>
      </c>
      <c r="U555" s="1">
        <v>2.8607040000000001</v>
      </c>
      <c r="V555" s="1">
        <v>3.0602879999999999</v>
      </c>
      <c r="W555" s="1">
        <v>2.1621600000000005</v>
      </c>
      <c r="X555" s="1">
        <v>3.2931360000000001</v>
      </c>
      <c r="Y555" s="1">
        <f t="shared" si="30"/>
        <v>2.8407456000000004</v>
      </c>
      <c r="Z555" s="10" t="s">
        <v>168</v>
      </c>
      <c r="AA555" s="10" t="s">
        <v>168</v>
      </c>
      <c r="AB555" s="10" t="s">
        <v>168</v>
      </c>
      <c r="AC555" s="10" t="s">
        <v>168</v>
      </c>
      <c r="AD555" s="10" t="s">
        <v>168</v>
      </c>
      <c r="AE555" s="10" t="s">
        <v>168</v>
      </c>
      <c r="AF555" s="10" t="s">
        <v>168</v>
      </c>
      <c r="AG555" s="38">
        <f t="shared" si="31"/>
        <v>1</v>
      </c>
      <c r="AH555" s="51">
        <f t="shared" si="32"/>
        <v>2.8407456000000004</v>
      </c>
      <c r="AI555" s="64"/>
      <c r="AJ555" s="1"/>
      <c r="AK555" s="65">
        <v>0</v>
      </c>
      <c r="AL555" s="1"/>
      <c r="AM555" s="1"/>
      <c r="AN555" s="81"/>
      <c r="AO555" s="81"/>
    </row>
    <row r="556" spans="1:41" s="26" customFormat="1" hidden="1" x14ac:dyDescent="0.25">
      <c r="A556" s="19" t="s">
        <v>1432</v>
      </c>
      <c r="B556" s="21" t="s">
        <v>160</v>
      </c>
      <c r="C556" s="21">
        <v>0.6</v>
      </c>
      <c r="D556" s="23">
        <v>312</v>
      </c>
      <c r="E556" s="23">
        <v>179</v>
      </c>
      <c r="F556" s="23" t="s">
        <v>215</v>
      </c>
      <c r="G556" s="20" t="s">
        <v>1433</v>
      </c>
      <c r="H556" s="6"/>
      <c r="I556" s="6" t="s">
        <v>1311</v>
      </c>
      <c r="J556" s="6">
        <v>60</v>
      </c>
      <c r="K556" s="21">
        <v>2.5</v>
      </c>
      <c r="L556" s="21" t="s">
        <v>1301</v>
      </c>
      <c r="M556" s="6" t="s">
        <v>378</v>
      </c>
      <c r="N556" s="6">
        <v>246</v>
      </c>
      <c r="O556" s="6" t="s">
        <v>380</v>
      </c>
      <c r="P556" s="6"/>
      <c r="Q556" s="27"/>
      <c r="R556" s="28" t="s">
        <v>272</v>
      </c>
      <c r="S556" s="6"/>
      <c r="T556" s="1">
        <v>3.4638300000000002</v>
      </c>
      <c r="U556" s="1">
        <v>1.728</v>
      </c>
      <c r="V556" s="1">
        <v>3.4587000000000003</v>
      </c>
      <c r="W556" s="1">
        <v>1.728</v>
      </c>
      <c r="X556" s="1">
        <v>3.4587000000000003</v>
      </c>
      <c r="Y556" s="1">
        <f t="shared" si="30"/>
        <v>2.7674460000000001</v>
      </c>
      <c r="Z556" s="10" t="s">
        <v>168</v>
      </c>
      <c r="AA556" s="10" t="s">
        <v>168</v>
      </c>
      <c r="AB556" s="10" t="s">
        <v>168</v>
      </c>
      <c r="AC556" s="10" t="s">
        <v>168</v>
      </c>
      <c r="AD556" s="10" t="s">
        <v>168</v>
      </c>
      <c r="AE556" s="10" t="s">
        <v>168</v>
      </c>
      <c r="AF556" s="10" t="s">
        <v>168</v>
      </c>
      <c r="AG556" s="38">
        <f t="shared" si="31"/>
        <v>1</v>
      </c>
      <c r="AH556" s="51">
        <f t="shared" si="32"/>
        <v>2.7674460000000001</v>
      </c>
      <c r="AI556" s="64">
        <v>1</v>
      </c>
      <c r="AJ556" s="1" t="s">
        <v>1434</v>
      </c>
      <c r="AK556" s="65">
        <f>3720.62/12</f>
        <v>310.05166666666668</v>
      </c>
      <c r="AL556" s="1"/>
      <c r="AM556" s="1"/>
      <c r="AN556" s="81">
        <v>46174</v>
      </c>
      <c r="AO556" s="81" t="s">
        <v>180</v>
      </c>
    </row>
    <row r="557" spans="1:41" s="26" customFormat="1" hidden="1" x14ac:dyDescent="0.25">
      <c r="A557" s="19" t="s">
        <v>1435</v>
      </c>
      <c r="B557" s="21" t="s">
        <v>197</v>
      </c>
      <c r="C557" s="21">
        <v>1</v>
      </c>
      <c r="D557" s="6">
        <v>1400</v>
      </c>
      <c r="E557" s="23"/>
      <c r="F557" s="23"/>
      <c r="G557" s="20" t="s">
        <v>1424</v>
      </c>
      <c r="H557" s="6"/>
      <c r="I557" s="6" t="s">
        <v>1306</v>
      </c>
      <c r="J557" s="6">
        <v>59</v>
      </c>
      <c r="K557" s="21">
        <v>28</v>
      </c>
      <c r="L557" s="21" t="s">
        <v>39</v>
      </c>
      <c r="M557" s="6" t="s">
        <v>338</v>
      </c>
      <c r="N557" s="6" t="s">
        <v>218</v>
      </c>
      <c r="O557" s="6"/>
      <c r="P557" s="6"/>
      <c r="Q557" s="27"/>
      <c r="R557" s="28" t="s">
        <v>272</v>
      </c>
      <c r="S557" s="6" t="s">
        <v>177</v>
      </c>
      <c r="T557" s="1">
        <v>1.9760100000000003</v>
      </c>
      <c r="U557" s="1">
        <v>2.5267200000000001</v>
      </c>
      <c r="V557" s="1">
        <v>3.1539200000000003</v>
      </c>
      <c r="W557" s="1">
        <v>2.4550399999999999</v>
      </c>
      <c r="X557" s="1">
        <v>2.8134399999999999</v>
      </c>
      <c r="Y557" s="1">
        <f t="shared" si="30"/>
        <v>2.585026</v>
      </c>
      <c r="Z557" s="10" t="s">
        <v>168</v>
      </c>
      <c r="AA557" s="10" t="s">
        <v>168</v>
      </c>
      <c r="AB557" s="10" t="s">
        <v>168</v>
      </c>
      <c r="AC557" s="10" t="s">
        <v>168</v>
      </c>
      <c r="AD557" s="10" t="s">
        <v>168</v>
      </c>
      <c r="AE557" s="10" t="s">
        <v>168</v>
      </c>
      <c r="AF557" s="10" t="s">
        <v>168</v>
      </c>
      <c r="AG557" s="38">
        <f t="shared" si="31"/>
        <v>1</v>
      </c>
      <c r="AH557" s="51">
        <f t="shared" si="32"/>
        <v>2.585026</v>
      </c>
      <c r="AI557" s="64"/>
      <c r="AJ557" s="1"/>
      <c r="AK557" s="65">
        <v>0</v>
      </c>
      <c r="AL557" s="1"/>
      <c r="AM557" s="1"/>
      <c r="AN557" s="81"/>
      <c r="AO557" s="81"/>
    </row>
    <row r="558" spans="1:41" s="26" customFormat="1" hidden="1" x14ac:dyDescent="0.25">
      <c r="A558" s="19" t="s">
        <v>1436</v>
      </c>
      <c r="B558" s="21" t="s">
        <v>197</v>
      </c>
      <c r="C558" s="21">
        <v>1.2</v>
      </c>
      <c r="D558" s="23">
        <v>1120</v>
      </c>
      <c r="E558" s="23"/>
      <c r="F558" s="23"/>
      <c r="G558" s="20" t="s">
        <v>1437</v>
      </c>
      <c r="H558" s="6"/>
      <c r="I558" s="6" t="s">
        <v>1311</v>
      </c>
      <c r="J558" s="6">
        <v>69</v>
      </c>
      <c r="K558" s="21">
        <v>1.3</v>
      </c>
      <c r="L558" s="21" t="s">
        <v>1301</v>
      </c>
      <c r="M558" s="6" t="s">
        <v>378</v>
      </c>
      <c r="N558" s="6" t="s">
        <v>1316</v>
      </c>
      <c r="O558" s="6"/>
      <c r="P558" s="6"/>
      <c r="Q558" s="27"/>
      <c r="R558" s="28" t="s">
        <v>272</v>
      </c>
      <c r="S558" s="6"/>
      <c r="T558" s="1">
        <v>2.5015703999999994</v>
      </c>
      <c r="U558" s="1">
        <v>2.2312500000000002</v>
      </c>
      <c r="V558" s="1">
        <v>2.5882499999999999</v>
      </c>
      <c r="W558" s="1">
        <v>2.2610000000000001</v>
      </c>
      <c r="X558" s="1">
        <v>3.0939999999999999</v>
      </c>
      <c r="Y558" s="1">
        <f t="shared" si="30"/>
        <v>2.5352140799999998</v>
      </c>
      <c r="Z558" s="10" t="s">
        <v>168</v>
      </c>
      <c r="AA558" s="10" t="s">
        <v>168</v>
      </c>
      <c r="AB558" s="10" t="s">
        <v>168</v>
      </c>
      <c r="AC558" s="10" t="s">
        <v>168</v>
      </c>
      <c r="AD558" s="10" t="s">
        <v>168</v>
      </c>
      <c r="AE558" s="10" t="s">
        <v>168</v>
      </c>
      <c r="AF558" s="10" t="s">
        <v>168</v>
      </c>
      <c r="AG558" s="38">
        <f t="shared" si="31"/>
        <v>1</v>
      </c>
      <c r="AH558" s="51">
        <f t="shared" si="32"/>
        <v>2.5352140799999998</v>
      </c>
      <c r="AI558" s="64"/>
      <c r="AJ558" s="1"/>
      <c r="AK558" s="65">
        <v>0</v>
      </c>
      <c r="AL558" s="1"/>
      <c r="AM558" s="1"/>
      <c r="AN558" s="81"/>
      <c r="AO558" s="81"/>
    </row>
    <row r="559" spans="1:41" s="26" customFormat="1" hidden="1" x14ac:dyDescent="0.25">
      <c r="A559" s="19" t="s">
        <v>1438</v>
      </c>
      <c r="B559" s="21" t="s">
        <v>160</v>
      </c>
      <c r="C559" s="21">
        <v>2</v>
      </c>
      <c r="D559" s="23"/>
      <c r="E559" s="23"/>
      <c r="F559" s="23" t="s">
        <v>1366</v>
      </c>
      <c r="G559" s="20" t="s">
        <v>1332</v>
      </c>
      <c r="H559" s="6"/>
      <c r="I559" s="6" t="s">
        <v>1311</v>
      </c>
      <c r="J559" s="6">
        <v>69</v>
      </c>
      <c r="K559" s="21">
        <v>1.1000000000000001</v>
      </c>
      <c r="L559" s="21" t="s">
        <v>1301</v>
      </c>
      <c r="M559" s="6" t="s">
        <v>378</v>
      </c>
      <c r="N559" s="6" t="s">
        <v>266</v>
      </c>
      <c r="O559" s="6"/>
      <c r="P559" s="6"/>
      <c r="Q559" s="27"/>
      <c r="R559" s="28" t="s">
        <v>272</v>
      </c>
      <c r="S559" s="6"/>
      <c r="T559" s="1">
        <v>1.792</v>
      </c>
      <c r="U559" s="1">
        <v>2.8159999999999998</v>
      </c>
      <c r="V559" s="1">
        <v>2.048</v>
      </c>
      <c r="W559" s="1">
        <v>2.56</v>
      </c>
      <c r="X559" s="1">
        <v>2.8159999999999998</v>
      </c>
      <c r="Y559" s="1">
        <f t="shared" si="30"/>
        <v>2.4064000000000001</v>
      </c>
      <c r="Z559" s="10" t="s">
        <v>168</v>
      </c>
      <c r="AA559" s="10" t="s">
        <v>168</v>
      </c>
      <c r="AB559" s="10" t="s">
        <v>168</v>
      </c>
      <c r="AC559" s="10" t="s">
        <v>168</v>
      </c>
      <c r="AD559" s="10" t="s">
        <v>168</v>
      </c>
      <c r="AE559" s="10" t="s">
        <v>168</v>
      </c>
      <c r="AF559" s="10" t="s">
        <v>168</v>
      </c>
      <c r="AG559" s="38">
        <f t="shared" si="31"/>
        <v>1</v>
      </c>
      <c r="AH559" s="51">
        <f t="shared" si="32"/>
        <v>2.4064000000000001</v>
      </c>
      <c r="AI559" s="64"/>
      <c r="AJ559" s="1"/>
      <c r="AK559" s="65">
        <v>0</v>
      </c>
      <c r="AL559" s="1"/>
      <c r="AM559" s="1"/>
      <c r="AN559" s="81"/>
      <c r="AO559" s="81"/>
    </row>
    <row r="560" spans="1:41" s="26" customFormat="1" hidden="1" x14ac:dyDescent="0.25">
      <c r="A560" s="19" t="s">
        <v>1439</v>
      </c>
      <c r="B560" s="21" t="s">
        <v>160</v>
      </c>
      <c r="C560" s="21">
        <v>1.5</v>
      </c>
      <c r="D560" s="23">
        <v>350</v>
      </c>
      <c r="E560" s="23">
        <v>107</v>
      </c>
      <c r="F560" s="23" t="s">
        <v>1427</v>
      </c>
      <c r="G560" s="20" t="s">
        <v>1440</v>
      </c>
      <c r="H560" s="6"/>
      <c r="I560" s="6" t="s">
        <v>1311</v>
      </c>
      <c r="J560" s="6">
        <v>60</v>
      </c>
      <c r="K560" s="21"/>
      <c r="L560" s="21" t="s">
        <v>51</v>
      </c>
      <c r="M560" s="6" t="s">
        <v>378</v>
      </c>
      <c r="N560" s="6">
        <v>246</v>
      </c>
      <c r="O560" s="6" t="s">
        <v>277</v>
      </c>
      <c r="P560" s="6"/>
      <c r="Q560" s="27"/>
      <c r="R560" s="28" t="s">
        <v>272</v>
      </c>
      <c r="S560" s="6"/>
      <c r="T560" s="1">
        <v>2.54928</v>
      </c>
      <c r="U560" s="1">
        <v>2.0520800000000001</v>
      </c>
      <c r="V560" s="1">
        <v>2.6894</v>
      </c>
      <c r="W560" s="1">
        <v>2.0520800000000001</v>
      </c>
      <c r="X560" s="1">
        <v>2.1198800000000002</v>
      </c>
      <c r="Y560" s="1">
        <f t="shared" si="30"/>
        <v>2.2925439999999999</v>
      </c>
      <c r="Z560" s="10" t="s">
        <v>168</v>
      </c>
      <c r="AA560" s="10" t="s">
        <v>168</v>
      </c>
      <c r="AB560" s="10" t="s">
        <v>168</v>
      </c>
      <c r="AC560" s="10" t="s">
        <v>168</v>
      </c>
      <c r="AD560" s="10" t="s">
        <v>168</v>
      </c>
      <c r="AE560" s="10" t="s">
        <v>168</v>
      </c>
      <c r="AF560" s="10" t="s">
        <v>168</v>
      </c>
      <c r="AG560" s="38">
        <f t="shared" si="31"/>
        <v>1</v>
      </c>
      <c r="AH560" s="51">
        <f t="shared" si="32"/>
        <v>2.2925439999999999</v>
      </c>
      <c r="AI560" s="64">
        <v>1</v>
      </c>
      <c r="AJ560" s="1" t="s">
        <v>1441</v>
      </c>
      <c r="AK560" s="65">
        <f>8029.74/12</f>
        <v>669.14499999999998</v>
      </c>
      <c r="AL560" s="1"/>
      <c r="AM560" s="1"/>
      <c r="AN560" s="81">
        <v>46174</v>
      </c>
      <c r="AO560" s="81" t="s">
        <v>180</v>
      </c>
    </row>
    <row r="561" spans="1:41" s="26" customFormat="1" hidden="1" x14ac:dyDescent="0.25">
      <c r="A561" s="19" t="s">
        <v>784</v>
      </c>
      <c r="B561" s="21" t="s">
        <v>160</v>
      </c>
      <c r="C561" s="21">
        <v>0.8</v>
      </c>
      <c r="D561" s="23">
        <v>1300</v>
      </c>
      <c r="E561" s="23"/>
      <c r="F561" s="23"/>
      <c r="G561" s="20" t="s">
        <v>785</v>
      </c>
      <c r="H561" s="6"/>
      <c r="I561" s="6" t="s">
        <v>1306</v>
      </c>
      <c r="J561" s="6">
        <v>59</v>
      </c>
      <c r="K561" s="21">
        <v>28</v>
      </c>
      <c r="L561" s="21" t="s">
        <v>39</v>
      </c>
      <c r="M561" s="6" t="s">
        <v>1364</v>
      </c>
      <c r="N561" s="6" t="s">
        <v>1406</v>
      </c>
      <c r="O561" s="6"/>
      <c r="P561" s="6"/>
      <c r="Q561" s="27"/>
      <c r="R561" s="28" t="s">
        <v>272</v>
      </c>
      <c r="S561" s="6" t="s">
        <v>177</v>
      </c>
      <c r="T561" s="1">
        <v>1.3824000000000001</v>
      </c>
      <c r="U561" s="1">
        <v>1.3824000000000001</v>
      </c>
      <c r="V561" s="1">
        <v>4.1471999999999998</v>
      </c>
      <c r="W561" s="1">
        <v>1.3824000000000001</v>
      </c>
      <c r="X561" s="1">
        <v>2.7648000000000001</v>
      </c>
      <c r="Y561" s="1">
        <f t="shared" si="30"/>
        <v>2.21184</v>
      </c>
      <c r="Z561" s="10" t="s">
        <v>168</v>
      </c>
      <c r="AA561" s="10" t="s">
        <v>168</v>
      </c>
      <c r="AB561" s="10" t="s">
        <v>168</v>
      </c>
      <c r="AC561" s="10" t="s">
        <v>168</v>
      </c>
      <c r="AD561" s="10" t="s">
        <v>168</v>
      </c>
      <c r="AE561" s="10" t="s">
        <v>168</v>
      </c>
      <c r="AF561" s="10" t="s">
        <v>168</v>
      </c>
      <c r="AG561" s="38">
        <f t="shared" si="31"/>
        <v>1</v>
      </c>
      <c r="AH561" s="51">
        <f t="shared" si="32"/>
        <v>2.21184</v>
      </c>
      <c r="AI561" s="64"/>
      <c r="AJ561" s="1"/>
      <c r="AK561" s="65">
        <v>0</v>
      </c>
      <c r="AL561" s="1"/>
      <c r="AM561" s="1"/>
      <c r="AN561" s="81"/>
      <c r="AO561" s="81"/>
    </row>
    <row r="562" spans="1:41" s="26" customFormat="1" hidden="1" x14ac:dyDescent="0.25">
      <c r="A562" s="19" t="s">
        <v>1442</v>
      </c>
      <c r="B562" s="21" t="s">
        <v>160</v>
      </c>
      <c r="C562" s="21">
        <v>1.2</v>
      </c>
      <c r="D562" s="23">
        <v>238</v>
      </c>
      <c r="E562" s="23">
        <v>150</v>
      </c>
      <c r="F562" s="23" t="s">
        <v>215</v>
      </c>
      <c r="G562" s="20" t="s">
        <v>916</v>
      </c>
      <c r="H562" s="6"/>
      <c r="I562" s="6" t="s">
        <v>1306</v>
      </c>
      <c r="J562" s="6">
        <v>59</v>
      </c>
      <c r="K562" s="21">
        <v>1.5</v>
      </c>
      <c r="L562" s="21" t="s">
        <v>1301</v>
      </c>
      <c r="M562" s="6" t="s">
        <v>378</v>
      </c>
      <c r="N562" s="6" t="s">
        <v>1316</v>
      </c>
      <c r="O562" s="6" t="s">
        <v>380</v>
      </c>
      <c r="P562" s="6"/>
      <c r="Q562" s="27"/>
      <c r="R562" s="28" t="s">
        <v>272</v>
      </c>
      <c r="S562" s="6"/>
      <c r="T562" s="1">
        <v>2.447886</v>
      </c>
      <c r="U562" s="1">
        <v>2.169384</v>
      </c>
      <c r="V562" s="1">
        <v>2.3013059999999999</v>
      </c>
      <c r="W562" s="1">
        <v>1.6416959999999998</v>
      </c>
      <c r="X562" s="1">
        <v>2.4772019999999997</v>
      </c>
      <c r="Y562" s="1">
        <f t="shared" si="30"/>
        <v>2.2074948000000001</v>
      </c>
      <c r="Z562" s="10" t="s">
        <v>168</v>
      </c>
      <c r="AA562" s="10" t="s">
        <v>168</v>
      </c>
      <c r="AB562" s="10" t="s">
        <v>168</v>
      </c>
      <c r="AC562" s="10" t="s">
        <v>168</v>
      </c>
      <c r="AD562" s="10" t="s">
        <v>168</v>
      </c>
      <c r="AE562" s="10" t="s">
        <v>168</v>
      </c>
      <c r="AF562" s="10" t="s">
        <v>168</v>
      </c>
      <c r="AG562" s="38">
        <f t="shared" si="31"/>
        <v>1</v>
      </c>
      <c r="AH562" s="51">
        <f t="shared" si="32"/>
        <v>2.2074948000000001</v>
      </c>
      <c r="AI562" s="64">
        <v>1</v>
      </c>
      <c r="AJ562" s="1" t="s">
        <v>1443</v>
      </c>
      <c r="AK562" s="65">
        <f>2833.87/12</f>
        <v>236.15583333333333</v>
      </c>
      <c r="AL562" s="1"/>
      <c r="AM562" s="1"/>
      <c r="AN562" s="81">
        <v>46174</v>
      </c>
      <c r="AO562" s="81" t="s">
        <v>180</v>
      </c>
    </row>
    <row r="563" spans="1:41" s="26" customFormat="1" hidden="1" x14ac:dyDescent="0.25">
      <c r="A563" s="19" t="s">
        <v>1444</v>
      </c>
      <c r="B563" s="21" t="s">
        <v>160</v>
      </c>
      <c r="C563" s="21">
        <v>1.2</v>
      </c>
      <c r="D563" s="23">
        <v>350</v>
      </c>
      <c r="E563" s="23">
        <v>250</v>
      </c>
      <c r="F563" s="23" t="s">
        <v>215</v>
      </c>
      <c r="G563" s="20" t="s">
        <v>1445</v>
      </c>
      <c r="H563" s="6"/>
      <c r="I563" s="6" t="s">
        <v>1311</v>
      </c>
      <c r="J563" s="6">
        <v>60</v>
      </c>
      <c r="K563" s="21">
        <v>2</v>
      </c>
      <c r="L563" s="21" t="s">
        <v>1301</v>
      </c>
      <c r="M563" s="6" t="s">
        <v>378</v>
      </c>
      <c r="N563" s="6" t="s">
        <v>1446</v>
      </c>
      <c r="O563" s="6" t="s">
        <v>277</v>
      </c>
      <c r="P563" s="6"/>
      <c r="Q563" s="27"/>
      <c r="R563" s="28" t="s">
        <v>272</v>
      </c>
      <c r="S563" s="6"/>
      <c r="T563" s="1">
        <v>2.1059999999999999</v>
      </c>
      <c r="U563" s="1">
        <v>2.4569999999999999</v>
      </c>
      <c r="V563" s="1">
        <v>1.7549999999999999</v>
      </c>
      <c r="W563" s="1">
        <v>2.1059999999999999</v>
      </c>
      <c r="X563" s="1">
        <v>2.4569999999999999</v>
      </c>
      <c r="Y563" s="1">
        <f t="shared" si="30"/>
        <v>2.1762000000000001</v>
      </c>
      <c r="Z563" s="10" t="s">
        <v>168</v>
      </c>
      <c r="AA563" s="10" t="s">
        <v>168</v>
      </c>
      <c r="AB563" s="10" t="s">
        <v>168</v>
      </c>
      <c r="AC563" s="10" t="s">
        <v>168</v>
      </c>
      <c r="AD563" s="10" t="s">
        <v>168</v>
      </c>
      <c r="AE563" s="10" t="s">
        <v>168</v>
      </c>
      <c r="AF563" s="10" t="s">
        <v>168</v>
      </c>
      <c r="AG563" s="38">
        <f t="shared" si="31"/>
        <v>1</v>
      </c>
      <c r="AH563" s="51">
        <f t="shared" si="32"/>
        <v>2.1762000000000001</v>
      </c>
      <c r="AI563" s="64">
        <v>1</v>
      </c>
      <c r="AJ563" s="1" t="s">
        <v>1444</v>
      </c>
      <c r="AK563" s="65">
        <f>7375.39/12</f>
        <v>614.6158333333334</v>
      </c>
      <c r="AL563" s="1"/>
      <c r="AM563" s="1"/>
      <c r="AN563" s="81">
        <v>46174</v>
      </c>
      <c r="AO563" s="81" t="s">
        <v>180</v>
      </c>
    </row>
    <row r="564" spans="1:41" s="26" customFormat="1" hidden="1" x14ac:dyDescent="0.25">
      <c r="A564" s="19" t="s">
        <v>1447</v>
      </c>
      <c r="B564" s="21" t="s">
        <v>160</v>
      </c>
      <c r="C564" s="21">
        <v>0.7</v>
      </c>
      <c r="D564" s="23">
        <v>270</v>
      </c>
      <c r="E564" s="23">
        <v>131</v>
      </c>
      <c r="F564" s="23" t="s">
        <v>215</v>
      </c>
      <c r="G564" s="20" t="s">
        <v>1448</v>
      </c>
      <c r="H564" s="6"/>
      <c r="I564" s="6" t="s">
        <v>1311</v>
      </c>
      <c r="J564" s="6">
        <v>60</v>
      </c>
      <c r="K564" s="21"/>
      <c r="L564" s="21" t="s">
        <v>1301</v>
      </c>
      <c r="M564" s="6" t="s">
        <v>378</v>
      </c>
      <c r="N564" s="6">
        <v>246</v>
      </c>
      <c r="O564" s="6" t="s">
        <v>277</v>
      </c>
      <c r="P564" s="6"/>
      <c r="Q564" s="27"/>
      <c r="R564" s="28" t="s">
        <v>272</v>
      </c>
      <c r="S564" s="6"/>
      <c r="T564" s="1">
        <v>2.4</v>
      </c>
      <c r="U564" s="1">
        <v>1.8</v>
      </c>
      <c r="V564" s="1">
        <v>2.4</v>
      </c>
      <c r="W564" s="1">
        <v>1.8</v>
      </c>
      <c r="X564" s="1">
        <v>1.8</v>
      </c>
      <c r="Y564" s="1">
        <f t="shared" si="30"/>
        <v>2.04</v>
      </c>
      <c r="Z564" s="10" t="s">
        <v>168</v>
      </c>
      <c r="AA564" s="10" t="s">
        <v>168</v>
      </c>
      <c r="AB564" s="10" t="s">
        <v>168</v>
      </c>
      <c r="AC564" s="10" t="s">
        <v>168</v>
      </c>
      <c r="AD564" s="10" t="s">
        <v>168</v>
      </c>
      <c r="AE564" s="10" t="s">
        <v>168</v>
      </c>
      <c r="AF564" s="10" t="s">
        <v>168</v>
      </c>
      <c r="AG564" s="38">
        <f t="shared" si="31"/>
        <v>1</v>
      </c>
      <c r="AH564" s="51">
        <f t="shared" si="32"/>
        <v>2.04</v>
      </c>
      <c r="AI564" s="64">
        <v>1</v>
      </c>
      <c r="AJ564" s="1" t="s">
        <v>1449</v>
      </c>
      <c r="AK564" s="65">
        <f>6109.21/12</f>
        <v>509.10083333333336</v>
      </c>
      <c r="AL564" s="1"/>
      <c r="AM564" s="1"/>
      <c r="AN564" s="81">
        <v>46174</v>
      </c>
      <c r="AO564" s="81" t="s">
        <v>180</v>
      </c>
    </row>
    <row r="565" spans="1:41" s="26" customFormat="1" hidden="1" x14ac:dyDescent="0.25">
      <c r="A565" s="19" t="s">
        <v>1450</v>
      </c>
      <c r="B565" s="21" t="s">
        <v>160</v>
      </c>
      <c r="C565" s="21">
        <v>0.8</v>
      </c>
      <c r="D565" s="23">
        <v>337</v>
      </c>
      <c r="E565" s="23"/>
      <c r="F565" s="23" t="s">
        <v>215</v>
      </c>
      <c r="G565" s="20" t="s">
        <v>1451</v>
      </c>
      <c r="H565" s="6"/>
      <c r="I565" s="6" t="s">
        <v>1311</v>
      </c>
      <c r="J565" s="6">
        <v>60</v>
      </c>
      <c r="K565" s="21"/>
      <c r="L565" s="21" t="s">
        <v>51</v>
      </c>
      <c r="M565" s="6" t="s">
        <v>378</v>
      </c>
      <c r="N565" s="6">
        <v>246</v>
      </c>
      <c r="O565" s="6"/>
      <c r="P565" s="6"/>
      <c r="Q565" s="27"/>
      <c r="R565" s="28" t="s">
        <v>272</v>
      </c>
      <c r="S565" s="6"/>
      <c r="T565" s="1">
        <v>1.575</v>
      </c>
      <c r="U565" s="1">
        <v>1.26</v>
      </c>
      <c r="V565" s="1">
        <v>1.26</v>
      </c>
      <c r="W565" s="1">
        <v>1.26</v>
      </c>
      <c r="X565" s="1">
        <v>1.26</v>
      </c>
      <c r="Y565" s="1">
        <f t="shared" si="30"/>
        <v>1.323</v>
      </c>
      <c r="Z565" s="10" t="s">
        <v>168</v>
      </c>
      <c r="AA565" s="10" t="s">
        <v>168</v>
      </c>
      <c r="AB565" s="10" t="s">
        <v>168</v>
      </c>
      <c r="AC565" s="10" t="s">
        <v>168</v>
      </c>
      <c r="AD565" s="10" t="s">
        <v>168</v>
      </c>
      <c r="AE565" s="10" t="s">
        <v>168</v>
      </c>
      <c r="AF565" s="10" t="s">
        <v>168</v>
      </c>
      <c r="AG565" s="38">
        <f t="shared" si="31"/>
        <v>1</v>
      </c>
      <c r="AH565" s="51">
        <f t="shared" si="32"/>
        <v>1.323</v>
      </c>
      <c r="AI565" s="64"/>
      <c r="AJ565" s="1"/>
      <c r="AK565" s="65">
        <v>0</v>
      </c>
      <c r="AL565" s="1"/>
      <c r="AM565" s="1"/>
      <c r="AN565" s="81"/>
      <c r="AO565" s="81"/>
    </row>
    <row r="566" spans="1:41" s="26" customFormat="1" hidden="1" x14ac:dyDescent="0.25">
      <c r="A566" s="19" t="s">
        <v>1452</v>
      </c>
      <c r="B566" s="21" t="s">
        <v>160</v>
      </c>
      <c r="C566" s="21">
        <v>1</v>
      </c>
      <c r="D566" s="23">
        <v>1150</v>
      </c>
      <c r="E566" s="23"/>
      <c r="F566" s="23"/>
      <c r="G566" s="20" t="s">
        <v>1453</v>
      </c>
      <c r="H566" s="6"/>
      <c r="I566" s="6" t="s">
        <v>1311</v>
      </c>
      <c r="J566" s="6">
        <v>69</v>
      </c>
      <c r="K566" s="21">
        <v>26</v>
      </c>
      <c r="L566" s="21" t="s">
        <v>39</v>
      </c>
      <c r="M566" s="6" t="s">
        <v>338</v>
      </c>
      <c r="N566" s="6" t="s">
        <v>1389</v>
      </c>
      <c r="O566" s="6"/>
      <c r="P566" s="6"/>
      <c r="Q566" s="27"/>
      <c r="R566" s="28" t="s">
        <v>272</v>
      </c>
      <c r="S566" s="6" t="s">
        <v>177</v>
      </c>
      <c r="T566" s="1">
        <v>1.0968</v>
      </c>
      <c r="U566" s="1">
        <v>1.0968</v>
      </c>
      <c r="V566" s="1">
        <v>1.0972570000000001</v>
      </c>
      <c r="W566" s="1">
        <v>1.6456570000000001</v>
      </c>
      <c r="X566" s="1">
        <v>1.6456570000000001</v>
      </c>
      <c r="Y566" s="1">
        <f t="shared" si="30"/>
        <v>1.3164342</v>
      </c>
      <c r="Z566" s="10" t="s">
        <v>168</v>
      </c>
      <c r="AA566" s="10" t="s">
        <v>168</v>
      </c>
      <c r="AB566" s="10" t="s">
        <v>168</v>
      </c>
      <c r="AC566" s="10" t="s">
        <v>168</v>
      </c>
      <c r="AD566" s="10" t="s">
        <v>168</v>
      </c>
      <c r="AE566" s="10" t="s">
        <v>168</v>
      </c>
      <c r="AF566" s="10" t="s">
        <v>168</v>
      </c>
      <c r="AG566" s="38">
        <f t="shared" si="31"/>
        <v>1</v>
      </c>
      <c r="AH566" s="51">
        <f t="shared" si="32"/>
        <v>1.3164342</v>
      </c>
      <c r="AI566" s="64"/>
      <c r="AJ566" s="1"/>
      <c r="AK566" s="65">
        <v>0</v>
      </c>
      <c r="AL566" s="1"/>
      <c r="AM566" s="1"/>
      <c r="AN566" s="81"/>
      <c r="AO566" s="81"/>
    </row>
    <row r="567" spans="1:41" s="26" customFormat="1" hidden="1" x14ac:dyDescent="0.25">
      <c r="A567" s="32" t="s">
        <v>1454</v>
      </c>
      <c r="B567" s="21" t="s">
        <v>197</v>
      </c>
      <c r="C567" s="21">
        <v>1</v>
      </c>
      <c r="D567" s="23">
        <v>1150</v>
      </c>
      <c r="E567" s="23"/>
      <c r="F567" s="23"/>
      <c r="G567" s="20" t="s">
        <v>1455</v>
      </c>
      <c r="H567" s="6"/>
      <c r="I567" s="6"/>
      <c r="J567" s="6">
        <v>60</v>
      </c>
      <c r="K567" s="21">
        <v>18</v>
      </c>
      <c r="L567" s="21" t="s">
        <v>39</v>
      </c>
      <c r="M567" s="6" t="s">
        <v>338</v>
      </c>
      <c r="N567" s="6" t="s">
        <v>218</v>
      </c>
      <c r="O567" s="6"/>
      <c r="P567" s="6"/>
      <c r="Q567" s="27"/>
      <c r="R567" s="28" t="s">
        <v>272</v>
      </c>
      <c r="S567" s="6" t="s">
        <v>177</v>
      </c>
      <c r="T567" s="1">
        <v>0.82367999999999997</v>
      </c>
      <c r="U567" s="1">
        <v>1.1119680000000001</v>
      </c>
      <c r="V567" s="1">
        <v>1.4002559999999999</v>
      </c>
      <c r="W567" s="1">
        <v>1.070784</v>
      </c>
      <c r="X567" s="1">
        <v>1.23552</v>
      </c>
      <c r="Y567" s="1">
        <f t="shared" si="30"/>
        <v>1.1284415999999999</v>
      </c>
      <c r="Z567" s="10" t="s">
        <v>168</v>
      </c>
      <c r="AA567" s="10" t="s">
        <v>168</v>
      </c>
      <c r="AB567" s="10" t="s">
        <v>168</v>
      </c>
      <c r="AC567" s="10" t="s">
        <v>168</v>
      </c>
      <c r="AD567" s="10" t="s">
        <v>168</v>
      </c>
      <c r="AE567" s="10" t="s">
        <v>168</v>
      </c>
      <c r="AF567" s="10" t="s">
        <v>168</v>
      </c>
      <c r="AG567" s="38">
        <f t="shared" si="31"/>
        <v>1</v>
      </c>
      <c r="AH567" s="51">
        <f t="shared" si="32"/>
        <v>1.1284415999999999</v>
      </c>
      <c r="AI567" s="64"/>
      <c r="AJ567" s="1"/>
      <c r="AK567" s="65">
        <v>0</v>
      </c>
      <c r="AL567" s="1"/>
      <c r="AM567" s="1"/>
      <c r="AN567" s="81"/>
      <c r="AO567" s="81"/>
    </row>
    <row r="568" spans="1:41" s="26" customFormat="1" hidden="1" x14ac:dyDescent="0.25">
      <c r="A568" s="19" t="s">
        <v>1456</v>
      </c>
      <c r="B568" s="21" t="s">
        <v>197</v>
      </c>
      <c r="C568" s="21">
        <v>0.65</v>
      </c>
      <c r="D568" s="23">
        <v>1150</v>
      </c>
      <c r="E568" s="23"/>
      <c r="F568" s="23" t="s">
        <v>215</v>
      </c>
      <c r="G568" s="20" t="s">
        <v>1457</v>
      </c>
      <c r="H568" s="6"/>
      <c r="I568" s="6" t="s">
        <v>1311</v>
      </c>
      <c r="J568" s="6">
        <v>69</v>
      </c>
      <c r="K568" s="21">
        <v>1</v>
      </c>
      <c r="L568" s="21" t="s">
        <v>1301</v>
      </c>
      <c r="M568" s="6" t="s">
        <v>378</v>
      </c>
      <c r="N568" s="6" t="s">
        <v>331</v>
      </c>
      <c r="O568" s="6"/>
      <c r="P568" s="6"/>
      <c r="Q568" s="27"/>
      <c r="R568" s="28" t="s">
        <v>272</v>
      </c>
      <c r="S568" s="6"/>
      <c r="T568" s="1">
        <v>1.0540799999999999</v>
      </c>
      <c r="U568" s="1">
        <v>1.1232</v>
      </c>
      <c r="V568" s="1">
        <v>1.1865599999999998</v>
      </c>
      <c r="W568" s="1">
        <v>0.84671999999999992</v>
      </c>
      <c r="X568" s="1">
        <v>1.2787200000000001</v>
      </c>
      <c r="Y568" s="1">
        <f t="shared" si="30"/>
        <v>1.0978559999999997</v>
      </c>
      <c r="Z568" s="10" t="s">
        <v>168</v>
      </c>
      <c r="AA568" s="10" t="s">
        <v>168</v>
      </c>
      <c r="AB568" s="10" t="s">
        <v>168</v>
      </c>
      <c r="AC568" s="10" t="s">
        <v>168</v>
      </c>
      <c r="AD568" s="10" t="s">
        <v>168</v>
      </c>
      <c r="AE568" s="10" t="s">
        <v>168</v>
      </c>
      <c r="AF568" s="10" t="s">
        <v>168</v>
      </c>
      <c r="AG568" s="38">
        <f t="shared" si="31"/>
        <v>1</v>
      </c>
      <c r="AH568" s="51">
        <f t="shared" si="32"/>
        <v>1.0978559999999997</v>
      </c>
      <c r="AI568" s="64"/>
      <c r="AJ568" s="1"/>
      <c r="AK568" s="65">
        <v>0</v>
      </c>
      <c r="AL568" s="1"/>
      <c r="AM568" s="1"/>
      <c r="AN568" s="81"/>
      <c r="AO568" s="81"/>
    </row>
    <row r="569" spans="1:41" s="26" customFormat="1" hidden="1" x14ac:dyDescent="0.25">
      <c r="A569" s="19" t="s">
        <v>1458</v>
      </c>
      <c r="B569" s="21" t="s">
        <v>160</v>
      </c>
      <c r="C569" s="21">
        <v>1.5</v>
      </c>
      <c r="D569" s="23">
        <v>263</v>
      </c>
      <c r="E569" s="23">
        <v>107</v>
      </c>
      <c r="F569" s="23" t="s">
        <v>1366</v>
      </c>
      <c r="G569" s="20" t="s">
        <v>1459</v>
      </c>
      <c r="H569" s="6"/>
      <c r="I569" s="6" t="s">
        <v>1311</v>
      </c>
      <c r="J569" s="6">
        <v>69</v>
      </c>
      <c r="K569" s="21">
        <v>0.5</v>
      </c>
      <c r="L569" s="21" t="s">
        <v>1301</v>
      </c>
      <c r="M569" s="6" t="s">
        <v>378</v>
      </c>
      <c r="N569" s="6" t="s">
        <v>331</v>
      </c>
      <c r="O569" s="6" t="s">
        <v>277</v>
      </c>
      <c r="P569" s="6"/>
      <c r="Q569" s="27"/>
      <c r="R569" s="28" t="s">
        <v>272</v>
      </c>
      <c r="S569" s="6"/>
      <c r="T569" s="1">
        <v>0.95568000000000008</v>
      </c>
      <c r="U569" s="1">
        <v>1.0296000000000001</v>
      </c>
      <c r="V569" s="1">
        <v>1.08768</v>
      </c>
      <c r="W569" s="1">
        <v>0.77616000000000007</v>
      </c>
      <c r="X569" s="1">
        <v>1.1721600000000001</v>
      </c>
      <c r="Y569" s="1">
        <f t="shared" si="30"/>
        <v>1.004256</v>
      </c>
      <c r="Z569" s="10" t="s">
        <v>168</v>
      </c>
      <c r="AA569" s="10" t="s">
        <v>168</v>
      </c>
      <c r="AB569" s="10" t="s">
        <v>168</v>
      </c>
      <c r="AC569" s="10" t="s">
        <v>168</v>
      </c>
      <c r="AD569" s="10" t="s">
        <v>168</v>
      </c>
      <c r="AE569" s="10" t="s">
        <v>168</v>
      </c>
      <c r="AF569" s="10" t="s">
        <v>168</v>
      </c>
      <c r="AG569" s="38">
        <f t="shared" si="31"/>
        <v>1</v>
      </c>
      <c r="AH569" s="51">
        <f t="shared" si="32"/>
        <v>1.004256</v>
      </c>
      <c r="AI569" s="64">
        <v>1</v>
      </c>
      <c r="AJ569" s="1" t="s">
        <v>1460</v>
      </c>
      <c r="AK569" s="65">
        <f>7591.66/12</f>
        <v>632.63833333333332</v>
      </c>
      <c r="AL569" s="1"/>
      <c r="AM569" s="1"/>
      <c r="AN569" s="81">
        <v>46174</v>
      </c>
      <c r="AO569" s="81" t="s">
        <v>180</v>
      </c>
    </row>
    <row r="570" spans="1:41" s="26" customFormat="1" hidden="1" x14ac:dyDescent="0.25">
      <c r="A570" s="19" t="s">
        <v>1461</v>
      </c>
      <c r="B570" s="21" t="s">
        <v>160</v>
      </c>
      <c r="C570" s="21">
        <v>1.5</v>
      </c>
      <c r="D570" s="23">
        <v>157</v>
      </c>
      <c r="E570" s="23"/>
      <c r="F570" s="23" t="s">
        <v>1427</v>
      </c>
      <c r="G570" s="20" t="s">
        <v>1451</v>
      </c>
      <c r="H570" s="6"/>
      <c r="I570" s="6" t="s">
        <v>1311</v>
      </c>
      <c r="J570" s="6">
        <v>60</v>
      </c>
      <c r="K570" s="21"/>
      <c r="L570" s="21" t="s">
        <v>51</v>
      </c>
      <c r="M570" s="6" t="s">
        <v>378</v>
      </c>
      <c r="N570" s="6">
        <v>246</v>
      </c>
      <c r="O570" s="6"/>
      <c r="P570" s="6"/>
      <c r="Q570" s="27"/>
      <c r="R570" s="28" t="s">
        <v>272</v>
      </c>
      <c r="S570" s="6"/>
      <c r="T570" s="1">
        <v>1.008</v>
      </c>
      <c r="U570" s="1">
        <v>1.008</v>
      </c>
      <c r="V570" s="1">
        <v>1.008</v>
      </c>
      <c r="W570" s="1">
        <v>0.67200000000000004</v>
      </c>
      <c r="X570" s="1">
        <v>0.67200000000000004</v>
      </c>
      <c r="Y570" s="1">
        <f t="shared" si="30"/>
        <v>0.87360000000000004</v>
      </c>
      <c r="Z570" s="10" t="s">
        <v>168</v>
      </c>
      <c r="AA570" s="10" t="s">
        <v>168</v>
      </c>
      <c r="AB570" s="10" t="s">
        <v>168</v>
      </c>
      <c r="AC570" s="10" t="s">
        <v>168</v>
      </c>
      <c r="AD570" s="10" t="s">
        <v>168</v>
      </c>
      <c r="AE570" s="10" t="s">
        <v>168</v>
      </c>
      <c r="AF570" s="10" t="s">
        <v>168</v>
      </c>
      <c r="AG570" s="38">
        <f t="shared" si="31"/>
        <v>1</v>
      </c>
      <c r="AH570" s="51">
        <f t="shared" si="32"/>
        <v>0.87360000000000004</v>
      </c>
      <c r="AI570" s="64"/>
      <c r="AJ570" s="1"/>
      <c r="AK570" s="65">
        <v>0</v>
      </c>
      <c r="AL570" s="1"/>
      <c r="AM570" s="1"/>
      <c r="AN570" s="81"/>
      <c r="AO570" s="81"/>
    </row>
    <row r="571" spans="1:41" s="26" customFormat="1" hidden="1" x14ac:dyDescent="0.25">
      <c r="A571" s="19" t="s">
        <v>1462</v>
      </c>
      <c r="B571" s="21" t="s">
        <v>160</v>
      </c>
      <c r="C571" s="21">
        <v>0.65</v>
      </c>
      <c r="D571" s="23">
        <v>172</v>
      </c>
      <c r="E571" s="23"/>
      <c r="F571" s="23"/>
      <c r="G571" s="20" t="s">
        <v>1332</v>
      </c>
      <c r="H571" s="6"/>
      <c r="I571" s="6" t="s">
        <v>1306</v>
      </c>
      <c r="J571" s="6">
        <v>59</v>
      </c>
      <c r="K571" s="21">
        <v>1</v>
      </c>
      <c r="L571" s="21" t="s">
        <v>1301</v>
      </c>
      <c r="M571" s="6" t="s">
        <v>378</v>
      </c>
      <c r="N571" s="6" t="s">
        <v>331</v>
      </c>
      <c r="O571" s="6"/>
      <c r="P571" s="6"/>
      <c r="Q571" s="27"/>
      <c r="R571" s="28" t="s">
        <v>272</v>
      </c>
      <c r="S571" s="6"/>
      <c r="T571" s="1">
        <v>0.68</v>
      </c>
      <c r="U571" s="1">
        <v>0.95200000000000007</v>
      </c>
      <c r="V571" s="1">
        <v>0.81600000000000006</v>
      </c>
      <c r="W571" s="1">
        <v>0.68</v>
      </c>
      <c r="X571" s="1">
        <v>0.95200000000000007</v>
      </c>
      <c r="Y571" s="1">
        <f t="shared" si="30"/>
        <v>0.81600000000000017</v>
      </c>
      <c r="Z571" s="10" t="s">
        <v>168</v>
      </c>
      <c r="AA571" s="10" t="s">
        <v>168</v>
      </c>
      <c r="AB571" s="10" t="s">
        <v>168</v>
      </c>
      <c r="AC571" s="10" t="s">
        <v>168</v>
      </c>
      <c r="AD571" s="10" t="s">
        <v>168</v>
      </c>
      <c r="AE571" s="10" t="s">
        <v>168</v>
      </c>
      <c r="AF571" s="10" t="s">
        <v>168</v>
      </c>
      <c r="AG571" s="38">
        <f t="shared" si="31"/>
        <v>1</v>
      </c>
      <c r="AH571" s="51">
        <f t="shared" si="32"/>
        <v>0.81600000000000017</v>
      </c>
      <c r="AI571" s="64"/>
      <c r="AJ571" s="1"/>
      <c r="AK571" s="65">
        <v>0</v>
      </c>
      <c r="AL571" s="1"/>
      <c r="AM571" s="1"/>
      <c r="AN571" s="81"/>
      <c r="AO571" s="81"/>
    </row>
    <row r="572" spans="1:41" s="26" customFormat="1" hidden="1" x14ac:dyDescent="0.25">
      <c r="A572" s="19" t="s">
        <v>1463</v>
      </c>
      <c r="B572" s="21" t="s">
        <v>160</v>
      </c>
      <c r="C572" s="21">
        <v>1.2</v>
      </c>
      <c r="D572" s="23">
        <v>325</v>
      </c>
      <c r="E572" s="23"/>
      <c r="F572" s="23" t="s">
        <v>1427</v>
      </c>
      <c r="G572" s="20" t="s">
        <v>1464</v>
      </c>
      <c r="H572" s="6"/>
      <c r="I572" s="6" t="s">
        <v>1311</v>
      </c>
      <c r="J572" s="6">
        <v>60</v>
      </c>
      <c r="K572" s="21"/>
      <c r="L572" s="21" t="s">
        <v>1312</v>
      </c>
      <c r="M572" s="6" t="s">
        <v>378</v>
      </c>
      <c r="N572" s="6">
        <v>246</v>
      </c>
      <c r="O572" s="6"/>
      <c r="P572" s="6"/>
      <c r="Q572" s="27"/>
      <c r="R572" s="28" t="s">
        <v>272</v>
      </c>
      <c r="S572" s="6"/>
      <c r="T572" s="1">
        <v>0.91276599999999997</v>
      </c>
      <c r="U572" s="1">
        <v>0.71668799999999999</v>
      </c>
      <c r="V572" s="1">
        <v>0.93931000000000009</v>
      </c>
      <c r="W572" s="1">
        <v>0.72000599999999992</v>
      </c>
      <c r="X572" s="1">
        <v>0.74023000000000005</v>
      </c>
      <c r="Y572" s="1">
        <f t="shared" si="30"/>
        <v>0.80579999999999996</v>
      </c>
      <c r="Z572" s="10" t="s">
        <v>168</v>
      </c>
      <c r="AA572" s="10" t="s">
        <v>168</v>
      </c>
      <c r="AB572" s="10" t="s">
        <v>168</v>
      </c>
      <c r="AC572" s="10" t="s">
        <v>168</v>
      </c>
      <c r="AD572" s="10" t="s">
        <v>168</v>
      </c>
      <c r="AE572" s="10" t="s">
        <v>168</v>
      </c>
      <c r="AF572" s="10" t="s">
        <v>168</v>
      </c>
      <c r="AG572" s="38">
        <f t="shared" si="31"/>
        <v>1</v>
      </c>
      <c r="AH572" s="51">
        <f t="shared" si="32"/>
        <v>0.80579999999999996</v>
      </c>
      <c r="AI572" s="64"/>
      <c r="AJ572" s="1"/>
      <c r="AK572" s="65">
        <v>0</v>
      </c>
      <c r="AL572" s="1"/>
      <c r="AM572" s="1"/>
      <c r="AN572" s="81"/>
      <c r="AO572" s="81"/>
    </row>
    <row r="573" spans="1:41" s="26" customFormat="1" hidden="1" x14ac:dyDescent="0.25">
      <c r="A573" s="19" t="s">
        <v>1465</v>
      </c>
      <c r="B573" s="21" t="s">
        <v>160</v>
      </c>
      <c r="C573" s="21">
        <v>2</v>
      </c>
      <c r="D573" s="23">
        <v>1000</v>
      </c>
      <c r="E573" s="23"/>
      <c r="F573" s="23" t="s">
        <v>1366</v>
      </c>
      <c r="G573" s="20" t="s">
        <v>1466</v>
      </c>
      <c r="H573" s="6"/>
      <c r="I573" s="6" t="s">
        <v>1311</v>
      </c>
      <c r="J573" s="6">
        <v>69</v>
      </c>
      <c r="K573" s="21">
        <v>0.5</v>
      </c>
      <c r="L573" s="21" t="s">
        <v>1301</v>
      </c>
      <c r="M573" s="6" t="s">
        <v>378</v>
      </c>
      <c r="N573" s="6" t="s">
        <v>331</v>
      </c>
      <c r="O573" s="6"/>
      <c r="P573" s="6"/>
      <c r="Q573" s="27"/>
      <c r="R573" s="28" t="s">
        <v>272</v>
      </c>
      <c r="S573" s="6"/>
      <c r="T573" s="1">
        <v>0.64873599999999998</v>
      </c>
      <c r="U573" s="1">
        <v>0.58216000000000001</v>
      </c>
      <c r="V573" s="1">
        <v>0.70269599999999988</v>
      </c>
      <c r="W573" s="1">
        <v>0.52379199999999992</v>
      </c>
      <c r="X573" s="1">
        <v>0.62639200000000006</v>
      </c>
      <c r="Y573" s="1">
        <f t="shared" si="30"/>
        <v>0.61675519999999995</v>
      </c>
      <c r="Z573" s="10" t="s">
        <v>168</v>
      </c>
      <c r="AA573" s="10" t="s">
        <v>168</v>
      </c>
      <c r="AB573" s="10" t="s">
        <v>168</v>
      </c>
      <c r="AC573" s="10" t="s">
        <v>168</v>
      </c>
      <c r="AD573" s="10" t="s">
        <v>168</v>
      </c>
      <c r="AE573" s="10" t="s">
        <v>168</v>
      </c>
      <c r="AF573" s="10" t="s">
        <v>168</v>
      </c>
      <c r="AG573" s="38">
        <f t="shared" si="31"/>
        <v>1</v>
      </c>
      <c r="AH573" s="51">
        <f t="shared" si="32"/>
        <v>0.61675519999999995</v>
      </c>
      <c r="AI573" s="64"/>
      <c r="AJ573" s="1"/>
      <c r="AK573" s="65">
        <v>0</v>
      </c>
      <c r="AL573" s="1"/>
      <c r="AM573" s="1"/>
      <c r="AN573" s="81"/>
      <c r="AO573" s="81"/>
    </row>
    <row r="574" spans="1:41" s="26" customFormat="1" hidden="1" x14ac:dyDescent="0.25">
      <c r="A574" s="19" t="s">
        <v>1467</v>
      </c>
      <c r="B574" s="21" t="s">
        <v>160</v>
      </c>
      <c r="C574" s="21">
        <v>1.2</v>
      </c>
      <c r="D574" s="23">
        <v>1400</v>
      </c>
      <c r="E574" s="23"/>
      <c r="F574" s="23"/>
      <c r="G574" s="20" t="s">
        <v>1468</v>
      </c>
      <c r="H574" s="6"/>
      <c r="I574" s="6" t="s">
        <v>1306</v>
      </c>
      <c r="J574" s="6">
        <v>59</v>
      </c>
      <c r="K574" s="21">
        <v>32</v>
      </c>
      <c r="L574" s="21" t="s">
        <v>39</v>
      </c>
      <c r="M574" s="6" t="s">
        <v>1364</v>
      </c>
      <c r="N574" s="6" t="s">
        <v>1469</v>
      </c>
      <c r="O574" s="6"/>
      <c r="P574" s="6"/>
      <c r="Q574" s="27"/>
      <c r="R574" s="28" t="s">
        <v>272</v>
      </c>
      <c r="S574" s="6" t="s">
        <v>177</v>
      </c>
      <c r="T574" s="1">
        <v>0</v>
      </c>
      <c r="U574" s="1">
        <v>0.48</v>
      </c>
      <c r="V574" s="1">
        <v>0.96</v>
      </c>
      <c r="W574" s="1">
        <v>0.6</v>
      </c>
      <c r="X574" s="1">
        <v>0.6</v>
      </c>
      <c r="Y574" s="1">
        <f t="shared" si="30"/>
        <v>0.52800000000000002</v>
      </c>
      <c r="Z574" s="10" t="s">
        <v>168</v>
      </c>
      <c r="AA574" s="10" t="s">
        <v>168</v>
      </c>
      <c r="AB574" s="10" t="s">
        <v>168</v>
      </c>
      <c r="AC574" s="10" t="s">
        <v>168</v>
      </c>
      <c r="AD574" s="10" t="s">
        <v>168</v>
      </c>
      <c r="AE574" s="10" t="s">
        <v>168</v>
      </c>
      <c r="AF574" s="10" t="s">
        <v>168</v>
      </c>
      <c r="AG574" s="38">
        <f t="shared" si="31"/>
        <v>1</v>
      </c>
      <c r="AH574" s="51">
        <f t="shared" si="32"/>
        <v>0.52800000000000002</v>
      </c>
      <c r="AI574" s="64"/>
      <c r="AJ574" s="1"/>
      <c r="AK574" s="65">
        <v>0</v>
      </c>
      <c r="AL574" s="1"/>
      <c r="AM574" s="1"/>
      <c r="AN574" s="81"/>
      <c r="AO574" s="81"/>
    </row>
    <row r="575" spans="1:41" s="26" customFormat="1" hidden="1" x14ac:dyDescent="0.25">
      <c r="A575" s="19" t="s">
        <v>1470</v>
      </c>
      <c r="B575" s="21" t="s">
        <v>160</v>
      </c>
      <c r="C575" s="21">
        <v>0.6</v>
      </c>
      <c r="D575" s="23">
        <v>1000</v>
      </c>
      <c r="E575" s="23"/>
      <c r="F575" s="23"/>
      <c r="G575" s="20" t="s">
        <v>1471</v>
      </c>
      <c r="H575" s="6"/>
      <c r="I575" s="6" t="s">
        <v>1306</v>
      </c>
      <c r="J575" s="6">
        <v>69</v>
      </c>
      <c r="K575" s="21">
        <v>26</v>
      </c>
      <c r="L575" s="21" t="s">
        <v>39</v>
      </c>
      <c r="M575" s="6" t="s">
        <v>1364</v>
      </c>
      <c r="N575" s="6" t="s">
        <v>1469</v>
      </c>
      <c r="O575" s="6"/>
      <c r="P575" s="6"/>
      <c r="Q575" s="27"/>
      <c r="R575" s="28" t="s">
        <v>272</v>
      </c>
      <c r="S575" s="6" t="s">
        <v>177</v>
      </c>
      <c r="T575" s="1">
        <v>8.9759999999999993E-2</v>
      </c>
      <c r="U575" s="1">
        <v>0.59839999999999993</v>
      </c>
      <c r="V575" s="1">
        <v>0.83775999999999995</v>
      </c>
      <c r="W575" s="1">
        <v>0.41887999999999997</v>
      </c>
      <c r="X575" s="1">
        <v>0.65824000000000005</v>
      </c>
      <c r="Y575" s="1">
        <f t="shared" si="30"/>
        <v>0.52060799999999996</v>
      </c>
      <c r="Z575" s="10" t="s">
        <v>168</v>
      </c>
      <c r="AA575" s="10" t="s">
        <v>168</v>
      </c>
      <c r="AB575" s="10" t="s">
        <v>168</v>
      </c>
      <c r="AC575" s="10" t="s">
        <v>168</v>
      </c>
      <c r="AD575" s="10" t="s">
        <v>168</v>
      </c>
      <c r="AE575" s="10" t="s">
        <v>168</v>
      </c>
      <c r="AF575" s="10" t="s">
        <v>168</v>
      </c>
      <c r="AG575" s="38">
        <f t="shared" si="31"/>
        <v>1</v>
      </c>
      <c r="AH575" s="51">
        <f t="shared" si="32"/>
        <v>0.52060799999999996</v>
      </c>
      <c r="AI575" s="64"/>
      <c r="AJ575" s="1"/>
      <c r="AK575" s="65">
        <v>0</v>
      </c>
      <c r="AL575" s="1"/>
      <c r="AM575" s="1"/>
      <c r="AN575" s="81"/>
      <c r="AO575" s="81"/>
    </row>
    <row r="576" spans="1:41" s="26" customFormat="1" hidden="1" x14ac:dyDescent="0.25">
      <c r="A576" s="19" t="s">
        <v>1472</v>
      </c>
      <c r="B576" s="21" t="s">
        <v>160</v>
      </c>
      <c r="C576" s="21">
        <v>1</v>
      </c>
      <c r="D576" s="23">
        <v>1200</v>
      </c>
      <c r="E576" s="23"/>
      <c r="F576" s="23" t="s">
        <v>215</v>
      </c>
      <c r="G576" s="20" t="s">
        <v>1473</v>
      </c>
      <c r="H576" s="6"/>
      <c r="I576" s="6" t="s">
        <v>1311</v>
      </c>
      <c r="J576" s="6">
        <v>60</v>
      </c>
      <c r="K576" s="21">
        <v>0.5</v>
      </c>
      <c r="L576" s="21" t="s">
        <v>1301</v>
      </c>
      <c r="M576" s="6" t="s">
        <v>378</v>
      </c>
      <c r="N576" s="6" t="s">
        <v>331</v>
      </c>
      <c r="O576" s="6"/>
      <c r="P576" s="6"/>
      <c r="Q576" s="27"/>
      <c r="R576" s="28" t="s">
        <v>272</v>
      </c>
      <c r="S576" s="6"/>
      <c r="T576" s="1">
        <v>0.42680000000000001</v>
      </c>
      <c r="U576" s="1">
        <v>0.38300000000000001</v>
      </c>
      <c r="V576" s="1">
        <v>0.46229999999999999</v>
      </c>
      <c r="W576" s="1">
        <v>0.34460000000000002</v>
      </c>
      <c r="X576" s="1">
        <v>0.41210000000000002</v>
      </c>
      <c r="Y576" s="1">
        <f t="shared" si="30"/>
        <v>0.40576000000000001</v>
      </c>
      <c r="Z576" s="10" t="s">
        <v>168</v>
      </c>
      <c r="AA576" s="10" t="s">
        <v>168</v>
      </c>
      <c r="AB576" s="10" t="s">
        <v>168</v>
      </c>
      <c r="AC576" s="10" t="s">
        <v>168</v>
      </c>
      <c r="AD576" s="10" t="s">
        <v>168</v>
      </c>
      <c r="AE576" s="10" t="s">
        <v>168</v>
      </c>
      <c r="AF576" s="10" t="s">
        <v>168</v>
      </c>
      <c r="AG576" s="38">
        <f t="shared" si="31"/>
        <v>1</v>
      </c>
      <c r="AH576" s="51">
        <f t="shared" si="32"/>
        <v>0.40576000000000001</v>
      </c>
      <c r="AI576" s="64"/>
      <c r="AJ576" s="1"/>
      <c r="AK576" s="65">
        <v>0</v>
      </c>
      <c r="AL576" s="1"/>
      <c r="AM576" s="1"/>
      <c r="AN576" s="81"/>
      <c r="AO576" s="81"/>
    </row>
    <row r="577" spans="1:41" s="26" customFormat="1" hidden="1" x14ac:dyDescent="0.25">
      <c r="A577" s="19" t="s">
        <v>1474</v>
      </c>
      <c r="B577" s="21" t="s">
        <v>160</v>
      </c>
      <c r="C577" s="21">
        <v>0.7</v>
      </c>
      <c r="D577" s="23">
        <v>300</v>
      </c>
      <c r="E577" s="23"/>
      <c r="F577" s="23" t="s">
        <v>215</v>
      </c>
      <c r="G577" s="20" t="s">
        <v>1475</v>
      </c>
      <c r="H577" s="6"/>
      <c r="I577" s="6" t="s">
        <v>1311</v>
      </c>
      <c r="J577" s="6">
        <v>60</v>
      </c>
      <c r="K577" s="21">
        <v>0.5</v>
      </c>
      <c r="L577" s="21" t="s">
        <v>1301</v>
      </c>
      <c r="M577" s="6" t="s">
        <v>378</v>
      </c>
      <c r="N577" s="6" t="s">
        <v>1446</v>
      </c>
      <c r="O577" s="6"/>
      <c r="P577" s="6"/>
      <c r="Q577" s="27"/>
      <c r="R577" s="28" t="s">
        <v>272</v>
      </c>
      <c r="S577" s="6"/>
      <c r="T577" s="1">
        <v>0.24</v>
      </c>
      <c r="U577" s="1">
        <v>0.36</v>
      </c>
      <c r="V577" s="1">
        <v>0.36</v>
      </c>
      <c r="W577" s="1">
        <v>0.36</v>
      </c>
      <c r="X577" s="1">
        <v>0.36</v>
      </c>
      <c r="Y577" s="1">
        <f t="shared" si="30"/>
        <v>0.33599999999999997</v>
      </c>
      <c r="Z577" s="10" t="s">
        <v>168</v>
      </c>
      <c r="AA577" s="10" t="s">
        <v>168</v>
      </c>
      <c r="AB577" s="10" t="s">
        <v>168</v>
      </c>
      <c r="AC577" s="10" t="s">
        <v>168</v>
      </c>
      <c r="AD577" s="10" t="s">
        <v>168</v>
      </c>
      <c r="AE577" s="10" t="s">
        <v>168</v>
      </c>
      <c r="AF577" s="10" t="s">
        <v>168</v>
      </c>
      <c r="AG577" s="38">
        <f t="shared" si="31"/>
        <v>1</v>
      </c>
      <c r="AH577" s="51">
        <f t="shared" si="32"/>
        <v>0.33599999999999997</v>
      </c>
      <c r="AI577" s="64"/>
      <c r="AJ577" s="1"/>
      <c r="AK577" s="65">
        <v>0</v>
      </c>
      <c r="AL577" s="1"/>
      <c r="AM577" s="1"/>
      <c r="AN577" s="81"/>
      <c r="AO577" s="81"/>
    </row>
    <row r="578" spans="1:41" s="26" customFormat="1" hidden="1" x14ac:dyDescent="0.25">
      <c r="A578" s="19" t="s">
        <v>1476</v>
      </c>
      <c r="B578" s="21" t="s">
        <v>160</v>
      </c>
      <c r="C578" s="21">
        <v>0.7</v>
      </c>
      <c r="D578" s="23">
        <v>101</v>
      </c>
      <c r="E578" s="23"/>
      <c r="F578" s="23"/>
      <c r="G578" s="20" t="s">
        <v>1329</v>
      </c>
      <c r="H578" s="6"/>
      <c r="I578" s="6" t="s">
        <v>1311</v>
      </c>
      <c r="J578" s="6">
        <v>69</v>
      </c>
      <c r="K578" s="21">
        <v>0.5</v>
      </c>
      <c r="L578" s="21" t="s">
        <v>1301</v>
      </c>
      <c r="M578" s="6" t="s">
        <v>378</v>
      </c>
      <c r="N578" s="6" t="s">
        <v>331</v>
      </c>
      <c r="O578" s="6"/>
      <c r="P578" s="6"/>
      <c r="Q578" s="27"/>
      <c r="R578" s="28" t="s">
        <v>272</v>
      </c>
      <c r="S578" s="6"/>
      <c r="T578" s="1">
        <v>0.23900800000000003</v>
      </c>
      <c r="U578" s="1">
        <v>0.21448000000000003</v>
      </c>
      <c r="V578" s="1">
        <v>0.25888799999999995</v>
      </c>
      <c r="W578" s="1">
        <v>0.19297600000000001</v>
      </c>
      <c r="X578" s="1">
        <v>0.23077600000000001</v>
      </c>
      <c r="Y578" s="1">
        <f t="shared" si="30"/>
        <v>0.2272256</v>
      </c>
      <c r="Z578" s="10" t="s">
        <v>168</v>
      </c>
      <c r="AA578" s="10" t="s">
        <v>168</v>
      </c>
      <c r="AB578" s="10" t="s">
        <v>168</v>
      </c>
      <c r="AC578" s="10" t="s">
        <v>168</v>
      </c>
      <c r="AD578" s="10" t="s">
        <v>168</v>
      </c>
      <c r="AE578" s="10" t="s">
        <v>168</v>
      </c>
      <c r="AF578" s="10" t="s">
        <v>168</v>
      </c>
      <c r="AG578" s="38">
        <f t="shared" si="31"/>
        <v>1</v>
      </c>
      <c r="AH578" s="51">
        <f t="shared" si="32"/>
        <v>0.2272256</v>
      </c>
      <c r="AI578" s="64"/>
      <c r="AJ578" s="1"/>
      <c r="AK578" s="65">
        <v>0</v>
      </c>
      <c r="AL578" s="1"/>
      <c r="AM578" s="1"/>
      <c r="AN578" s="81"/>
      <c r="AO578" s="81"/>
    </row>
    <row r="579" spans="1:41" s="26" customFormat="1" hidden="1" x14ac:dyDescent="0.25">
      <c r="A579" s="19" t="s">
        <v>1477</v>
      </c>
      <c r="B579" s="21" t="s">
        <v>160</v>
      </c>
      <c r="C579" s="21">
        <v>1.6</v>
      </c>
      <c r="D579" s="23">
        <v>1050</v>
      </c>
      <c r="E579" s="23"/>
      <c r="F579" s="23" t="s">
        <v>215</v>
      </c>
      <c r="G579" s="20" t="s">
        <v>1478</v>
      </c>
      <c r="H579" s="6"/>
      <c r="I579" s="6" t="s">
        <v>1306</v>
      </c>
      <c r="J579" s="6">
        <v>59</v>
      </c>
      <c r="K579" s="21">
        <v>1</v>
      </c>
      <c r="L579" s="21" t="s">
        <v>1301</v>
      </c>
      <c r="M579" s="6" t="s">
        <v>378</v>
      </c>
      <c r="N579" s="35" t="s">
        <v>165</v>
      </c>
      <c r="O579" s="6"/>
      <c r="P579" s="6"/>
      <c r="Q579" s="27"/>
      <c r="R579" s="28" t="s">
        <v>272</v>
      </c>
      <c r="S579" s="6"/>
      <c r="T579" s="1">
        <v>0.27500000000000002</v>
      </c>
      <c r="U579" s="1">
        <v>0</v>
      </c>
      <c r="V579" s="1">
        <v>0.27500000000000002</v>
      </c>
      <c r="W579" s="1">
        <v>0</v>
      </c>
      <c r="X579" s="1">
        <v>0.27500000000000002</v>
      </c>
      <c r="Y579" s="1">
        <f t="shared" si="30"/>
        <v>0.16500000000000001</v>
      </c>
      <c r="Z579" s="10" t="s">
        <v>168</v>
      </c>
      <c r="AA579" s="10" t="s">
        <v>168</v>
      </c>
      <c r="AB579" s="10" t="s">
        <v>168</v>
      </c>
      <c r="AC579" s="10" t="s">
        <v>168</v>
      </c>
      <c r="AD579" s="10" t="s">
        <v>168</v>
      </c>
      <c r="AE579" s="10" t="s">
        <v>168</v>
      </c>
      <c r="AF579" s="10" t="s">
        <v>168</v>
      </c>
      <c r="AG579" s="38">
        <f t="shared" si="31"/>
        <v>1</v>
      </c>
      <c r="AH579" s="51">
        <f t="shared" si="32"/>
        <v>0.16500000000000001</v>
      </c>
      <c r="AI579" s="64"/>
      <c r="AJ579" s="1"/>
      <c r="AK579" s="65">
        <v>0</v>
      </c>
      <c r="AL579" s="1"/>
      <c r="AM579" s="1"/>
      <c r="AN579" s="81"/>
      <c r="AO579" s="81"/>
    </row>
    <row r="580" spans="1:41" s="26" customFormat="1" hidden="1" x14ac:dyDescent="0.25">
      <c r="A580" s="19" t="s">
        <v>1479</v>
      </c>
      <c r="B580" s="21" t="s">
        <v>160</v>
      </c>
      <c r="C580" s="21">
        <v>0.7</v>
      </c>
      <c r="D580" s="23">
        <v>6</v>
      </c>
      <c r="E580" s="23"/>
      <c r="F580" s="23" t="s">
        <v>215</v>
      </c>
      <c r="G580" s="20" t="s">
        <v>1359</v>
      </c>
      <c r="H580" s="6"/>
      <c r="I580" s="6" t="s">
        <v>1306</v>
      </c>
      <c r="J580" s="6">
        <v>59</v>
      </c>
      <c r="K580" s="21">
        <v>0.6</v>
      </c>
      <c r="L580" s="21" t="s">
        <v>1301</v>
      </c>
      <c r="M580" s="6" t="s">
        <v>378</v>
      </c>
      <c r="N580" s="6" t="s">
        <v>331</v>
      </c>
      <c r="O580" s="6"/>
      <c r="P580" s="6"/>
      <c r="Q580" s="27"/>
      <c r="R580" s="28" t="s">
        <v>272</v>
      </c>
      <c r="S580" s="6"/>
      <c r="T580" s="1">
        <v>0.14687999999999998</v>
      </c>
      <c r="U580" s="1">
        <v>0.14860800000000002</v>
      </c>
      <c r="V580" s="1">
        <v>0.15897600000000001</v>
      </c>
      <c r="W580" s="1">
        <v>0.11232</v>
      </c>
      <c r="X580" s="1">
        <v>0.171072</v>
      </c>
      <c r="Y580" s="1">
        <f t="shared" si="30"/>
        <v>0.14757119999999999</v>
      </c>
      <c r="Z580" s="10" t="s">
        <v>168</v>
      </c>
      <c r="AA580" s="10" t="s">
        <v>168</v>
      </c>
      <c r="AB580" s="10" t="s">
        <v>168</v>
      </c>
      <c r="AC580" s="10" t="s">
        <v>168</v>
      </c>
      <c r="AD580" s="10" t="s">
        <v>168</v>
      </c>
      <c r="AE580" s="10" t="s">
        <v>168</v>
      </c>
      <c r="AF580" s="10" t="s">
        <v>168</v>
      </c>
      <c r="AG580" s="38">
        <f t="shared" si="31"/>
        <v>1</v>
      </c>
      <c r="AH580" s="51">
        <f t="shared" si="32"/>
        <v>0.14757119999999999</v>
      </c>
      <c r="AI580" s="64"/>
      <c r="AJ580" s="1"/>
      <c r="AK580" s="65">
        <v>0</v>
      </c>
      <c r="AL580" s="1"/>
      <c r="AM580" s="1"/>
      <c r="AN580" s="81"/>
      <c r="AO580" s="81"/>
    </row>
    <row r="581" spans="1:41" s="26" customFormat="1" hidden="1" x14ac:dyDescent="0.25">
      <c r="A581" s="19" t="s">
        <v>1480</v>
      </c>
      <c r="B581" s="21" t="s">
        <v>160</v>
      </c>
      <c r="C581" s="21">
        <v>0.6</v>
      </c>
      <c r="D581" s="23">
        <v>1000</v>
      </c>
      <c r="E581" s="23"/>
      <c r="F581" s="23"/>
      <c r="G581" s="20" t="s">
        <v>1481</v>
      </c>
      <c r="H581" s="6"/>
      <c r="I581" s="6" t="s">
        <v>1306</v>
      </c>
      <c r="J581" s="6">
        <v>59</v>
      </c>
      <c r="K581" s="21">
        <v>22</v>
      </c>
      <c r="L581" s="21" t="s">
        <v>39</v>
      </c>
      <c r="M581" s="6" t="s">
        <v>338</v>
      </c>
      <c r="N581" s="6" t="s">
        <v>1389</v>
      </c>
      <c r="O581" s="6"/>
      <c r="P581" s="6"/>
      <c r="Q581" s="27"/>
      <c r="R581" s="28" t="s">
        <v>272</v>
      </c>
      <c r="S581" s="6" t="s">
        <v>177</v>
      </c>
      <c r="T581" s="1">
        <v>0</v>
      </c>
      <c r="U581" s="1">
        <v>0</v>
      </c>
      <c r="V581" s="1">
        <v>0.1288</v>
      </c>
      <c r="W581" s="1">
        <v>8.165E-2</v>
      </c>
      <c r="X581" s="1">
        <v>0</v>
      </c>
      <c r="Y581" s="1">
        <f t="shared" ref="Y581:Y645" si="34">AVERAGE(T581:X581)</f>
        <v>4.2090000000000002E-2</v>
      </c>
      <c r="Z581" s="10" t="s">
        <v>168</v>
      </c>
      <c r="AA581" s="10" t="s">
        <v>168</v>
      </c>
      <c r="AB581" s="10" t="s">
        <v>168</v>
      </c>
      <c r="AC581" s="10" t="s">
        <v>168</v>
      </c>
      <c r="AD581" s="10" t="s">
        <v>168</v>
      </c>
      <c r="AE581" s="10" t="s">
        <v>168</v>
      </c>
      <c r="AF581" s="10" t="s">
        <v>168</v>
      </c>
      <c r="AG581" s="38">
        <f t="shared" ref="AG581:AG645" si="35">COUNTIF(Z581:AF581,"X")/7</f>
        <v>1</v>
      </c>
      <c r="AH581" s="51">
        <f t="shared" ref="AH581:AH645" si="36">IF(AG581=100%,Y581," ")</f>
        <v>4.2090000000000002E-2</v>
      </c>
      <c r="AI581" s="64"/>
      <c r="AJ581" s="1"/>
      <c r="AK581" s="65">
        <v>0</v>
      </c>
      <c r="AL581" s="1"/>
      <c r="AM581" s="1"/>
      <c r="AN581" s="81"/>
      <c r="AO581" s="81"/>
    </row>
    <row r="582" spans="1:41" s="26" customFormat="1" hidden="1" x14ac:dyDescent="0.25">
      <c r="A582" s="19" t="s">
        <v>1482</v>
      </c>
      <c r="B582" s="21" t="s">
        <v>160</v>
      </c>
      <c r="C582" s="21">
        <v>1</v>
      </c>
      <c r="D582" s="23">
        <v>1400</v>
      </c>
      <c r="E582" s="23"/>
      <c r="F582" s="23"/>
      <c r="G582" s="20" t="s">
        <v>1483</v>
      </c>
      <c r="H582" s="6"/>
      <c r="I582" s="6" t="s">
        <v>1311</v>
      </c>
      <c r="J582" s="6">
        <v>69</v>
      </c>
      <c r="K582" s="21">
        <v>32</v>
      </c>
      <c r="L582" s="21" t="s">
        <v>39</v>
      </c>
      <c r="M582" s="6" t="s">
        <v>338</v>
      </c>
      <c r="N582" s="6" t="s">
        <v>1389</v>
      </c>
      <c r="O582" s="6"/>
      <c r="P582" s="6"/>
      <c r="Q582" s="27"/>
      <c r="R582" s="28" t="s">
        <v>272</v>
      </c>
      <c r="S582" s="6" t="s">
        <v>177</v>
      </c>
      <c r="T582" s="1">
        <v>6.8399999999999997E-3</v>
      </c>
      <c r="U582" s="1">
        <v>1.98E-3</v>
      </c>
      <c r="V582" s="1">
        <v>7.6590000000000005E-2</v>
      </c>
      <c r="W582" s="1">
        <v>0</v>
      </c>
      <c r="X582" s="1">
        <v>4.7400000000000003E-3</v>
      </c>
      <c r="Y582" s="1">
        <f t="shared" si="34"/>
        <v>1.8029999999999997E-2</v>
      </c>
      <c r="Z582" s="10" t="s">
        <v>168</v>
      </c>
      <c r="AA582" s="10" t="s">
        <v>168</v>
      </c>
      <c r="AB582" s="10" t="s">
        <v>168</v>
      </c>
      <c r="AC582" s="10" t="s">
        <v>168</v>
      </c>
      <c r="AD582" s="10" t="s">
        <v>168</v>
      </c>
      <c r="AE582" s="10" t="s">
        <v>168</v>
      </c>
      <c r="AF582" s="10" t="s">
        <v>168</v>
      </c>
      <c r="AG582" s="38">
        <f t="shared" si="35"/>
        <v>1</v>
      </c>
      <c r="AH582" s="51">
        <f t="shared" si="36"/>
        <v>1.8029999999999997E-2</v>
      </c>
      <c r="AI582" s="64"/>
      <c r="AJ582" s="1"/>
      <c r="AK582" s="65">
        <v>0</v>
      </c>
      <c r="AL582" s="1"/>
      <c r="AM582" s="1"/>
      <c r="AN582" s="81"/>
      <c r="AO582" s="81"/>
    </row>
    <row r="583" spans="1:41" s="26" customFormat="1" hidden="1" x14ac:dyDescent="0.25">
      <c r="A583" s="19" t="s">
        <v>1484</v>
      </c>
      <c r="B583" s="21"/>
      <c r="C583" s="21"/>
      <c r="D583" s="23"/>
      <c r="E583" s="23"/>
      <c r="F583" s="23"/>
      <c r="G583" s="20"/>
      <c r="H583" s="6"/>
      <c r="I583" s="6"/>
      <c r="J583" s="6"/>
      <c r="K583" s="21"/>
      <c r="L583" s="21"/>
      <c r="M583" s="6"/>
      <c r="N583" s="6"/>
      <c r="O583" s="6"/>
      <c r="P583" s="6"/>
      <c r="Q583" s="27"/>
      <c r="R583" s="28"/>
      <c r="S583" s="6"/>
      <c r="T583" s="1"/>
      <c r="U583" s="1"/>
      <c r="V583" s="1"/>
      <c r="W583" s="1"/>
      <c r="X583" s="1"/>
      <c r="Y583" s="1"/>
      <c r="Z583" s="10" t="s">
        <v>168</v>
      </c>
      <c r="AA583" s="10" t="s">
        <v>168</v>
      </c>
      <c r="AB583" s="10" t="s">
        <v>168</v>
      </c>
      <c r="AC583" s="10" t="s">
        <v>168</v>
      </c>
      <c r="AD583" s="10" t="s">
        <v>168</v>
      </c>
      <c r="AE583" s="10" t="s">
        <v>168</v>
      </c>
      <c r="AF583" s="10" t="s">
        <v>168</v>
      </c>
      <c r="AG583" s="38">
        <f t="shared" si="35"/>
        <v>1</v>
      </c>
      <c r="AH583" s="51"/>
      <c r="AI583" s="64"/>
      <c r="AJ583" s="1"/>
      <c r="AK583" s="65">
        <v>4547.83</v>
      </c>
      <c r="AL583" s="1"/>
      <c r="AM583" s="1"/>
      <c r="AN583" s="81"/>
      <c r="AO583" s="81"/>
    </row>
    <row r="584" spans="1:41" s="26" customFormat="1" hidden="1" x14ac:dyDescent="0.25">
      <c r="A584" s="19" t="s">
        <v>1485</v>
      </c>
      <c r="B584" s="21" t="s">
        <v>160</v>
      </c>
      <c r="C584" s="21">
        <v>1.5</v>
      </c>
      <c r="D584" s="23">
        <v>1100</v>
      </c>
      <c r="E584" s="23"/>
      <c r="F584" s="23"/>
      <c r="G584" s="20" t="s">
        <v>1486</v>
      </c>
      <c r="H584" s="6"/>
      <c r="I584" s="6" t="s">
        <v>953</v>
      </c>
      <c r="J584" s="6">
        <v>60</v>
      </c>
      <c r="K584" s="21">
        <v>24</v>
      </c>
      <c r="L584" s="21" t="s">
        <v>533</v>
      </c>
      <c r="M584" s="6" t="s">
        <v>338</v>
      </c>
      <c r="N584" s="6" t="s">
        <v>1389</v>
      </c>
      <c r="O584" s="6"/>
      <c r="P584" s="6"/>
      <c r="Q584" s="27"/>
      <c r="R584" s="28" t="s">
        <v>272</v>
      </c>
      <c r="S584" s="6" t="s">
        <v>177</v>
      </c>
      <c r="T584" s="1">
        <v>3.1920000000000004E-2</v>
      </c>
      <c r="U584" s="1">
        <v>8.7780000000000011E-3</v>
      </c>
      <c r="V584" s="1">
        <v>0</v>
      </c>
      <c r="W584" s="1">
        <v>0</v>
      </c>
      <c r="X584" s="1">
        <v>2.1014000000000001E-2</v>
      </c>
      <c r="Y584" s="1">
        <f t="shared" si="34"/>
        <v>1.23424E-2</v>
      </c>
      <c r="Z584" s="10" t="s">
        <v>168</v>
      </c>
      <c r="AA584" s="10" t="s">
        <v>168</v>
      </c>
      <c r="AB584" s="10" t="s">
        <v>168</v>
      </c>
      <c r="AC584" s="10" t="s">
        <v>168</v>
      </c>
      <c r="AD584" s="10" t="s">
        <v>168</v>
      </c>
      <c r="AE584" s="10" t="s">
        <v>168</v>
      </c>
      <c r="AF584" s="10" t="s">
        <v>168</v>
      </c>
      <c r="AG584" s="38">
        <f t="shared" si="35"/>
        <v>1</v>
      </c>
      <c r="AH584" s="51">
        <f t="shared" si="36"/>
        <v>1.23424E-2</v>
      </c>
      <c r="AI584" s="64"/>
      <c r="AJ584" s="1"/>
      <c r="AK584" s="65">
        <v>0</v>
      </c>
      <c r="AL584" s="1"/>
      <c r="AM584" s="1"/>
      <c r="AN584" s="81"/>
      <c r="AO584" s="81"/>
    </row>
    <row r="585" spans="1:41" s="26" customFormat="1" hidden="1" x14ac:dyDescent="0.25">
      <c r="A585" s="19" t="s">
        <v>1487</v>
      </c>
      <c r="B585" s="21" t="s">
        <v>160</v>
      </c>
      <c r="C585" s="21">
        <v>2</v>
      </c>
      <c r="D585" s="23">
        <v>1200</v>
      </c>
      <c r="E585" s="23"/>
      <c r="F585" s="23"/>
      <c r="G585" s="20" t="s">
        <v>633</v>
      </c>
      <c r="H585" s="6"/>
      <c r="I585" s="6" t="s">
        <v>1311</v>
      </c>
      <c r="J585" s="6">
        <v>69</v>
      </c>
      <c r="K585" s="21">
        <v>20</v>
      </c>
      <c r="L585" s="21" t="s">
        <v>39</v>
      </c>
      <c r="M585" s="6" t="s">
        <v>338</v>
      </c>
      <c r="N585" s="6" t="s">
        <v>1389</v>
      </c>
      <c r="O585" s="6"/>
      <c r="P585" s="6"/>
      <c r="Q585" s="27"/>
      <c r="R585" s="28" t="s">
        <v>272</v>
      </c>
      <c r="S585" s="6" t="s">
        <v>177</v>
      </c>
      <c r="T585" s="1">
        <v>3.5519999999999996E-2</v>
      </c>
      <c r="U585" s="1">
        <v>4.9500000000000004E-3</v>
      </c>
      <c r="V585" s="1">
        <v>0</v>
      </c>
      <c r="W585" s="1">
        <v>0</v>
      </c>
      <c r="X585" s="1">
        <v>1.1849999999999999E-2</v>
      </c>
      <c r="Y585" s="1">
        <f t="shared" si="34"/>
        <v>1.0463999999999999E-2</v>
      </c>
      <c r="Z585" s="10" t="s">
        <v>168</v>
      </c>
      <c r="AA585" s="10" t="s">
        <v>168</v>
      </c>
      <c r="AB585" s="10" t="s">
        <v>168</v>
      </c>
      <c r="AC585" s="10" t="s">
        <v>168</v>
      </c>
      <c r="AD585" s="10" t="s">
        <v>168</v>
      </c>
      <c r="AE585" s="10" t="s">
        <v>168</v>
      </c>
      <c r="AF585" s="10" t="s">
        <v>168</v>
      </c>
      <c r="AG585" s="38">
        <f t="shared" si="35"/>
        <v>1</v>
      </c>
      <c r="AH585" s="51">
        <f t="shared" si="36"/>
        <v>1.0463999999999999E-2</v>
      </c>
      <c r="AI585" s="64"/>
      <c r="AJ585" s="1"/>
      <c r="AK585" s="65">
        <v>0</v>
      </c>
      <c r="AL585" s="1"/>
      <c r="AM585" s="1"/>
      <c r="AN585" s="81"/>
      <c r="AO585" s="81"/>
    </row>
    <row r="586" spans="1:41" s="26" customFormat="1" hidden="1" x14ac:dyDescent="0.25">
      <c r="A586" s="19" t="s">
        <v>1488</v>
      </c>
      <c r="B586" s="21" t="s">
        <v>172</v>
      </c>
      <c r="C586" s="21">
        <v>2</v>
      </c>
      <c r="D586" s="23">
        <v>1000</v>
      </c>
      <c r="E586" s="23"/>
      <c r="F586" s="23"/>
      <c r="G586" s="20" t="s">
        <v>1489</v>
      </c>
      <c r="H586" s="6"/>
      <c r="I586" s="6" t="s">
        <v>1311</v>
      </c>
      <c r="J586" s="6">
        <v>69</v>
      </c>
      <c r="K586" s="21" t="s">
        <v>161</v>
      </c>
      <c r="L586" s="21" t="s">
        <v>39</v>
      </c>
      <c r="M586" s="6" t="s">
        <v>338</v>
      </c>
      <c r="N586" s="6" t="s">
        <v>1389</v>
      </c>
      <c r="O586" s="6"/>
      <c r="P586" s="6"/>
      <c r="Q586" s="27"/>
      <c r="R586" s="28" t="s">
        <v>272</v>
      </c>
      <c r="S586" s="6" t="s">
        <v>177</v>
      </c>
      <c r="T586" s="1">
        <v>4.7999999999999996E-3</v>
      </c>
      <c r="U586" s="1">
        <v>0</v>
      </c>
      <c r="V586" s="1">
        <v>0</v>
      </c>
      <c r="W586" s="1">
        <v>0</v>
      </c>
      <c r="X586" s="1">
        <v>0</v>
      </c>
      <c r="Y586" s="1">
        <f t="shared" si="34"/>
        <v>9.5999999999999992E-4</v>
      </c>
      <c r="Z586" s="10" t="s">
        <v>168</v>
      </c>
      <c r="AA586" s="10" t="s">
        <v>168</v>
      </c>
      <c r="AB586" s="10" t="s">
        <v>168</v>
      </c>
      <c r="AC586" s="10" t="s">
        <v>168</v>
      </c>
      <c r="AD586" s="10" t="s">
        <v>168</v>
      </c>
      <c r="AE586" s="10" t="s">
        <v>168</v>
      </c>
      <c r="AF586" s="10" t="s">
        <v>168</v>
      </c>
      <c r="AG586" s="38">
        <f t="shared" si="35"/>
        <v>1</v>
      </c>
      <c r="AH586" s="51">
        <f t="shared" si="36"/>
        <v>9.5999999999999992E-4</v>
      </c>
      <c r="AI586" s="64"/>
      <c r="AJ586" s="1"/>
      <c r="AK586" s="65">
        <v>0</v>
      </c>
      <c r="AL586" s="1"/>
      <c r="AM586" s="1"/>
      <c r="AN586" s="81"/>
      <c r="AO586" s="81"/>
    </row>
    <row r="587" spans="1:41" s="26" customFormat="1" hidden="1" x14ac:dyDescent="0.25">
      <c r="A587" s="19" t="s">
        <v>1490</v>
      </c>
      <c r="B587" s="21" t="s">
        <v>197</v>
      </c>
      <c r="C587" s="21">
        <v>0.7</v>
      </c>
      <c r="D587" s="23">
        <v>1200</v>
      </c>
      <c r="E587" s="23"/>
      <c r="F587" s="23"/>
      <c r="G587" s="20" t="s">
        <v>1491</v>
      </c>
      <c r="H587" s="6"/>
      <c r="I587" s="6"/>
      <c r="J587" s="6">
        <v>30</v>
      </c>
      <c r="K587" s="21"/>
      <c r="L587" s="21" t="s">
        <v>533</v>
      </c>
      <c r="M587" s="6" t="s">
        <v>338</v>
      </c>
      <c r="N587" s="6" t="s">
        <v>1389</v>
      </c>
      <c r="O587" s="6"/>
      <c r="P587" s="6"/>
      <c r="Q587" s="27"/>
      <c r="R587" s="28" t="s">
        <v>272</v>
      </c>
      <c r="S587" s="6" t="s">
        <v>177</v>
      </c>
      <c r="T587" s="1">
        <v>1.2600000000000001E-3</v>
      </c>
      <c r="U587" s="1">
        <v>0</v>
      </c>
      <c r="V587" s="1">
        <v>0</v>
      </c>
      <c r="W587" s="1">
        <v>0</v>
      </c>
      <c r="X587" s="1">
        <v>0</v>
      </c>
      <c r="Y587" s="1">
        <f t="shared" si="34"/>
        <v>2.52E-4</v>
      </c>
      <c r="Z587" s="10" t="s">
        <v>168</v>
      </c>
      <c r="AA587" s="10" t="s">
        <v>168</v>
      </c>
      <c r="AB587" s="10" t="s">
        <v>168</v>
      </c>
      <c r="AC587" s="10" t="s">
        <v>168</v>
      </c>
      <c r="AD587" s="10" t="s">
        <v>168</v>
      </c>
      <c r="AE587" s="10" t="s">
        <v>168</v>
      </c>
      <c r="AF587" s="10" t="s">
        <v>168</v>
      </c>
      <c r="AG587" s="38">
        <f t="shared" si="35"/>
        <v>1</v>
      </c>
      <c r="AH587" s="51">
        <f t="shared" si="36"/>
        <v>2.52E-4</v>
      </c>
      <c r="AI587" s="64"/>
      <c r="AJ587" s="1"/>
      <c r="AK587" s="65">
        <v>0</v>
      </c>
      <c r="AL587" s="1"/>
      <c r="AM587" s="1"/>
      <c r="AN587" s="81"/>
      <c r="AO587" s="81"/>
    </row>
    <row r="588" spans="1:41" s="26" customFormat="1" hidden="1" x14ac:dyDescent="0.25">
      <c r="A588" s="19" t="s">
        <v>459</v>
      </c>
      <c r="B588" s="21" t="s">
        <v>197</v>
      </c>
      <c r="C588" s="21">
        <v>1</v>
      </c>
      <c r="D588" s="23">
        <v>1200</v>
      </c>
      <c r="E588" s="23"/>
      <c r="F588" s="23"/>
      <c r="G588" s="20" t="s">
        <v>1492</v>
      </c>
      <c r="H588" s="6"/>
      <c r="I588" s="6" t="s">
        <v>953</v>
      </c>
      <c r="J588" s="6">
        <v>60</v>
      </c>
      <c r="K588" s="21"/>
      <c r="L588" s="21" t="s">
        <v>533</v>
      </c>
      <c r="M588" s="6" t="s">
        <v>338</v>
      </c>
      <c r="N588" s="6" t="s">
        <v>1389</v>
      </c>
      <c r="O588" s="6"/>
      <c r="P588" s="6"/>
      <c r="Q588" s="27"/>
      <c r="R588" s="28" t="s">
        <v>272</v>
      </c>
      <c r="S588" s="6"/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f t="shared" si="34"/>
        <v>0</v>
      </c>
      <c r="Z588" s="10" t="s">
        <v>168</v>
      </c>
      <c r="AA588" s="10" t="s">
        <v>168</v>
      </c>
      <c r="AB588" s="10" t="s">
        <v>168</v>
      </c>
      <c r="AC588" s="10" t="s">
        <v>168</v>
      </c>
      <c r="AD588" s="10" t="s">
        <v>168</v>
      </c>
      <c r="AE588" s="10" t="s">
        <v>168</v>
      </c>
      <c r="AF588" s="10" t="s">
        <v>168</v>
      </c>
      <c r="AG588" s="38">
        <f t="shared" si="35"/>
        <v>1</v>
      </c>
      <c r="AH588" s="51">
        <f t="shared" si="36"/>
        <v>0</v>
      </c>
      <c r="AI588" s="64"/>
      <c r="AJ588" s="1"/>
      <c r="AK588" s="65">
        <v>0</v>
      </c>
      <c r="AL588" s="1"/>
      <c r="AM588" s="1"/>
      <c r="AN588" s="81"/>
      <c r="AO588" s="81"/>
    </row>
    <row r="589" spans="1:41" s="26" customFormat="1" hidden="1" x14ac:dyDescent="0.25">
      <c r="A589" s="19" t="s">
        <v>1493</v>
      </c>
      <c r="B589" s="21" t="s">
        <v>160</v>
      </c>
      <c r="C589" s="21">
        <v>1</v>
      </c>
      <c r="D589" s="23">
        <v>1150</v>
      </c>
      <c r="E589" s="23"/>
      <c r="F589" s="23"/>
      <c r="G589" s="20" t="s">
        <v>1494</v>
      </c>
      <c r="H589" s="6"/>
      <c r="I589" s="6" t="s">
        <v>1311</v>
      </c>
      <c r="J589" s="6">
        <v>69</v>
      </c>
      <c r="K589" s="21">
        <v>26</v>
      </c>
      <c r="L589" s="21" t="s">
        <v>39</v>
      </c>
      <c r="M589" s="6" t="s">
        <v>338</v>
      </c>
      <c r="N589" s="6" t="s">
        <v>1389</v>
      </c>
      <c r="O589" s="6"/>
      <c r="P589" s="6"/>
      <c r="Q589" s="27"/>
      <c r="R589" s="28" t="s">
        <v>272</v>
      </c>
      <c r="S589" s="6" t="s">
        <v>177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f t="shared" si="34"/>
        <v>0</v>
      </c>
      <c r="Z589" s="10" t="s">
        <v>168</v>
      </c>
      <c r="AA589" s="10" t="s">
        <v>168</v>
      </c>
      <c r="AB589" s="10" t="s">
        <v>168</v>
      </c>
      <c r="AC589" s="10" t="s">
        <v>168</v>
      </c>
      <c r="AD589" s="10" t="s">
        <v>168</v>
      </c>
      <c r="AE589" s="10" t="s">
        <v>168</v>
      </c>
      <c r="AF589" s="10" t="s">
        <v>168</v>
      </c>
      <c r="AG589" s="38">
        <f t="shared" si="35"/>
        <v>1</v>
      </c>
      <c r="AH589" s="51">
        <f t="shared" si="36"/>
        <v>0</v>
      </c>
      <c r="AI589" s="64"/>
      <c r="AJ589" s="1"/>
      <c r="AK589" s="65">
        <v>0</v>
      </c>
      <c r="AL589" s="1"/>
      <c r="AM589" s="1"/>
      <c r="AN589" s="81"/>
      <c r="AO589" s="81"/>
    </row>
    <row r="590" spans="1:41" s="26" customFormat="1" hidden="1" x14ac:dyDescent="0.25">
      <c r="A590" s="19" t="s">
        <v>1495</v>
      </c>
      <c r="B590" s="21" t="s">
        <v>160</v>
      </c>
      <c r="C590" s="21">
        <v>0.8</v>
      </c>
      <c r="D590" s="23">
        <v>1200</v>
      </c>
      <c r="E590" s="23"/>
      <c r="F590" s="23"/>
      <c r="G590" s="20" t="s">
        <v>1496</v>
      </c>
      <c r="H590" s="6"/>
      <c r="I590" s="6" t="s">
        <v>1311</v>
      </c>
      <c r="J590" s="6">
        <v>69</v>
      </c>
      <c r="K590" s="21">
        <v>26</v>
      </c>
      <c r="L590" s="21" t="s">
        <v>39</v>
      </c>
      <c r="M590" s="6" t="s">
        <v>338</v>
      </c>
      <c r="N590" s="6" t="s">
        <v>1389</v>
      </c>
      <c r="O590" s="6"/>
      <c r="P590" s="6"/>
      <c r="Q590" s="27"/>
      <c r="R590" s="28" t="s">
        <v>272</v>
      </c>
      <c r="S590" s="6" t="s">
        <v>177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f t="shared" si="34"/>
        <v>0</v>
      </c>
      <c r="Z590" s="10" t="s">
        <v>168</v>
      </c>
      <c r="AA590" s="10" t="s">
        <v>168</v>
      </c>
      <c r="AB590" s="10" t="s">
        <v>168</v>
      </c>
      <c r="AC590" s="10" t="s">
        <v>168</v>
      </c>
      <c r="AD590" s="10" t="s">
        <v>168</v>
      </c>
      <c r="AE590" s="10" t="s">
        <v>168</v>
      </c>
      <c r="AF590" s="10" t="s">
        <v>168</v>
      </c>
      <c r="AG590" s="38">
        <f t="shared" si="35"/>
        <v>1</v>
      </c>
      <c r="AH590" s="51">
        <f t="shared" si="36"/>
        <v>0</v>
      </c>
      <c r="AI590" s="64"/>
      <c r="AJ590" s="1"/>
      <c r="AK590" s="65">
        <v>0</v>
      </c>
      <c r="AL590" s="1"/>
      <c r="AM590" s="1"/>
      <c r="AN590" s="81"/>
      <c r="AO590" s="81"/>
    </row>
    <row r="591" spans="1:41" s="26" customFormat="1" hidden="1" x14ac:dyDescent="0.25">
      <c r="A591" s="22" t="s">
        <v>1497</v>
      </c>
      <c r="B591" s="2"/>
      <c r="C591" s="21">
        <v>15</v>
      </c>
      <c r="D591" s="23"/>
      <c r="E591" s="23"/>
      <c r="F591" s="23"/>
      <c r="G591" s="3" t="s">
        <v>1498</v>
      </c>
      <c r="H591" s="4"/>
      <c r="I591" s="4"/>
      <c r="J591" s="4"/>
      <c r="K591" s="5"/>
      <c r="L591" s="21" t="s">
        <v>39</v>
      </c>
      <c r="M591" s="4"/>
      <c r="N591" s="6"/>
      <c r="O591" s="4"/>
      <c r="P591" s="4"/>
      <c r="Q591" s="24"/>
      <c r="R591" s="27" t="s">
        <v>205</v>
      </c>
      <c r="S591" s="4" t="s">
        <v>1499</v>
      </c>
      <c r="T591" s="1">
        <v>3.5890178076923074</v>
      </c>
      <c r="U591" s="1">
        <v>6.1286553461538471</v>
      </c>
      <c r="V591" s="1">
        <v>4.3946124807692311</v>
      </c>
      <c r="W591" s="1">
        <v>6.7948429038461544</v>
      </c>
      <c r="X591" s="1">
        <v>7.1346457500000007</v>
      </c>
      <c r="Y591" s="1">
        <f t="shared" si="34"/>
        <v>5.6083548576923086</v>
      </c>
      <c r="Z591" s="10"/>
      <c r="AA591" s="10"/>
      <c r="AB591" s="10"/>
      <c r="AC591" s="10"/>
      <c r="AD591" s="10"/>
      <c r="AE591" s="10"/>
      <c r="AF591" s="10"/>
      <c r="AG591" s="38">
        <f t="shared" si="35"/>
        <v>0</v>
      </c>
      <c r="AH591" s="51" t="str">
        <f t="shared" si="36"/>
        <v xml:space="preserve"> </v>
      </c>
      <c r="AI591" s="64"/>
      <c r="AJ591" s="62"/>
      <c r="AK591" s="65">
        <v>0</v>
      </c>
      <c r="AL591" s="1"/>
      <c r="AM591" s="1"/>
      <c r="AN591" s="81"/>
      <c r="AO591" s="81"/>
    </row>
    <row r="592" spans="1:41" s="26" customFormat="1" hidden="1" x14ac:dyDescent="0.25">
      <c r="A592" s="22" t="s">
        <v>1500</v>
      </c>
      <c r="B592" s="2"/>
      <c r="C592" s="21">
        <v>4</v>
      </c>
      <c r="D592" s="23"/>
      <c r="E592" s="23"/>
      <c r="F592" s="23"/>
      <c r="G592" s="3" t="s">
        <v>413</v>
      </c>
      <c r="H592" s="6"/>
      <c r="I592" s="6"/>
      <c r="J592" s="6"/>
      <c r="K592" s="21"/>
      <c r="L592" s="21" t="s">
        <v>1501</v>
      </c>
      <c r="M592" s="6"/>
      <c r="N592" s="6"/>
      <c r="O592" s="6"/>
      <c r="P592" s="6"/>
      <c r="Q592" s="27"/>
      <c r="R592" s="27" t="s">
        <v>205</v>
      </c>
      <c r="S592" s="6"/>
      <c r="T592" s="1">
        <v>3.7617588214864086</v>
      </c>
      <c r="U592" s="1">
        <v>2.4105943971432708</v>
      </c>
      <c r="V592" s="1">
        <v>3.0141439133376018</v>
      </c>
      <c r="W592" s="1">
        <v>2.3257898132756334</v>
      </c>
      <c r="X592" s="1">
        <v>3.8802845321407919</v>
      </c>
      <c r="Y592" s="1">
        <f t="shared" si="34"/>
        <v>3.078514295476741</v>
      </c>
      <c r="Z592" s="10"/>
      <c r="AA592" s="10"/>
      <c r="AB592" s="10"/>
      <c r="AC592" s="10"/>
      <c r="AD592" s="10"/>
      <c r="AE592" s="10"/>
      <c r="AF592" s="10"/>
      <c r="AG592" s="38">
        <f t="shared" si="35"/>
        <v>0</v>
      </c>
      <c r="AH592" s="51" t="str">
        <f t="shared" si="36"/>
        <v xml:space="preserve"> </v>
      </c>
      <c r="AI592" s="64"/>
      <c r="AJ592" s="1"/>
      <c r="AK592" s="65">
        <v>0</v>
      </c>
      <c r="AL592" s="1"/>
      <c r="AM592" s="1"/>
      <c r="AN592" s="81"/>
      <c r="AO592" s="81"/>
    </row>
    <row r="593" spans="1:41" s="26" customFormat="1" hidden="1" x14ac:dyDescent="0.25">
      <c r="A593" s="22" t="s">
        <v>1502</v>
      </c>
      <c r="B593" s="2"/>
      <c r="C593" s="21">
        <v>35</v>
      </c>
      <c r="D593" s="23"/>
      <c r="E593" s="23"/>
      <c r="F593" s="23"/>
      <c r="G593" s="3" t="s">
        <v>1498</v>
      </c>
      <c r="H593" s="4"/>
      <c r="I593" s="6"/>
      <c r="J593" s="4"/>
      <c r="K593" s="5"/>
      <c r="L593" s="5" t="s">
        <v>39</v>
      </c>
      <c r="M593" s="4"/>
      <c r="N593" s="4"/>
      <c r="O593" s="4"/>
      <c r="P593" s="4"/>
      <c r="Q593" s="24"/>
      <c r="R593" s="27" t="s">
        <v>205</v>
      </c>
      <c r="S593" s="4"/>
      <c r="T593" s="1">
        <v>1.3054787878787879</v>
      </c>
      <c r="U593" s="1">
        <v>2.4990593939393939</v>
      </c>
      <c r="V593" s="1">
        <v>1.5852242424242422</v>
      </c>
      <c r="W593" s="1">
        <v>2.5923078787878784</v>
      </c>
      <c r="X593" s="1">
        <v>2.6669066666666663</v>
      </c>
      <c r="Y593" s="1">
        <f t="shared" si="34"/>
        <v>2.1297953939393937</v>
      </c>
      <c r="Z593" s="10"/>
      <c r="AA593" s="10"/>
      <c r="AB593" s="10"/>
      <c r="AC593" s="10"/>
      <c r="AD593" s="10"/>
      <c r="AE593" s="10"/>
      <c r="AF593" s="10"/>
      <c r="AG593" s="38">
        <f t="shared" si="35"/>
        <v>0</v>
      </c>
      <c r="AH593" s="51" t="str">
        <f t="shared" si="36"/>
        <v xml:space="preserve"> </v>
      </c>
      <c r="AI593" s="64"/>
      <c r="AJ593" s="1"/>
      <c r="AK593" s="65">
        <v>0</v>
      </c>
      <c r="AL593" s="1"/>
      <c r="AM593" s="1"/>
      <c r="AN593" s="81"/>
      <c r="AO593" s="81"/>
    </row>
    <row r="594" spans="1:41" s="26" customFormat="1" hidden="1" x14ac:dyDescent="0.25">
      <c r="A594" s="22" t="s">
        <v>1503</v>
      </c>
      <c r="B594" s="2"/>
      <c r="C594" s="21">
        <v>3</v>
      </c>
      <c r="D594" s="23"/>
      <c r="E594" s="23"/>
      <c r="F594" s="23"/>
      <c r="G594" s="3" t="s">
        <v>413</v>
      </c>
      <c r="H594" s="4"/>
      <c r="I594" s="6"/>
      <c r="J594" s="4"/>
      <c r="K594" s="5"/>
      <c r="L594" s="5" t="s">
        <v>1501</v>
      </c>
      <c r="M594" s="4"/>
      <c r="N594" s="4"/>
      <c r="O594" s="4"/>
      <c r="P594" s="4"/>
      <c r="Q594" s="24"/>
      <c r="R594" s="27" t="s">
        <v>205</v>
      </c>
      <c r="S594" s="6"/>
      <c r="T594" s="1">
        <v>1.7912399999999999</v>
      </c>
      <c r="U594" s="1">
        <v>2.4426000000000001</v>
      </c>
      <c r="V594" s="1">
        <v>2.0354999999999999</v>
      </c>
      <c r="W594" s="1">
        <v>2.19834</v>
      </c>
      <c r="X594" s="1">
        <v>2.0354999999999999</v>
      </c>
      <c r="Y594" s="1">
        <f t="shared" si="34"/>
        <v>2.1006360000000002</v>
      </c>
      <c r="Z594" s="10"/>
      <c r="AA594" s="10"/>
      <c r="AB594" s="10"/>
      <c r="AC594" s="10"/>
      <c r="AD594" s="10"/>
      <c r="AE594" s="10"/>
      <c r="AF594" s="10"/>
      <c r="AG594" s="38">
        <f t="shared" si="35"/>
        <v>0</v>
      </c>
      <c r="AH594" s="51" t="str">
        <f t="shared" si="36"/>
        <v xml:space="preserve"> </v>
      </c>
      <c r="AI594" s="64"/>
      <c r="AJ594" s="1"/>
      <c r="AK594" s="65">
        <v>0</v>
      </c>
      <c r="AL594" s="1"/>
      <c r="AM594" s="1"/>
      <c r="AN594" s="81"/>
      <c r="AO594" s="81"/>
    </row>
    <row r="595" spans="1:41" s="26" customFormat="1" hidden="1" x14ac:dyDescent="0.25">
      <c r="A595" s="22" t="s">
        <v>840</v>
      </c>
      <c r="B595" s="2"/>
      <c r="C595" s="21">
        <v>2</v>
      </c>
      <c r="D595" s="23"/>
      <c r="E595" s="23"/>
      <c r="F595" s="23"/>
      <c r="G595" s="3" t="s">
        <v>1504</v>
      </c>
      <c r="H595" s="6"/>
      <c r="I595" s="6"/>
      <c r="J595" s="6"/>
      <c r="K595" s="21"/>
      <c r="L595" s="5" t="s">
        <v>1505</v>
      </c>
      <c r="M595" s="6"/>
      <c r="N595" s="6"/>
      <c r="O595" s="6"/>
      <c r="P595" s="6"/>
      <c r="Q595" s="27"/>
      <c r="R595" s="27" t="s">
        <v>205</v>
      </c>
      <c r="S595" s="6"/>
      <c r="T595" s="1">
        <v>1.8749625380767339</v>
      </c>
      <c r="U595" s="1">
        <v>1.4360676091551654</v>
      </c>
      <c r="V595" s="1">
        <v>1.2865396325918979</v>
      </c>
      <c r="W595" s="1">
        <v>2.3788958803262763</v>
      </c>
      <c r="X595" s="1">
        <v>2.1661178976952971</v>
      </c>
      <c r="Y595" s="1">
        <f t="shared" si="34"/>
        <v>1.8285167115690739</v>
      </c>
      <c r="Z595" s="10"/>
      <c r="AA595" s="10"/>
      <c r="AB595" s="10"/>
      <c r="AC595" s="10"/>
      <c r="AD595" s="10"/>
      <c r="AE595" s="10"/>
      <c r="AF595" s="10"/>
      <c r="AG595" s="38">
        <f t="shared" si="35"/>
        <v>0</v>
      </c>
      <c r="AH595" s="51" t="str">
        <f t="shared" si="36"/>
        <v xml:space="preserve"> </v>
      </c>
      <c r="AI595" s="64"/>
      <c r="AJ595" s="1"/>
      <c r="AK595" s="65">
        <v>0</v>
      </c>
      <c r="AL595" s="1"/>
      <c r="AM595" s="1"/>
      <c r="AN595" s="81"/>
      <c r="AO595" s="81"/>
    </row>
    <row r="596" spans="1:41" s="26" customFormat="1" hidden="1" x14ac:dyDescent="0.25">
      <c r="A596" s="22" t="s">
        <v>1506</v>
      </c>
      <c r="B596" s="2"/>
      <c r="C596" s="21">
        <v>10</v>
      </c>
      <c r="D596" s="23"/>
      <c r="E596" s="23"/>
      <c r="F596" s="23"/>
      <c r="G596" s="3" t="s">
        <v>952</v>
      </c>
      <c r="H596" s="6"/>
      <c r="I596" s="6"/>
      <c r="J596" s="6"/>
      <c r="K596" s="21"/>
      <c r="L596" s="21" t="s">
        <v>1505</v>
      </c>
      <c r="M596" s="6"/>
      <c r="N596" s="6"/>
      <c r="O596" s="6"/>
      <c r="P596" s="6"/>
      <c r="Q596" s="27"/>
      <c r="R596" s="27" t="s">
        <v>205</v>
      </c>
      <c r="S596" s="6"/>
      <c r="T596" s="1">
        <v>2.0665414268627238</v>
      </c>
      <c r="U596" s="1">
        <v>1.4662378201470427</v>
      </c>
      <c r="V596" s="1">
        <v>1.9364590335784049</v>
      </c>
      <c r="W596" s="1">
        <v>1.2790213347744979</v>
      </c>
      <c r="X596" s="1">
        <v>2.235797941490179</v>
      </c>
      <c r="Y596" s="1">
        <f t="shared" si="34"/>
        <v>1.7968115113705696</v>
      </c>
      <c r="Z596" s="10"/>
      <c r="AA596" s="10"/>
      <c r="AB596" s="10"/>
      <c r="AC596" s="10"/>
      <c r="AD596" s="10"/>
      <c r="AE596" s="10"/>
      <c r="AF596" s="10"/>
      <c r="AG596" s="38">
        <f t="shared" si="35"/>
        <v>0</v>
      </c>
      <c r="AH596" s="51" t="str">
        <f t="shared" si="36"/>
        <v xml:space="preserve"> </v>
      </c>
      <c r="AI596" s="64"/>
      <c r="AJ596" s="1"/>
      <c r="AK596" s="65">
        <v>0</v>
      </c>
      <c r="AL596" s="1"/>
      <c r="AM596" s="1"/>
      <c r="AN596" s="81"/>
      <c r="AO596" s="81"/>
    </row>
    <row r="597" spans="1:41" s="26" customFormat="1" hidden="1" x14ac:dyDescent="0.25">
      <c r="A597" s="22" t="s">
        <v>1507</v>
      </c>
      <c r="B597" s="2"/>
      <c r="C597" s="21">
        <v>3</v>
      </c>
      <c r="D597" s="23"/>
      <c r="E597" s="23"/>
      <c r="F597" s="23"/>
      <c r="G597" s="3" t="s">
        <v>413</v>
      </c>
      <c r="H597" s="4"/>
      <c r="I597" s="6"/>
      <c r="J597" s="4"/>
      <c r="K597" s="5"/>
      <c r="L597" s="5" t="s">
        <v>1501</v>
      </c>
      <c r="M597" s="4"/>
      <c r="N597" s="4"/>
      <c r="O597" s="4"/>
      <c r="P597" s="4"/>
      <c r="Q597" s="24"/>
      <c r="R597" s="27" t="s">
        <v>205</v>
      </c>
      <c r="S597" s="6"/>
      <c r="T597" s="1">
        <v>2.1548987380538991</v>
      </c>
      <c r="U597" s="1">
        <v>1.4122095476228311</v>
      </c>
      <c r="V597" s="1">
        <v>1.8194405197336021</v>
      </c>
      <c r="W597" s="1">
        <v>1.5468829690623442</v>
      </c>
      <c r="X597" s="1">
        <v>1.6450845141325847</v>
      </c>
      <c r="Y597" s="1">
        <f t="shared" si="34"/>
        <v>1.7157032577210523</v>
      </c>
      <c r="Z597" s="10"/>
      <c r="AA597" s="10"/>
      <c r="AB597" s="10"/>
      <c r="AC597" s="10"/>
      <c r="AD597" s="10"/>
      <c r="AE597" s="10"/>
      <c r="AF597" s="10"/>
      <c r="AG597" s="38">
        <f t="shared" si="35"/>
        <v>0</v>
      </c>
      <c r="AH597" s="51" t="str">
        <f t="shared" si="36"/>
        <v xml:space="preserve"> </v>
      </c>
      <c r="AI597" s="64"/>
      <c r="AJ597" s="1"/>
      <c r="AK597" s="65">
        <v>0</v>
      </c>
      <c r="AL597" s="1"/>
      <c r="AM597" s="1"/>
      <c r="AN597" s="81"/>
      <c r="AO597" s="81"/>
    </row>
    <row r="598" spans="1:41" s="26" customFormat="1" hidden="1" x14ac:dyDescent="0.25">
      <c r="A598" s="22" t="s">
        <v>1508</v>
      </c>
      <c r="B598" s="2"/>
      <c r="C598" s="21">
        <v>12.5</v>
      </c>
      <c r="D598" s="23"/>
      <c r="E598" s="23"/>
      <c r="F598" s="23"/>
      <c r="G598" s="3" t="s">
        <v>1008</v>
      </c>
      <c r="H598" s="6"/>
      <c r="I598" s="6"/>
      <c r="J598" s="6"/>
      <c r="K598" s="21"/>
      <c r="L598" s="21" t="s">
        <v>1509</v>
      </c>
      <c r="M598" s="6"/>
      <c r="N598" s="6"/>
      <c r="O598" s="6"/>
      <c r="P598" s="6"/>
      <c r="Q598" s="27"/>
      <c r="R598" s="27" t="s">
        <v>205</v>
      </c>
      <c r="S598" s="6"/>
      <c r="T598" s="1">
        <v>1.5951733745421246</v>
      </c>
      <c r="U598" s="1">
        <v>2.1854098809523808</v>
      </c>
      <c r="V598" s="1">
        <v>1.5421318269230766</v>
      </c>
      <c r="W598" s="1">
        <v>2.8972333745421244</v>
      </c>
      <c r="X598" s="1">
        <v>0</v>
      </c>
      <c r="Y598" s="1">
        <f t="shared" si="34"/>
        <v>1.6439896913919412</v>
      </c>
      <c r="Z598" s="10"/>
      <c r="AA598" s="10"/>
      <c r="AB598" s="10"/>
      <c r="AC598" s="10"/>
      <c r="AD598" s="10"/>
      <c r="AE598" s="10"/>
      <c r="AF598" s="10"/>
      <c r="AG598" s="38">
        <f t="shared" si="35"/>
        <v>0</v>
      </c>
      <c r="AH598" s="51" t="str">
        <f t="shared" si="36"/>
        <v xml:space="preserve"> </v>
      </c>
      <c r="AI598" s="64"/>
      <c r="AJ598" s="1"/>
      <c r="AK598" s="65">
        <v>0</v>
      </c>
      <c r="AL598" s="1"/>
      <c r="AM598" s="1"/>
      <c r="AN598" s="81"/>
      <c r="AO598" s="81"/>
    </row>
    <row r="599" spans="1:41" s="26" customFormat="1" hidden="1" x14ac:dyDescent="0.25">
      <c r="A599" s="22" t="s">
        <v>1510</v>
      </c>
      <c r="B599" s="2"/>
      <c r="C599" s="21">
        <v>40</v>
      </c>
      <c r="D599" s="23"/>
      <c r="E599" s="23"/>
      <c r="F599" s="23"/>
      <c r="G599" s="3" t="s">
        <v>1498</v>
      </c>
      <c r="H599" s="6"/>
      <c r="I599" s="6"/>
      <c r="J599" s="6"/>
      <c r="K599" s="21"/>
      <c r="L599" s="21" t="s">
        <v>39</v>
      </c>
      <c r="M599" s="6"/>
      <c r="N599" s="6"/>
      <c r="O599" s="6"/>
      <c r="P599" s="6"/>
      <c r="Q599" s="27"/>
      <c r="R599" s="27" t="s">
        <v>205</v>
      </c>
      <c r="S599" s="6"/>
      <c r="T599" s="1">
        <v>0.92315999999999998</v>
      </c>
      <c r="U599" s="1">
        <v>1.7671919999999999</v>
      </c>
      <c r="V599" s="1">
        <v>1.1209799999999999</v>
      </c>
      <c r="W599" s="1">
        <v>1.8331319999999998</v>
      </c>
      <c r="X599" s="1">
        <v>1.8858839999999999</v>
      </c>
      <c r="Y599" s="1">
        <f t="shared" si="34"/>
        <v>1.5060695999999998</v>
      </c>
      <c r="Z599" s="10"/>
      <c r="AA599" s="10"/>
      <c r="AB599" s="10"/>
      <c r="AC599" s="10"/>
      <c r="AD599" s="10"/>
      <c r="AE599" s="10"/>
      <c r="AF599" s="10"/>
      <c r="AG599" s="38">
        <f t="shared" si="35"/>
        <v>0</v>
      </c>
      <c r="AH599" s="51" t="str">
        <f t="shared" si="36"/>
        <v xml:space="preserve"> </v>
      </c>
      <c r="AI599" s="64"/>
      <c r="AJ599" s="1"/>
      <c r="AK599" s="65">
        <v>0</v>
      </c>
      <c r="AL599" s="1"/>
      <c r="AM599" s="1"/>
      <c r="AN599" s="81"/>
      <c r="AO599" s="81"/>
    </row>
    <row r="600" spans="1:41" s="26" customFormat="1" hidden="1" x14ac:dyDescent="0.25">
      <c r="A600" s="22" t="s">
        <v>1511</v>
      </c>
      <c r="B600" s="2"/>
      <c r="C600" s="21">
        <v>4.75</v>
      </c>
      <c r="D600" s="23"/>
      <c r="E600" s="23"/>
      <c r="F600" s="23"/>
      <c r="G600" s="3" t="s">
        <v>1008</v>
      </c>
      <c r="H600" s="6"/>
      <c r="I600" s="6"/>
      <c r="J600" s="6"/>
      <c r="K600" s="21"/>
      <c r="L600" s="21" t="s">
        <v>1512</v>
      </c>
      <c r="M600" s="6"/>
      <c r="N600" s="6"/>
      <c r="O600" s="6"/>
      <c r="P600" s="6"/>
      <c r="Q600" s="27"/>
      <c r="R600" s="27" t="s">
        <v>205</v>
      </c>
      <c r="S600" s="6"/>
      <c r="T600" s="1">
        <v>1.0123199999999999</v>
      </c>
      <c r="U600" s="1">
        <v>1.4341199999999998</v>
      </c>
      <c r="V600" s="1">
        <v>1.94028</v>
      </c>
      <c r="W600" s="1">
        <v>1.6450199999999997</v>
      </c>
      <c r="X600" s="1">
        <v>1.4762999999999999</v>
      </c>
      <c r="Y600" s="1">
        <f t="shared" si="34"/>
        <v>1.5016080000000001</v>
      </c>
      <c r="Z600" s="10"/>
      <c r="AA600" s="10"/>
      <c r="AB600" s="10"/>
      <c r="AC600" s="10"/>
      <c r="AD600" s="10"/>
      <c r="AE600" s="10"/>
      <c r="AF600" s="10"/>
      <c r="AG600" s="38">
        <f t="shared" si="35"/>
        <v>0</v>
      </c>
      <c r="AH600" s="51" t="str">
        <f t="shared" si="36"/>
        <v xml:space="preserve"> </v>
      </c>
      <c r="AI600" s="64"/>
      <c r="AJ600" s="1"/>
      <c r="AK600" s="65">
        <v>0</v>
      </c>
      <c r="AL600" s="1"/>
      <c r="AM600" s="1"/>
      <c r="AN600" s="81"/>
      <c r="AO600" s="81"/>
    </row>
    <row r="601" spans="1:41" s="26" customFormat="1" hidden="1" x14ac:dyDescent="0.25">
      <c r="A601" s="22" t="s">
        <v>1513</v>
      </c>
      <c r="B601" s="2"/>
      <c r="C601" s="21">
        <v>6</v>
      </c>
      <c r="D601" s="23"/>
      <c r="E601" s="23"/>
      <c r="F601" s="23"/>
      <c r="G601" s="3" t="s">
        <v>1008</v>
      </c>
      <c r="H601" s="6"/>
      <c r="I601" s="6"/>
      <c r="J601" s="6"/>
      <c r="K601" s="21"/>
      <c r="L601" s="21" t="s">
        <v>1505</v>
      </c>
      <c r="M601" s="4"/>
      <c r="N601" s="6"/>
      <c r="O601" s="6"/>
      <c r="P601" s="6"/>
      <c r="Q601" s="27"/>
      <c r="R601" s="27" t="s">
        <v>205</v>
      </c>
      <c r="S601" s="6"/>
      <c r="T601" s="1">
        <v>0.91996800000000001</v>
      </c>
      <c r="U601" s="1">
        <v>0.459984</v>
      </c>
      <c r="V601" s="1">
        <v>2.069928</v>
      </c>
      <c r="W601" s="1">
        <v>1.8399359999999998</v>
      </c>
      <c r="X601" s="1">
        <v>1.839936</v>
      </c>
      <c r="Y601" s="1">
        <f t="shared" si="34"/>
        <v>1.4259504000000001</v>
      </c>
      <c r="Z601" s="10"/>
      <c r="AA601" s="10"/>
      <c r="AB601" s="10"/>
      <c r="AC601" s="10"/>
      <c r="AD601" s="10"/>
      <c r="AE601" s="10"/>
      <c r="AF601" s="10"/>
      <c r="AG601" s="38">
        <f t="shared" si="35"/>
        <v>0</v>
      </c>
      <c r="AH601" s="51" t="str">
        <f t="shared" si="36"/>
        <v xml:space="preserve"> </v>
      </c>
      <c r="AI601" s="64"/>
      <c r="AJ601" s="1"/>
      <c r="AK601" s="65">
        <v>0</v>
      </c>
      <c r="AL601" s="1"/>
      <c r="AM601" s="1"/>
      <c r="AN601" s="81"/>
      <c r="AO601" s="81"/>
    </row>
    <row r="602" spans="1:41" s="26" customFormat="1" hidden="1" x14ac:dyDescent="0.25">
      <c r="A602" s="22" t="s">
        <v>1071</v>
      </c>
      <c r="B602" s="2"/>
      <c r="C602" s="21">
        <v>3.5</v>
      </c>
      <c r="D602" s="23"/>
      <c r="E602" s="23"/>
      <c r="F602" s="23"/>
      <c r="G602" s="3" t="s">
        <v>499</v>
      </c>
      <c r="H602" s="4"/>
      <c r="I602" s="6"/>
      <c r="J602" s="4"/>
      <c r="K602" s="5"/>
      <c r="L602" s="5" t="s">
        <v>1512</v>
      </c>
      <c r="M602" s="4"/>
      <c r="N602" s="4"/>
      <c r="O602" s="4"/>
      <c r="P602" s="4"/>
      <c r="Q602" s="24"/>
      <c r="R602" s="27" t="s">
        <v>205</v>
      </c>
      <c r="S602" s="4"/>
      <c r="T602" s="1">
        <v>0.90434210000000015</v>
      </c>
      <c r="U602" s="1">
        <v>1.3407232</v>
      </c>
      <c r="V602" s="1">
        <v>1.7243406999999997</v>
      </c>
      <c r="W602" s="1">
        <v>1.5042120999999997</v>
      </c>
      <c r="X602" s="1">
        <v>1.2473953999999996</v>
      </c>
      <c r="Y602" s="1">
        <f t="shared" si="34"/>
        <v>1.3442026999999999</v>
      </c>
      <c r="Z602" s="10"/>
      <c r="AA602" s="10"/>
      <c r="AB602" s="10"/>
      <c r="AC602" s="10"/>
      <c r="AD602" s="10"/>
      <c r="AE602" s="10"/>
      <c r="AF602" s="10"/>
      <c r="AG602" s="38">
        <f t="shared" si="35"/>
        <v>0</v>
      </c>
      <c r="AH602" s="51" t="str">
        <f t="shared" si="36"/>
        <v xml:space="preserve"> </v>
      </c>
      <c r="AI602" s="64"/>
      <c r="AJ602" s="1"/>
      <c r="AK602" s="65">
        <v>0</v>
      </c>
      <c r="AL602" s="1"/>
      <c r="AM602" s="1"/>
      <c r="AN602" s="81"/>
      <c r="AO602" s="81"/>
    </row>
    <row r="603" spans="1:41" s="26" customFormat="1" hidden="1" x14ac:dyDescent="0.25">
      <c r="A603" s="22" t="s">
        <v>1514</v>
      </c>
      <c r="B603" s="2"/>
      <c r="C603" s="21">
        <v>6</v>
      </c>
      <c r="D603" s="23"/>
      <c r="E603" s="23"/>
      <c r="F603" s="23"/>
      <c r="G603" s="3" t="s">
        <v>1008</v>
      </c>
      <c r="H603" s="6"/>
      <c r="I603" s="6"/>
      <c r="J603" s="6"/>
      <c r="K603" s="21"/>
      <c r="L603" s="21" t="s">
        <v>1505</v>
      </c>
      <c r="M603" s="6"/>
      <c r="N603" s="6"/>
      <c r="O603" s="6"/>
      <c r="P603" s="6"/>
      <c r="Q603" s="27"/>
      <c r="R603" s="27" t="s">
        <v>205</v>
      </c>
      <c r="S603" s="6"/>
      <c r="T603" s="1">
        <v>1.6345641999999998</v>
      </c>
      <c r="U603" s="1">
        <v>1.2439024000000001</v>
      </c>
      <c r="V603" s="1">
        <v>1.2999311999999998</v>
      </c>
      <c r="W603" s="1">
        <v>1.2139760000000002</v>
      </c>
      <c r="X603" s="1">
        <v>1.3065542000000001</v>
      </c>
      <c r="Y603" s="1">
        <f t="shared" si="34"/>
        <v>1.3397855999999999</v>
      </c>
      <c r="Z603" s="10"/>
      <c r="AA603" s="10"/>
      <c r="AB603" s="10"/>
      <c r="AC603" s="10"/>
      <c r="AD603" s="10"/>
      <c r="AE603" s="10"/>
      <c r="AF603" s="10"/>
      <c r="AG603" s="38">
        <f t="shared" si="35"/>
        <v>0</v>
      </c>
      <c r="AH603" s="51" t="str">
        <f t="shared" si="36"/>
        <v xml:space="preserve"> </v>
      </c>
      <c r="AI603" s="64"/>
      <c r="AJ603" s="1"/>
      <c r="AK603" s="65">
        <v>0</v>
      </c>
      <c r="AL603" s="1"/>
      <c r="AM603" s="1"/>
      <c r="AN603" s="81"/>
      <c r="AO603" s="81"/>
    </row>
    <row r="604" spans="1:41" s="26" customFormat="1" hidden="1" x14ac:dyDescent="0.25">
      <c r="A604" s="22" t="s">
        <v>1515</v>
      </c>
      <c r="B604" s="2"/>
      <c r="C604" s="21">
        <v>2</v>
      </c>
      <c r="D604" s="23"/>
      <c r="E604" s="23"/>
      <c r="F604" s="23"/>
      <c r="G604" s="3" t="s">
        <v>1516</v>
      </c>
      <c r="H604" s="4"/>
      <c r="I604" s="6"/>
      <c r="J604" s="4"/>
      <c r="K604" s="5"/>
      <c r="L604" s="5" t="s">
        <v>1512</v>
      </c>
      <c r="M604" s="4"/>
      <c r="N604" s="4"/>
      <c r="O604" s="4"/>
      <c r="P604" s="4"/>
      <c r="Q604" s="24"/>
      <c r="R604" s="27" t="s">
        <v>205</v>
      </c>
      <c r="S604" s="6"/>
      <c r="T604" s="1">
        <v>0.59289599999999998</v>
      </c>
      <c r="U604" s="1">
        <v>1.48224</v>
      </c>
      <c r="V604" s="1">
        <v>1.4081279999999998</v>
      </c>
      <c r="W604" s="1">
        <v>1.48224</v>
      </c>
      <c r="X604" s="1">
        <v>1.48224</v>
      </c>
      <c r="Y604" s="1">
        <f t="shared" si="34"/>
        <v>1.2895487999999999</v>
      </c>
      <c r="Z604" s="10"/>
      <c r="AA604" s="10"/>
      <c r="AB604" s="10"/>
      <c r="AC604" s="10"/>
      <c r="AD604" s="10"/>
      <c r="AE604" s="10"/>
      <c r="AF604" s="10"/>
      <c r="AG604" s="38">
        <f t="shared" si="35"/>
        <v>0</v>
      </c>
      <c r="AH604" s="51" t="str">
        <f t="shared" si="36"/>
        <v xml:space="preserve"> </v>
      </c>
      <c r="AI604" s="64"/>
      <c r="AJ604" s="1"/>
      <c r="AK604" s="65">
        <v>0</v>
      </c>
      <c r="AL604" s="1"/>
      <c r="AM604" s="1"/>
      <c r="AN604" s="81"/>
      <c r="AO604" s="81"/>
    </row>
    <row r="605" spans="1:41" s="26" customFormat="1" hidden="1" x14ac:dyDescent="0.25">
      <c r="A605" s="22" t="s">
        <v>848</v>
      </c>
      <c r="B605" s="2"/>
      <c r="C605" s="21">
        <v>3</v>
      </c>
      <c r="D605" s="23"/>
      <c r="E605" s="23"/>
      <c r="F605" s="23"/>
      <c r="G605" s="3" t="s">
        <v>1008</v>
      </c>
      <c r="H605" s="4"/>
      <c r="I605" s="6"/>
      <c r="J605" s="4"/>
      <c r="K605" s="5"/>
      <c r="L605" s="5" t="s">
        <v>1512</v>
      </c>
      <c r="M605" s="4"/>
      <c r="N605" s="4"/>
      <c r="O605" s="4"/>
      <c r="P605" s="4"/>
      <c r="Q605" s="24"/>
      <c r="R605" s="27" t="s">
        <v>205</v>
      </c>
      <c r="S605" s="6"/>
      <c r="T605" s="1">
        <v>1.707203796226415</v>
      </c>
      <c r="U605" s="1">
        <v>0.75378366415094356</v>
      </c>
      <c r="V605" s="1">
        <v>1.3311301320754716</v>
      </c>
      <c r="W605" s="1">
        <v>0.88613329622641523</v>
      </c>
      <c r="X605" s="1">
        <v>1.590448296226415</v>
      </c>
      <c r="Y605" s="1">
        <f t="shared" si="34"/>
        <v>1.2537398369811321</v>
      </c>
      <c r="Z605" s="10"/>
      <c r="AA605" s="10"/>
      <c r="AB605" s="10"/>
      <c r="AC605" s="10"/>
      <c r="AD605" s="10"/>
      <c r="AE605" s="10"/>
      <c r="AF605" s="10"/>
      <c r="AG605" s="38">
        <f t="shared" si="35"/>
        <v>0</v>
      </c>
      <c r="AH605" s="51" t="str">
        <f t="shared" si="36"/>
        <v xml:space="preserve"> </v>
      </c>
      <c r="AI605" s="64"/>
      <c r="AJ605" s="1"/>
      <c r="AK605" s="65">
        <v>0</v>
      </c>
      <c r="AL605" s="1"/>
      <c r="AM605" s="1"/>
      <c r="AN605" s="81"/>
      <c r="AO605" s="81"/>
    </row>
    <row r="606" spans="1:41" s="26" customFormat="1" hidden="1" x14ac:dyDescent="0.25">
      <c r="A606" s="22" t="s">
        <v>430</v>
      </c>
      <c r="B606" s="2"/>
      <c r="C606" s="21">
        <v>3</v>
      </c>
      <c r="D606" s="23"/>
      <c r="E606" s="23"/>
      <c r="F606" s="23" t="s">
        <v>432</v>
      </c>
      <c r="G606" s="3" t="s">
        <v>1517</v>
      </c>
      <c r="H606" s="6"/>
      <c r="I606" s="6"/>
      <c r="J606" s="6"/>
      <c r="K606" s="21"/>
      <c r="L606" s="21" t="s">
        <v>1512</v>
      </c>
      <c r="M606" s="6"/>
      <c r="N606" s="6"/>
      <c r="O606" s="6"/>
      <c r="P606" s="6"/>
      <c r="Q606" s="27"/>
      <c r="R606" s="27" t="s">
        <v>205</v>
      </c>
      <c r="S606" s="6"/>
      <c r="T606" s="1">
        <v>0.50531334917030568</v>
      </c>
      <c r="U606" s="1">
        <v>1.254295294323144</v>
      </c>
      <c r="V606" s="1">
        <v>1.1903221986026198</v>
      </c>
      <c r="W606" s="1">
        <v>1.2532167248908295</v>
      </c>
      <c r="X606" s="1">
        <v>1.2524976786026201</v>
      </c>
      <c r="Y606" s="1">
        <f t="shared" si="34"/>
        <v>1.0911290491179038</v>
      </c>
      <c r="Z606" s="10"/>
      <c r="AA606" s="10"/>
      <c r="AB606" s="10"/>
      <c r="AC606" s="10"/>
      <c r="AD606" s="10"/>
      <c r="AE606" s="10"/>
      <c r="AF606" s="10"/>
      <c r="AG606" s="38">
        <f t="shared" si="35"/>
        <v>0</v>
      </c>
      <c r="AH606" s="51" t="str">
        <f t="shared" si="36"/>
        <v xml:space="preserve"> </v>
      </c>
      <c r="AI606" s="64"/>
      <c r="AJ606" s="1"/>
      <c r="AK606" s="65">
        <v>0</v>
      </c>
      <c r="AL606" s="1"/>
      <c r="AM606" s="1"/>
      <c r="AN606" s="81"/>
      <c r="AO606" s="81"/>
    </row>
    <row r="607" spans="1:41" s="26" customFormat="1" hidden="1" x14ac:dyDescent="0.25">
      <c r="A607" s="22" t="s">
        <v>1518</v>
      </c>
      <c r="B607" s="2"/>
      <c r="C607" s="21">
        <v>25</v>
      </c>
      <c r="D607" s="23"/>
      <c r="E607" s="23"/>
      <c r="F607" s="23"/>
      <c r="G607" s="3" t="s">
        <v>1498</v>
      </c>
      <c r="H607" s="6"/>
      <c r="I607" s="6"/>
      <c r="J607" s="6"/>
      <c r="K607" s="21"/>
      <c r="L607" s="21" t="s">
        <v>1512</v>
      </c>
      <c r="M607" s="6"/>
      <c r="N607" s="6"/>
      <c r="O607" s="6"/>
      <c r="P607" s="6"/>
      <c r="Q607" s="27"/>
      <c r="R607" s="27" t="s">
        <v>205</v>
      </c>
      <c r="S607" s="6"/>
      <c r="T607" s="1">
        <v>1.0921881777777778</v>
      </c>
      <c r="U607" s="1">
        <v>0.67061426666666668</v>
      </c>
      <c r="V607" s="1">
        <v>0.72876306666666668</v>
      </c>
      <c r="W607" s="1">
        <v>1.3901978444444445</v>
      </c>
      <c r="X607" s="1">
        <v>1.5738198222222222</v>
      </c>
      <c r="Y607" s="1">
        <f t="shared" si="34"/>
        <v>1.0911166355555557</v>
      </c>
      <c r="Z607" s="10"/>
      <c r="AA607" s="10"/>
      <c r="AB607" s="10"/>
      <c r="AC607" s="10"/>
      <c r="AD607" s="10"/>
      <c r="AE607" s="10"/>
      <c r="AF607" s="10"/>
      <c r="AG607" s="38">
        <f t="shared" si="35"/>
        <v>0</v>
      </c>
      <c r="AH607" s="51" t="str">
        <f t="shared" si="36"/>
        <v xml:space="preserve"> </v>
      </c>
      <c r="AI607" s="64"/>
      <c r="AJ607" s="1"/>
      <c r="AK607" s="65">
        <v>0</v>
      </c>
      <c r="AL607" s="1"/>
      <c r="AM607" s="1"/>
      <c r="AN607" s="81"/>
      <c r="AO607" s="81"/>
    </row>
    <row r="608" spans="1:41" s="26" customFormat="1" hidden="1" x14ac:dyDescent="0.25">
      <c r="A608" s="22" t="s">
        <v>1519</v>
      </c>
      <c r="B608" s="2"/>
      <c r="C608" s="21">
        <v>6.3</v>
      </c>
      <c r="D608" s="23"/>
      <c r="E608" s="23"/>
      <c r="F608" s="23"/>
      <c r="G608" s="3" t="s">
        <v>1008</v>
      </c>
      <c r="H608" s="6"/>
      <c r="I608" s="6"/>
      <c r="J608" s="6"/>
      <c r="K608" s="21"/>
      <c r="L608" s="21" t="s">
        <v>1505</v>
      </c>
      <c r="M608" s="6"/>
      <c r="N608" s="6"/>
      <c r="O608" s="6"/>
      <c r="P608" s="6"/>
      <c r="Q608" s="27"/>
      <c r="R608" s="27" t="s">
        <v>205</v>
      </c>
      <c r="S608" s="6"/>
      <c r="T608" s="1">
        <v>1.1807105508826636</v>
      </c>
      <c r="U608" s="1">
        <v>0.84061211410412262</v>
      </c>
      <c r="V608" s="1">
        <v>1.0952748630576112</v>
      </c>
      <c r="W608" s="1">
        <v>1.2223024791966173</v>
      </c>
      <c r="X608" s="1">
        <v>1.1028732411390063</v>
      </c>
      <c r="Y608" s="1">
        <f t="shared" si="34"/>
        <v>1.0883546496760041</v>
      </c>
      <c r="Z608" s="10"/>
      <c r="AA608" s="10"/>
      <c r="AB608" s="10"/>
      <c r="AC608" s="10"/>
      <c r="AD608" s="10"/>
      <c r="AE608" s="10"/>
      <c r="AF608" s="10"/>
      <c r="AG608" s="38">
        <f t="shared" si="35"/>
        <v>0</v>
      </c>
      <c r="AH608" s="51" t="str">
        <f t="shared" si="36"/>
        <v xml:space="preserve"> </v>
      </c>
      <c r="AI608" s="64"/>
      <c r="AJ608" s="1"/>
      <c r="AK608" s="65">
        <v>0</v>
      </c>
      <c r="AL608" s="1"/>
      <c r="AM608" s="1"/>
      <c r="AN608" s="81"/>
      <c r="AO608" s="81"/>
    </row>
    <row r="609" spans="1:41" s="26" customFormat="1" hidden="1" x14ac:dyDescent="0.25">
      <c r="A609" s="22" t="s">
        <v>562</v>
      </c>
      <c r="B609" s="2"/>
      <c r="C609" s="21">
        <v>4</v>
      </c>
      <c r="D609" s="23"/>
      <c r="E609" s="23"/>
      <c r="F609" s="23"/>
      <c r="G609" s="3" t="s">
        <v>1008</v>
      </c>
      <c r="H609" s="4"/>
      <c r="I609" s="6"/>
      <c r="J609" s="4"/>
      <c r="K609" s="5"/>
      <c r="L609" s="5" t="s">
        <v>1505</v>
      </c>
      <c r="M609" s="4"/>
      <c r="N609" s="4"/>
      <c r="O609" s="4"/>
      <c r="P609" s="4"/>
      <c r="Q609" s="24"/>
      <c r="R609" s="27" t="s">
        <v>205</v>
      </c>
      <c r="S609" s="6"/>
      <c r="T609" s="1">
        <v>1.3088395999999998</v>
      </c>
      <c r="U609" s="1">
        <v>1.1144339999999999</v>
      </c>
      <c r="V609" s="1">
        <v>1.49854</v>
      </c>
      <c r="W609" s="1">
        <v>1.4528139999999998</v>
      </c>
      <c r="X609" s="1">
        <v>0</v>
      </c>
      <c r="Y609" s="1">
        <f t="shared" si="34"/>
        <v>1.0749255200000001</v>
      </c>
      <c r="Z609" s="10"/>
      <c r="AA609" s="10"/>
      <c r="AB609" s="10"/>
      <c r="AC609" s="10"/>
      <c r="AD609" s="10"/>
      <c r="AE609" s="10"/>
      <c r="AF609" s="10"/>
      <c r="AG609" s="38">
        <f t="shared" si="35"/>
        <v>0</v>
      </c>
      <c r="AH609" s="51" t="str">
        <f t="shared" si="36"/>
        <v xml:space="preserve"> </v>
      </c>
      <c r="AI609" s="64"/>
      <c r="AJ609" s="1"/>
      <c r="AK609" s="65">
        <v>0</v>
      </c>
      <c r="AL609" s="1"/>
      <c r="AM609" s="1"/>
      <c r="AN609" s="81"/>
      <c r="AO609" s="81"/>
    </row>
    <row r="610" spans="1:41" s="26" customFormat="1" hidden="1" x14ac:dyDescent="0.25">
      <c r="A610" s="22" t="s">
        <v>551</v>
      </c>
      <c r="B610" s="2"/>
      <c r="C610" s="21">
        <v>4.75</v>
      </c>
      <c r="D610" s="23"/>
      <c r="E610" s="23"/>
      <c r="F610" s="23"/>
      <c r="G610" s="3" t="s">
        <v>499</v>
      </c>
      <c r="H610" s="6"/>
      <c r="I610" s="6"/>
      <c r="J610" s="6"/>
      <c r="K610" s="21"/>
      <c r="L610" s="21" t="s">
        <v>1512</v>
      </c>
      <c r="M610" s="6"/>
      <c r="N610" s="6"/>
      <c r="O610" s="6"/>
      <c r="P610" s="6"/>
      <c r="Q610" s="27"/>
      <c r="R610" s="27" t="s">
        <v>205</v>
      </c>
      <c r="S610" s="6"/>
      <c r="T610" s="1">
        <v>1.23282</v>
      </c>
      <c r="U610" s="1">
        <v>1.3697999999999999</v>
      </c>
      <c r="V610" s="1">
        <v>1.23282</v>
      </c>
      <c r="W610" s="1">
        <v>1.23282</v>
      </c>
      <c r="X610" s="1">
        <v>0</v>
      </c>
      <c r="Y610" s="1">
        <f t="shared" si="34"/>
        <v>1.013652</v>
      </c>
      <c r="Z610" s="10"/>
      <c r="AA610" s="10"/>
      <c r="AB610" s="10"/>
      <c r="AC610" s="10"/>
      <c r="AD610" s="10"/>
      <c r="AE610" s="10"/>
      <c r="AF610" s="10"/>
      <c r="AG610" s="38">
        <f t="shared" si="35"/>
        <v>0</v>
      </c>
      <c r="AH610" s="51" t="str">
        <f t="shared" si="36"/>
        <v xml:space="preserve"> </v>
      </c>
      <c r="AI610" s="64"/>
      <c r="AJ610" s="1"/>
      <c r="AK610" s="65">
        <v>0</v>
      </c>
      <c r="AL610" s="1"/>
      <c r="AM610" s="1"/>
      <c r="AN610" s="81"/>
      <c r="AO610" s="81"/>
    </row>
    <row r="611" spans="1:41" s="26" customFormat="1" hidden="1" x14ac:dyDescent="0.25">
      <c r="A611" s="22" t="s">
        <v>1520</v>
      </c>
      <c r="B611" s="2"/>
      <c r="C611" s="21">
        <v>8</v>
      </c>
      <c r="D611" s="23"/>
      <c r="E611" s="23"/>
      <c r="F611" s="23"/>
      <c r="G611" s="3" t="s">
        <v>1008</v>
      </c>
      <c r="H611" s="4"/>
      <c r="I611" s="4"/>
      <c r="J611" s="4"/>
      <c r="K611" s="5"/>
      <c r="L611" s="5" t="s">
        <v>1509</v>
      </c>
      <c r="M611" s="4"/>
      <c r="N611" s="4"/>
      <c r="O611" s="4"/>
      <c r="P611" s="4"/>
      <c r="Q611" s="24"/>
      <c r="R611" s="27" t="s">
        <v>205</v>
      </c>
      <c r="S611" s="4"/>
      <c r="T611" s="1">
        <v>0.47650707692307698</v>
      </c>
      <c r="U611" s="1">
        <v>0.97736123076923076</v>
      </c>
      <c r="V611" s="1">
        <v>0.50085415384615384</v>
      </c>
      <c r="W611" s="1">
        <v>0.97736123076923076</v>
      </c>
      <c r="X611" s="1">
        <v>0.90432000000000001</v>
      </c>
      <c r="Y611" s="1">
        <f t="shared" si="34"/>
        <v>0.76728073846153855</v>
      </c>
      <c r="Z611" s="10"/>
      <c r="AA611" s="10"/>
      <c r="AB611" s="10"/>
      <c r="AC611" s="10"/>
      <c r="AD611" s="10"/>
      <c r="AE611" s="10"/>
      <c r="AF611" s="10"/>
      <c r="AG611" s="38">
        <f t="shared" si="35"/>
        <v>0</v>
      </c>
      <c r="AH611" s="51" t="str">
        <f t="shared" si="36"/>
        <v xml:space="preserve"> </v>
      </c>
      <c r="AI611" s="64"/>
      <c r="AJ611" s="1"/>
      <c r="AK611" s="65">
        <v>0</v>
      </c>
      <c r="AL611" s="1"/>
      <c r="AM611" s="1"/>
      <c r="AN611" s="81"/>
      <c r="AO611" s="81"/>
    </row>
    <row r="612" spans="1:41" s="26" customFormat="1" hidden="1" x14ac:dyDescent="0.25">
      <c r="A612" s="22" t="s">
        <v>1521</v>
      </c>
      <c r="B612" s="2"/>
      <c r="C612" s="21">
        <v>6</v>
      </c>
      <c r="D612" s="23"/>
      <c r="E612" s="23"/>
      <c r="F612" s="23"/>
      <c r="G612" s="3" t="s">
        <v>1008</v>
      </c>
      <c r="H612" s="6"/>
      <c r="I612" s="6"/>
      <c r="J612" s="6"/>
      <c r="K612" s="21"/>
      <c r="L612" s="21" t="s">
        <v>1509</v>
      </c>
      <c r="M612" s="6"/>
      <c r="N612" s="6"/>
      <c r="O612" s="6"/>
      <c r="P612" s="6"/>
      <c r="Q612" s="27"/>
      <c r="R612" s="27" t="s">
        <v>205</v>
      </c>
      <c r="S612" s="6"/>
      <c r="T612" s="1">
        <v>0.22763975042502552</v>
      </c>
      <c r="U612" s="1">
        <v>0.96250888767992748</v>
      </c>
      <c r="V612" s="1">
        <v>0.51610998305565003</v>
      </c>
      <c r="W612" s="1">
        <v>1.3854988930069134</v>
      </c>
      <c r="X612" s="1">
        <v>0.30158932171596964</v>
      </c>
      <c r="Y612" s="1">
        <f t="shared" si="34"/>
        <v>0.67866936717669724</v>
      </c>
      <c r="Z612" s="10"/>
      <c r="AA612" s="10"/>
      <c r="AB612" s="10"/>
      <c r="AC612" s="10"/>
      <c r="AD612" s="10"/>
      <c r="AE612" s="10"/>
      <c r="AF612" s="10"/>
      <c r="AG612" s="38">
        <f t="shared" si="35"/>
        <v>0</v>
      </c>
      <c r="AH612" s="51" t="str">
        <f t="shared" si="36"/>
        <v xml:space="preserve"> </v>
      </c>
      <c r="AI612" s="64"/>
      <c r="AJ612" s="1"/>
      <c r="AK612" s="65">
        <v>0</v>
      </c>
      <c r="AL612" s="1"/>
      <c r="AM612" s="1"/>
      <c r="AN612" s="81"/>
      <c r="AO612" s="81"/>
    </row>
    <row r="613" spans="1:41" s="26" customFormat="1" hidden="1" x14ac:dyDescent="0.25">
      <c r="A613" s="22" t="s">
        <v>1522</v>
      </c>
      <c r="B613" s="2"/>
      <c r="C613" s="21">
        <v>1.5</v>
      </c>
      <c r="D613" s="23"/>
      <c r="E613" s="23"/>
      <c r="F613" s="23"/>
      <c r="G613" s="3"/>
      <c r="H613" s="4"/>
      <c r="I613" s="6"/>
      <c r="J613" s="4"/>
      <c r="K613" s="5"/>
      <c r="L613" s="5" t="s">
        <v>1512</v>
      </c>
      <c r="M613" s="4" t="s">
        <v>1523</v>
      </c>
      <c r="N613" s="4"/>
      <c r="O613" s="4"/>
      <c r="P613" s="4"/>
      <c r="Q613" s="24"/>
      <c r="R613" s="27" t="s">
        <v>205</v>
      </c>
      <c r="S613" s="6"/>
      <c r="T613" s="1">
        <v>0.50341250000000004</v>
      </c>
      <c r="U613" s="1">
        <v>0.70040000000000002</v>
      </c>
      <c r="V613" s="1">
        <v>0.70040000000000002</v>
      </c>
      <c r="W613" s="1">
        <v>0.70040000000000002</v>
      </c>
      <c r="X613" s="1">
        <v>0.70040000000000002</v>
      </c>
      <c r="Y613" s="1">
        <f t="shared" si="34"/>
        <v>0.66100250000000016</v>
      </c>
      <c r="Z613" s="10"/>
      <c r="AA613" s="10"/>
      <c r="AB613" s="10"/>
      <c r="AC613" s="10"/>
      <c r="AD613" s="10"/>
      <c r="AE613" s="10"/>
      <c r="AF613" s="10"/>
      <c r="AG613" s="38">
        <f t="shared" si="35"/>
        <v>0</v>
      </c>
      <c r="AH613" s="51" t="str">
        <f t="shared" si="36"/>
        <v xml:space="preserve"> </v>
      </c>
      <c r="AI613" s="64"/>
      <c r="AJ613" s="1"/>
      <c r="AK613" s="65">
        <v>0</v>
      </c>
      <c r="AL613" s="1"/>
      <c r="AM613" s="1"/>
      <c r="AN613" s="81"/>
      <c r="AO613" s="81"/>
    </row>
    <row r="614" spans="1:41" s="26" customFormat="1" hidden="1" x14ac:dyDescent="0.25">
      <c r="A614" s="22" t="s">
        <v>1524</v>
      </c>
      <c r="B614" s="2"/>
      <c r="C614" s="21">
        <v>9.5</v>
      </c>
      <c r="D614" s="23"/>
      <c r="E614" s="23"/>
      <c r="F614" s="23"/>
      <c r="G614" s="3" t="s">
        <v>1008</v>
      </c>
      <c r="H614" s="6"/>
      <c r="I614" s="6"/>
      <c r="J614" s="6"/>
      <c r="K614" s="21"/>
      <c r="L614" s="21" t="s">
        <v>1509</v>
      </c>
      <c r="M614" s="6"/>
      <c r="N614" s="6"/>
      <c r="O614" s="6"/>
      <c r="P614" s="6"/>
      <c r="Q614" s="27"/>
      <c r="R614" s="27" t="s">
        <v>205</v>
      </c>
      <c r="S614" s="6"/>
      <c r="T614" s="1">
        <v>0.19134374999999998</v>
      </c>
      <c r="U614" s="1">
        <v>0.54683898305084744</v>
      </c>
      <c r="V614" s="1">
        <v>0.79714041464891039</v>
      </c>
      <c r="W614" s="1">
        <v>1.4183857082324454</v>
      </c>
      <c r="X614" s="1">
        <v>0.24601339285714283</v>
      </c>
      <c r="Y614" s="1">
        <f t="shared" si="34"/>
        <v>0.63994444975786924</v>
      </c>
      <c r="Z614" s="10"/>
      <c r="AA614" s="10"/>
      <c r="AB614" s="10"/>
      <c r="AC614" s="10"/>
      <c r="AD614" s="10"/>
      <c r="AE614" s="10"/>
      <c r="AF614" s="10"/>
      <c r="AG614" s="38">
        <f t="shared" si="35"/>
        <v>0</v>
      </c>
      <c r="AH614" s="51" t="str">
        <f t="shared" si="36"/>
        <v xml:space="preserve"> </v>
      </c>
      <c r="AI614" s="64"/>
      <c r="AJ614" s="1"/>
      <c r="AK614" s="65">
        <v>0</v>
      </c>
      <c r="AL614" s="1"/>
      <c r="AM614" s="1"/>
      <c r="AN614" s="81"/>
      <c r="AO614" s="81"/>
    </row>
    <row r="615" spans="1:41" s="26" customFormat="1" hidden="1" x14ac:dyDescent="0.25">
      <c r="A615" s="22" t="s">
        <v>865</v>
      </c>
      <c r="B615" s="2"/>
      <c r="C615" s="21">
        <v>5</v>
      </c>
      <c r="D615" s="23"/>
      <c r="E615" s="23"/>
      <c r="F615" s="23"/>
      <c r="G615" s="3" t="s">
        <v>499</v>
      </c>
      <c r="H615" s="6"/>
      <c r="I615" s="6"/>
      <c r="J615" s="6"/>
      <c r="K615" s="21"/>
      <c r="L615" s="21" t="s">
        <v>1512</v>
      </c>
      <c r="M615" s="6"/>
      <c r="N615" s="6"/>
      <c r="O615" s="6"/>
      <c r="P615" s="6"/>
      <c r="Q615" s="27"/>
      <c r="R615" s="27" t="s">
        <v>205</v>
      </c>
      <c r="S615" s="6"/>
      <c r="T615" s="1">
        <v>0.76980480000000007</v>
      </c>
      <c r="U615" s="1">
        <v>0.46509040000000001</v>
      </c>
      <c r="V615" s="1">
        <v>0.59339120000000001</v>
      </c>
      <c r="W615" s="1">
        <v>0.44905280000000003</v>
      </c>
      <c r="X615" s="1">
        <v>0.78584240000000016</v>
      </c>
      <c r="Y615" s="1">
        <f t="shared" si="34"/>
        <v>0.61263632000000001</v>
      </c>
      <c r="Z615" s="10"/>
      <c r="AA615" s="10"/>
      <c r="AB615" s="10"/>
      <c r="AC615" s="10"/>
      <c r="AD615" s="10"/>
      <c r="AE615" s="10"/>
      <c r="AF615" s="10"/>
      <c r="AG615" s="38">
        <f t="shared" si="35"/>
        <v>0</v>
      </c>
      <c r="AH615" s="51" t="str">
        <f t="shared" si="36"/>
        <v xml:space="preserve"> </v>
      </c>
      <c r="AI615" s="64"/>
      <c r="AJ615" s="1"/>
      <c r="AK615" s="65">
        <v>0</v>
      </c>
      <c r="AL615" s="1"/>
      <c r="AM615" s="1"/>
      <c r="AN615" s="81"/>
      <c r="AO615" s="81"/>
    </row>
    <row r="616" spans="1:41" s="26" customFormat="1" hidden="1" x14ac:dyDescent="0.25">
      <c r="A616" s="22" t="s">
        <v>1525</v>
      </c>
      <c r="B616" s="2"/>
      <c r="C616" s="21">
        <v>15.75</v>
      </c>
      <c r="D616" s="23"/>
      <c r="E616" s="23"/>
      <c r="F616" s="23"/>
      <c r="G616" s="3" t="s">
        <v>1526</v>
      </c>
      <c r="H616" s="6"/>
      <c r="I616" s="6"/>
      <c r="J616" s="6"/>
      <c r="K616" s="21"/>
      <c r="L616" s="21" t="s">
        <v>1505</v>
      </c>
      <c r="M616" s="6"/>
      <c r="N616" s="6"/>
      <c r="O616" s="6"/>
      <c r="P616" s="6"/>
      <c r="Q616" s="27"/>
      <c r="R616" s="27" t="s">
        <v>205</v>
      </c>
      <c r="S616" s="6"/>
      <c r="T616" s="1">
        <v>0.41828159999999998</v>
      </c>
      <c r="U616" s="1">
        <v>0.49433279999999996</v>
      </c>
      <c r="V616" s="1">
        <v>0.96965279999999998</v>
      </c>
      <c r="W616" s="1">
        <v>0.64643519999999988</v>
      </c>
      <c r="X616" s="1">
        <v>0.53235840000000001</v>
      </c>
      <c r="Y616" s="1">
        <f t="shared" si="34"/>
        <v>0.61221216000000001</v>
      </c>
      <c r="Z616" s="10"/>
      <c r="AA616" s="10"/>
      <c r="AB616" s="10"/>
      <c r="AC616" s="10"/>
      <c r="AD616" s="10"/>
      <c r="AE616" s="10"/>
      <c r="AF616" s="10"/>
      <c r="AG616" s="38">
        <f t="shared" si="35"/>
        <v>0</v>
      </c>
      <c r="AH616" s="51" t="str">
        <f t="shared" si="36"/>
        <v xml:space="preserve"> </v>
      </c>
      <c r="AI616" s="64"/>
      <c r="AJ616" s="1"/>
      <c r="AK616" s="65">
        <v>0</v>
      </c>
      <c r="AL616" s="1"/>
      <c r="AM616" s="1"/>
      <c r="AN616" s="81"/>
      <c r="AO616" s="81"/>
    </row>
    <row r="617" spans="1:41" s="26" customFormat="1" hidden="1" x14ac:dyDescent="0.25">
      <c r="A617" s="22" t="s">
        <v>1527</v>
      </c>
      <c r="B617" s="2"/>
      <c r="C617" s="21">
        <v>4.75</v>
      </c>
      <c r="D617" s="23"/>
      <c r="E617" s="23"/>
      <c r="F617" s="23"/>
      <c r="G617" s="3" t="s">
        <v>1528</v>
      </c>
      <c r="H617" s="6"/>
      <c r="I617" s="6"/>
      <c r="J617" s="6"/>
      <c r="K617" s="21"/>
      <c r="L617" s="21" t="s">
        <v>1505</v>
      </c>
      <c r="M617" s="6"/>
      <c r="N617" s="6"/>
      <c r="O617" s="6"/>
      <c r="P617" s="6"/>
      <c r="Q617" s="27"/>
      <c r="R617" s="27" t="s">
        <v>205</v>
      </c>
      <c r="S617" s="6"/>
      <c r="T617" s="1">
        <v>0</v>
      </c>
      <c r="U617" s="1">
        <v>0.24903899999999998</v>
      </c>
      <c r="V617" s="1">
        <v>0.99615599999999993</v>
      </c>
      <c r="W617" s="1">
        <v>0.74711699999999992</v>
      </c>
      <c r="X617" s="1">
        <v>0.99615599999999993</v>
      </c>
      <c r="Y617" s="1">
        <f t="shared" si="34"/>
        <v>0.59769359999999994</v>
      </c>
      <c r="Z617" s="10"/>
      <c r="AA617" s="10"/>
      <c r="AB617" s="10"/>
      <c r="AC617" s="10"/>
      <c r="AD617" s="10"/>
      <c r="AE617" s="10"/>
      <c r="AF617" s="10"/>
      <c r="AG617" s="38">
        <f t="shared" si="35"/>
        <v>0</v>
      </c>
      <c r="AH617" s="51" t="str">
        <f t="shared" si="36"/>
        <v xml:space="preserve"> </v>
      </c>
      <c r="AI617" s="64"/>
      <c r="AJ617" s="1"/>
      <c r="AK617" s="65">
        <v>0</v>
      </c>
      <c r="AL617" s="1"/>
      <c r="AM617" s="1"/>
      <c r="AN617" s="81"/>
      <c r="AO617" s="81"/>
    </row>
    <row r="618" spans="1:41" s="26" customFormat="1" hidden="1" x14ac:dyDescent="0.25">
      <c r="A618" s="22" t="s">
        <v>1084</v>
      </c>
      <c r="B618" s="2"/>
      <c r="C618" s="21">
        <v>3</v>
      </c>
      <c r="D618" s="23"/>
      <c r="E618" s="23"/>
      <c r="F618" s="23"/>
      <c r="G618" s="3" t="s">
        <v>1529</v>
      </c>
      <c r="H618" s="6"/>
      <c r="I618" s="6"/>
      <c r="J618" s="6"/>
      <c r="K618" s="21"/>
      <c r="L618" s="21" t="s">
        <v>1512</v>
      </c>
      <c r="M618" s="6"/>
      <c r="N618" s="6"/>
      <c r="O618" s="6"/>
      <c r="P618" s="6"/>
      <c r="Q618" s="27"/>
      <c r="R618" s="27" t="s">
        <v>205</v>
      </c>
      <c r="S618" s="6"/>
      <c r="T618" s="1">
        <v>0.52515319999999999</v>
      </c>
      <c r="U618" s="1">
        <v>0.54449919999999996</v>
      </c>
      <c r="V618" s="1">
        <v>0.42600239999999995</v>
      </c>
      <c r="W618" s="1">
        <v>0.61754799999999999</v>
      </c>
      <c r="X618" s="1">
        <v>0.53339999999999999</v>
      </c>
      <c r="Y618" s="1">
        <f t="shared" si="34"/>
        <v>0.52932055999999994</v>
      </c>
      <c r="Z618" s="10"/>
      <c r="AA618" s="10"/>
      <c r="AB618" s="10"/>
      <c r="AC618" s="10"/>
      <c r="AD618" s="10"/>
      <c r="AE618" s="10"/>
      <c r="AF618" s="10"/>
      <c r="AG618" s="38">
        <f t="shared" si="35"/>
        <v>0</v>
      </c>
      <c r="AH618" s="51" t="str">
        <f t="shared" si="36"/>
        <v xml:space="preserve"> </v>
      </c>
      <c r="AI618" s="64"/>
      <c r="AJ618" s="1"/>
      <c r="AK618" s="65">
        <v>0</v>
      </c>
      <c r="AL618" s="1"/>
      <c r="AM618" s="1"/>
      <c r="AN618" s="81"/>
      <c r="AO618" s="81"/>
    </row>
    <row r="619" spans="1:41" s="26" customFormat="1" hidden="1" x14ac:dyDescent="0.25">
      <c r="A619" s="22" t="s">
        <v>1109</v>
      </c>
      <c r="B619" s="2"/>
      <c r="C619" s="21">
        <v>9.5</v>
      </c>
      <c r="D619" s="23"/>
      <c r="E619" s="23"/>
      <c r="F619" s="23"/>
      <c r="G619" s="3" t="s">
        <v>1008</v>
      </c>
      <c r="H619" s="4"/>
      <c r="I619" s="4"/>
      <c r="J619" s="4"/>
      <c r="K619" s="5"/>
      <c r="L619" s="5" t="s">
        <v>1505</v>
      </c>
      <c r="M619" s="4"/>
      <c r="N619" s="4"/>
      <c r="O619" s="4"/>
      <c r="P619" s="4"/>
      <c r="Q619" s="24"/>
      <c r="R619" s="27" t="s">
        <v>205</v>
      </c>
      <c r="S619" s="4"/>
      <c r="T619" s="1">
        <v>0.51946514594594584</v>
      </c>
      <c r="U619" s="1">
        <v>0.43208962162162157</v>
      </c>
      <c r="V619" s="1">
        <v>0.52440502162162161</v>
      </c>
      <c r="W619" s="1">
        <v>0.48344347027027029</v>
      </c>
      <c r="X619" s="1">
        <v>0.57212995675675682</v>
      </c>
      <c r="Y619" s="1">
        <f t="shared" si="34"/>
        <v>0.50630664324324326</v>
      </c>
      <c r="Z619" s="10"/>
      <c r="AA619" s="10"/>
      <c r="AB619" s="10"/>
      <c r="AC619" s="10"/>
      <c r="AD619" s="10"/>
      <c r="AE619" s="10"/>
      <c r="AF619" s="10"/>
      <c r="AG619" s="38">
        <f t="shared" si="35"/>
        <v>0</v>
      </c>
      <c r="AH619" s="51" t="str">
        <f t="shared" si="36"/>
        <v xml:space="preserve"> </v>
      </c>
      <c r="AI619" s="64"/>
      <c r="AJ619" s="1"/>
      <c r="AK619" s="65">
        <v>0</v>
      </c>
      <c r="AL619" s="1"/>
      <c r="AM619" s="1"/>
      <c r="AN619" s="81"/>
      <c r="AO619" s="81"/>
    </row>
    <row r="620" spans="1:41" s="26" customFormat="1" hidden="1" x14ac:dyDescent="0.25">
      <c r="A620" s="22" t="s">
        <v>1081</v>
      </c>
      <c r="B620" s="2"/>
      <c r="C620" s="21">
        <v>8</v>
      </c>
      <c r="D620" s="23"/>
      <c r="E620" s="23"/>
      <c r="F620" s="23"/>
      <c r="G620" s="3" t="s">
        <v>1008</v>
      </c>
      <c r="H620" s="6"/>
      <c r="I620" s="6"/>
      <c r="J620" s="6"/>
      <c r="K620" s="21"/>
      <c r="L620" s="21" t="s">
        <v>1505</v>
      </c>
      <c r="M620" s="4"/>
      <c r="N620" s="6"/>
      <c r="O620" s="6"/>
      <c r="P620" s="6"/>
      <c r="Q620" s="27"/>
      <c r="R620" s="27" t="s">
        <v>205</v>
      </c>
      <c r="S620" s="6"/>
      <c r="T620" s="1">
        <v>0.2562130489795918</v>
      </c>
      <c r="U620" s="1">
        <v>0.2811052367346939</v>
      </c>
      <c r="V620" s="1">
        <v>0.53541386122448975</v>
      </c>
      <c r="W620" s="1">
        <v>0.62149874693877549</v>
      </c>
      <c r="X620" s="1">
        <v>0.81472295918367343</v>
      </c>
      <c r="Y620" s="1">
        <f t="shared" si="34"/>
        <v>0.50179077061224497</v>
      </c>
      <c r="Z620" s="10"/>
      <c r="AA620" s="10"/>
      <c r="AB620" s="10"/>
      <c r="AC620" s="10"/>
      <c r="AD620" s="10"/>
      <c r="AE620" s="10"/>
      <c r="AF620" s="10"/>
      <c r="AG620" s="38">
        <f t="shared" si="35"/>
        <v>0</v>
      </c>
      <c r="AH620" s="51" t="str">
        <f t="shared" si="36"/>
        <v xml:space="preserve"> </v>
      </c>
      <c r="AI620" s="64"/>
      <c r="AJ620" s="1"/>
      <c r="AK620" s="65">
        <v>0</v>
      </c>
      <c r="AL620" s="1"/>
      <c r="AM620" s="1"/>
      <c r="AN620" s="81"/>
      <c r="AO620" s="81"/>
    </row>
    <row r="621" spans="1:41" s="26" customFormat="1" hidden="1" x14ac:dyDescent="0.25">
      <c r="A621" s="22" t="s">
        <v>1530</v>
      </c>
      <c r="B621" s="2"/>
      <c r="C621" s="21">
        <v>4.75</v>
      </c>
      <c r="D621" s="23"/>
      <c r="E621" s="23"/>
      <c r="F621" s="23"/>
      <c r="G621" s="3" t="s">
        <v>1008</v>
      </c>
      <c r="H621" s="6"/>
      <c r="I621" s="6"/>
      <c r="J621" s="6"/>
      <c r="K621" s="21"/>
      <c r="L621" s="21" t="s">
        <v>1505</v>
      </c>
      <c r="M621" s="6"/>
      <c r="N621" s="6"/>
      <c r="O621" s="6"/>
      <c r="P621" s="6"/>
      <c r="Q621" s="27"/>
      <c r="R621" s="27" t="s">
        <v>205</v>
      </c>
      <c r="S621" s="6"/>
      <c r="T621" s="1">
        <v>0.37855973689032885</v>
      </c>
      <c r="U621" s="1">
        <v>0.52787652996568024</v>
      </c>
      <c r="V621" s="1">
        <v>0.51436372932291263</v>
      </c>
      <c r="W621" s="1">
        <v>0.55360391022991684</v>
      </c>
      <c r="X621" s="1">
        <v>0.52380236152120441</v>
      </c>
      <c r="Y621" s="1">
        <f t="shared" si="34"/>
        <v>0.49964125358600864</v>
      </c>
      <c r="Z621" s="10"/>
      <c r="AA621" s="10"/>
      <c r="AB621" s="10"/>
      <c r="AC621" s="10"/>
      <c r="AD621" s="10"/>
      <c r="AE621" s="10"/>
      <c r="AF621" s="10"/>
      <c r="AG621" s="38">
        <f t="shared" si="35"/>
        <v>0</v>
      </c>
      <c r="AH621" s="51" t="str">
        <f t="shared" si="36"/>
        <v xml:space="preserve"> </v>
      </c>
      <c r="AI621" s="64"/>
      <c r="AJ621" s="1"/>
      <c r="AK621" s="65">
        <v>0</v>
      </c>
      <c r="AL621" s="1"/>
      <c r="AM621" s="1"/>
      <c r="AN621" s="81"/>
      <c r="AO621" s="81"/>
    </row>
    <row r="622" spans="1:41" s="26" customFormat="1" hidden="1" x14ac:dyDescent="0.25">
      <c r="A622" s="22" t="s">
        <v>1531</v>
      </c>
      <c r="B622" s="2"/>
      <c r="C622" s="21">
        <v>3.75</v>
      </c>
      <c r="D622" s="23"/>
      <c r="E622" s="23"/>
      <c r="F622" s="23"/>
      <c r="G622" s="3" t="s">
        <v>1532</v>
      </c>
      <c r="H622" s="6"/>
      <c r="I622" s="6"/>
      <c r="J622" s="6"/>
      <c r="K622" s="21"/>
      <c r="L622" s="21" t="s">
        <v>1512</v>
      </c>
      <c r="M622" s="6"/>
      <c r="N622" s="6"/>
      <c r="O622" s="6"/>
      <c r="P622" s="6"/>
      <c r="Q622" s="27"/>
      <c r="R622" s="27" t="s">
        <v>205</v>
      </c>
      <c r="S622" s="6"/>
      <c r="T622" s="1">
        <v>0.33639839999999999</v>
      </c>
      <c r="U622" s="1">
        <v>0.47656439999999994</v>
      </c>
      <c r="V622" s="1">
        <v>0.64476359999999999</v>
      </c>
      <c r="W622" s="1">
        <v>0.54664739999999989</v>
      </c>
      <c r="X622" s="1">
        <v>0.49058099999999993</v>
      </c>
      <c r="Y622" s="1">
        <f t="shared" si="34"/>
        <v>0.49899095999999987</v>
      </c>
      <c r="Z622" s="10"/>
      <c r="AA622" s="10"/>
      <c r="AB622" s="10"/>
      <c r="AC622" s="10"/>
      <c r="AD622" s="10"/>
      <c r="AE622" s="10"/>
      <c r="AF622" s="10"/>
      <c r="AG622" s="38">
        <f t="shared" si="35"/>
        <v>0</v>
      </c>
      <c r="AH622" s="51" t="str">
        <f t="shared" si="36"/>
        <v xml:space="preserve"> </v>
      </c>
      <c r="AI622" s="64"/>
      <c r="AJ622" s="1"/>
      <c r="AK622" s="65">
        <v>0</v>
      </c>
      <c r="AL622" s="1"/>
      <c r="AM622" s="1"/>
      <c r="AN622" s="81"/>
      <c r="AO622" s="81"/>
    </row>
    <row r="623" spans="1:41" s="26" customFormat="1" hidden="1" x14ac:dyDescent="0.25">
      <c r="A623" s="22" t="s">
        <v>1061</v>
      </c>
      <c r="B623" s="2"/>
      <c r="C623" s="21">
        <v>8</v>
      </c>
      <c r="D623" s="23"/>
      <c r="E623" s="23"/>
      <c r="F623" s="23"/>
      <c r="G623" s="3" t="s">
        <v>499</v>
      </c>
      <c r="H623" s="6"/>
      <c r="I623" s="6"/>
      <c r="J623" s="6"/>
      <c r="K623" s="21"/>
      <c r="L623" s="21" t="s">
        <v>1505</v>
      </c>
      <c r="M623" s="6"/>
      <c r="N623" s="6"/>
      <c r="O623" s="6"/>
      <c r="P623" s="6"/>
      <c r="Q623" s="27"/>
      <c r="R623" s="27" t="s">
        <v>205</v>
      </c>
      <c r="S623" s="6"/>
      <c r="T623" s="1">
        <v>0.19199930000000001</v>
      </c>
      <c r="U623" s="1">
        <v>0.43757980000000002</v>
      </c>
      <c r="V623" s="1">
        <v>0.34827780000000003</v>
      </c>
      <c r="W623" s="1">
        <v>0.62957910000000006</v>
      </c>
      <c r="X623" s="1">
        <v>0.80818309999999993</v>
      </c>
      <c r="Y623" s="1">
        <f t="shared" si="34"/>
        <v>0.48312382000000004</v>
      </c>
      <c r="Z623" s="10"/>
      <c r="AA623" s="10"/>
      <c r="AB623" s="10"/>
      <c r="AC623" s="10"/>
      <c r="AD623" s="10"/>
      <c r="AE623" s="10"/>
      <c r="AF623" s="10"/>
      <c r="AG623" s="38">
        <f t="shared" si="35"/>
        <v>0</v>
      </c>
      <c r="AH623" s="51" t="str">
        <f t="shared" si="36"/>
        <v xml:space="preserve"> </v>
      </c>
      <c r="AI623" s="64"/>
      <c r="AJ623" s="1"/>
      <c r="AK623" s="65">
        <v>0</v>
      </c>
      <c r="AL623" s="1"/>
      <c r="AM623" s="1"/>
      <c r="AN623" s="81"/>
      <c r="AO623" s="81"/>
    </row>
    <row r="624" spans="1:41" s="26" customFormat="1" hidden="1" x14ac:dyDescent="0.25">
      <c r="A624" s="22" t="s">
        <v>1533</v>
      </c>
      <c r="B624" s="2"/>
      <c r="C624" s="21">
        <v>2</v>
      </c>
      <c r="D624" s="23"/>
      <c r="E624" s="23"/>
      <c r="F624" s="23"/>
      <c r="G624" s="3" t="s">
        <v>1516</v>
      </c>
      <c r="H624" s="6"/>
      <c r="I624" s="6"/>
      <c r="J624" s="6"/>
      <c r="K624" s="21"/>
      <c r="L624" s="5" t="s">
        <v>1505</v>
      </c>
      <c r="M624" s="6"/>
      <c r="N624" s="6"/>
      <c r="O624" s="6"/>
      <c r="P624" s="6"/>
      <c r="Q624" s="27"/>
      <c r="R624" s="27" t="s">
        <v>205</v>
      </c>
      <c r="S624" s="6"/>
      <c r="T624" s="1">
        <v>0.48362949308755754</v>
      </c>
      <c r="U624" s="1">
        <v>0.37978557814900155</v>
      </c>
      <c r="V624" s="1">
        <v>0.44763351516897076</v>
      </c>
      <c r="W624" s="1">
        <v>0.3990822150537634</v>
      </c>
      <c r="X624" s="1">
        <v>0.55056335618279573</v>
      </c>
      <c r="Y624" s="1">
        <f t="shared" si="34"/>
        <v>0.45213883152841783</v>
      </c>
      <c r="Z624" s="10"/>
      <c r="AA624" s="10"/>
      <c r="AB624" s="10"/>
      <c r="AC624" s="10"/>
      <c r="AD624" s="10"/>
      <c r="AE624" s="10"/>
      <c r="AF624" s="10"/>
      <c r="AG624" s="38">
        <f t="shared" si="35"/>
        <v>0</v>
      </c>
      <c r="AH624" s="51" t="str">
        <f t="shared" si="36"/>
        <v xml:space="preserve"> </v>
      </c>
      <c r="AI624" s="64"/>
      <c r="AJ624" s="1"/>
      <c r="AK624" s="65">
        <v>0</v>
      </c>
      <c r="AL624" s="1"/>
      <c r="AM624" s="1"/>
      <c r="AN624" s="81"/>
      <c r="AO624" s="81"/>
    </row>
    <row r="625" spans="1:41" s="26" customFormat="1" hidden="1" x14ac:dyDescent="0.25">
      <c r="A625" s="22" t="s">
        <v>1534</v>
      </c>
      <c r="B625" s="2"/>
      <c r="C625" s="21">
        <v>3.75</v>
      </c>
      <c r="D625" s="23"/>
      <c r="E625" s="23"/>
      <c r="F625" s="23"/>
      <c r="G625" s="3" t="s">
        <v>1535</v>
      </c>
      <c r="H625" s="4"/>
      <c r="I625" s="6"/>
      <c r="J625" s="4"/>
      <c r="K625" s="5"/>
      <c r="L625" s="5" t="s">
        <v>1536</v>
      </c>
      <c r="M625" s="4"/>
      <c r="N625" s="4"/>
      <c r="O625" s="4"/>
      <c r="P625" s="4"/>
      <c r="Q625" s="24"/>
      <c r="R625" s="27" t="s">
        <v>205</v>
      </c>
      <c r="S625" s="6"/>
      <c r="T625" s="1">
        <v>0.244752</v>
      </c>
      <c r="U625" s="1">
        <v>0.34673200000000004</v>
      </c>
      <c r="V625" s="1">
        <v>0.46910800000000002</v>
      </c>
      <c r="W625" s="1">
        <v>0.39772200000000002</v>
      </c>
      <c r="X625" s="1">
        <v>0.35693000000000003</v>
      </c>
      <c r="Y625" s="1">
        <f t="shared" si="34"/>
        <v>0.3630488</v>
      </c>
      <c r="Z625" s="10"/>
      <c r="AA625" s="10"/>
      <c r="AB625" s="10"/>
      <c r="AC625" s="10"/>
      <c r="AD625" s="10"/>
      <c r="AE625" s="10"/>
      <c r="AF625" s="10"/>
      <c r="AG625" s="38">
        <f t="shared" si="35"/>
        <v>0</v>
      </c>
      <c r="AH625" s="51" t="str">
        <f t="shared" si="36"/>
        <v xml:space="preserve"> </v>
      </c>
      <c r="AI625" s="64"/>
      <c r="AJ625" s="1"/>
      <c r="AK625" s="65">
        <v>0</v>
      </c>
      <c r="AL625" s="1"/>
      <c r="AM625" s="1"/>
      <c r="AN625" s="81"/>
      <c r="AO625" s="81"/>
    </row>
    <row r="626" spans="1:41" s="26" customFormat="1" hidden="1" x14ac:dyDescent="0.25">
      <c r="A626" s="22" t="s">
        <v>598</v>
      </c>
      <c r="B626" s="2"/>
      <c r="C626" s="21">
        <v>0.65</v>
      </c>
      <c r="D626" s="23"/>
      <c r="E626" s="23"/>
      <c r="F626" s="23"/>
      <c r="G626" s="3"/>
      <c r="H626" s="6"/>
      <c r="I626" s="6"/>
      <c r="J626" s="6"/>
      <c r="K626" s="21"/>
      <c r="L626" s="21" t="s">
        <v>1512</v>
      </c>
      <c r="M626" s="4" t="s">
        <v>1523</v>
      </c>
      <c r="N626" s="6"/>
      <c r="O626" s="6"/>
      <c r="P626" s="6"/>
      <c r="Q626" s="27"/>
      <c r="R626" s="27" t="s">
        <v>205</v>
      </c>
      <c r="S626" s="6"/>
      <c r="T626" s="1">
        <v>0</v>
      </c>
      <c r="U626" s="1">
        <v>0.45242166666666667</v>
      </c>
      <c r="V626" s="1">
        <v>0.45242166666666667</v>
      </c>
      <c r="W626" s="1">
        <v>0.45242166666666672</v>
      </c>
      <c r="X626" s="1">
        <v>0.45242166666666667</v>
      </c>
      <c r="Y626" s="1">
        <f t="shared" si="34"/>
        <v>0.36193733333333333</v>
      </c>
      <c r="Z626" s="10"/>
      <c r="AA626" s="10"/>
      <c r="AB626" s="10"/>
      <c r="AC626" s="10"/>
      <c r="AD626" s="10"/>
      <c r="AE626" s="10"/>
      <c r="AF626" s="10"/>
      <c r="AG626" s="38">
        <f t="shared" si="35"/>
        <v>0</v>
      </c>
      <c r="AH626" s="51" t="str">
        <f t="shared" si="36"/>
        <v xml:space="preserve"> </v>
      </c>
      <c r="AI626" s="64"/>
      <c r="AJ626" s="1"/>
      <c r="AK626" s="65">
        <v>0</v>
      </c>
      <c r="AL626" s="1"/>
      <c r="AM626" s="1"/>
      <c r="AN626" s="81"/>
      <c r="AO626" s="81"/>
    </row>
    <row r="627" spans="1:41" s="26" customFormat="1" hidden="1" x14ac:dyDescent="0.25">
      <c r="A627" s="22" t="s">
        <v>1537</v>
      </c>
      <c r="B627" s="2"/>
      <c r="C627" s="21">
        <v>30</v>
      </c>
      <c r="D627" s="23"/>
      <c r="E627" s="23"/>
      <c r="F627" s="23"/>
      <c r="G627" s="3" t="s">
        <v>1498</v>
      </c>
      <c r="H627" s="6"/>
      <c r="I627" s="6"/>
      <c r="J627" s="6"/>
      <c r="K627" s="21"/>
      <c r="L627" s="21" t="s">
        <v>1512</v>
      </c>
      <c r="M627" s="6"/>
      <c r="N627" s="6"/>
      <c r="O627" s="6"/>
      <c r="P627" s="6"/>
      <c r="Q627" s="27"/>
      <c r="R627" s="27"/>
      <c r="S627" s="6"/>
      <c r="T627" s="1">
        <v>0</v>
      </c>
      <c r="U627" s="1">
        <v>0</v>
      </c>
      <c r="V627" s="1">
        <v>0</v>
      </c>
      <c r="W627" s="1">
        <v>0.820886</v>
      </c>
      <c r="X627" s="1">
        <v>0.820886</v>
      </c>
      <c r="Y627" s="1">
        <f t="shared" si="34"/>
        <v>0.32835439999999999</v>
      </c>
      <c r="Z627" s="10"/>
      <c r="AA627" s="10"/>
      <c r="AB627" s="10"/>
      <c r="AC627" s="10"/>
      <c r="AD627" s="10"/>
      <c r="AE627" s="10"/>
      <c r="AF627" s="10"/>
      <c r="AG627" s="38">
        <f t="shared" si="35"/>
        <v>0</v>
      </c>
      <c r="AH627" s="51" t="str">
        <f t="shared" si="36"/>
        <v xml:space="preserve"> </v>
      </c>
      <c r="AI627" s="64"/>
      <c r="AJ627" s="1"/>
      <c r="AK627" s="65">
        <v>0</v>
      </c>
      <c r="AL627" s="1"/>
      <c r="AM627" s="1"/>
      <c r="AN627" s="81"/>
      <c r="AO627" s="81"/>
    </row>
    <row r="628" spans="1:41" s="26" customFormat="1" hidden="1" x14ac:dyDescent="0.25">
      <c r="A628" s="22" t="s">
        <v>1119</v>
      </c>
      <c r="B628" s="2"/>
      <c r="C628" s="21">
        <v>4</v>
      </c>
      <c r="D628" s="23"/>
      <c r="E628" s="23"/>
      <c r="F628" s="23"/>
      <c r="G628" s="3" t="s">
        <v>1538</v>
      </c>
      <c r="H628" s="4"/>
      <c r="I628" s="6"/>
      <c r="J628" s="4"/>
      <c r="K628" s="5"/>
      <c r="L628" s="5" t="s">
        <v>1512</v>
      </c>
      <c r="M628" s="4"/>
      <c r="N628" s="4"/>
      <c r="O628" s="4"/>
      <c r="P628" s="4"/>
      <c r="Q628" s="24"/>
      <c r="R628" s="27" t="s">
        <v>205</v>
      </c>
      <c r="S628" s="6"/>
      <c r="T628" s="1">
        <v>0.291072</v>
      </c>
      <c r="U628" s="1">
        <v>0.58214399999999999</v>
      </c>
      <c r="V628" s="1">
        <v>0.291072</v>
      </c>
      <c r="W628" s="1">
        <v>0.291072</v>
      </c>
      <c r="X628" s="1">
        <v>0</v>
      </c>
      <c r="Y628" s="1">
        <f t="shared" si="34"/>
        <v>0.291072</v>
      </c>
      <c r="Z628" s="10"/>
      <c r="AA628" s="10"/>
      <c r="AB628" s="10"/>
      <c r="AC628" s="10"/>
      <c r="AD628" s="10"/>
      <c r="AE628" s="10"/>
      <c r="AF628" s="10"/>
      <c r="AG628" s="38">
        <f t="shared" si="35"/>
        <v>0</v>
      </c>
      <c r="AH628" s="51" t="str">
        <f t="shared" si="36"/>
        <v xml:space="preserve"> </v>
      </c>
      <c r="AI628" s="64"/>
      <c r="AJ628" s="1"/>
      <c r="AK628" s="65">
        <v>0</v>
      </c>
      <c r="AL628" s="1"/>
      <c r="AM628" s="1"/>
      <c r="AN628" s="81"/>
      <c r="AO628" s="81"/>
    </row>
    <row r="629" spans="1:41" s="26" customFormat="1" hidden="1" x14ac:dyDescent="0.25">
      <c r="A629" s="22" t="s">
        <v>1539</v>
      </c>
      <c r="B629" s="2"/>
      <c r="C629" s="21">
        <v>2</v>
      </c>
      <c r="D629" s="23"/>
      <c r="E629" s="23"/>
      <c r="F629" s="23"/>
      <c r="G629" s="3" t="s">
        <v>1008</v>
      </c>
      <c r="H629" s="6"/>
      <c r="I629" s="6"/>
      <c r="J629" s="6"/>
      <c r="K629" s="21"/>
      <c r="L629" s="21" t="s">
        <v>1512</v>
      </c>
      <c r="M629" s="6"/>
      <c r="N629" s="6"/>
      <c r="O629" s="6"/>
      <c r="P629" s="6"/>
      <c r="Q629" s="27"/>
      <c r="R629" s="27" t="s">
        <v>205</v>
      </c>
      <c r="S629" s="6"/>
      <c r="T629" s="1">
        <v>0.26891560000000003</v>
      </c>
      <c r="U629" s="1">
        <v>0.19870580000000002</v>
      </c>
      <c r="V629" s="1">
        <v>0.26169179999999997</v>
      </c>
      <c r="W629" s="1">
        <v>0.2304736</v>
      </c>
      <c r="X629" s="1">
        <v>0.35991480000000009</v>
      </c>
      <c r="Y629" s="1">
        <f t="shared" si="34"/>
        <v>0.26394032000000001</v>
      </c>
      <c r="Z629" s="10"/>
      <c r="AA629" s="10"/>
      <c r="AB629" s="10"/>
      <c r="AC629" s="10"/>
      <c r="AD629" s="10"/>
      <c r="AE629" s="10"/>
      <c r="AF629" s="10"/>
      <c r="AG629" s="38">
        <f t="shared" si="35"/>
        <v>0</v>
      </c>
      <c r="AH629" s="51" t="str">
        <f t="shared" si="36"/>
        <v xml:space="preserve"> </v>
      </c>
      <c r="AI629" s="64"/>
      <c r="AJ629" s="1"/>
      <c r="AK629" s="65">
        <v>0</v>
      </c>
      <c r="AL629" s="1"/>
      <c r="AM629" s="1"/>
      <c r="AN629" s="81"/>
      <c r="AO629" s="81"/>
    </row>
    <row r="630" spans="1:41" s="26" customFormat="1" hidden="1" x14ac:dyDescent="0.25">
      <c r="A630" s="22" t="s">
        <v>1096</v>
      </c>
      <c r="B630" s="2"/>
      <c r="C630" s="21">
        <v>1.5</v>
      </c>
      <c r="D630" s="23"/>
      <c r="E630" s="23"/>
      <c r="F630" s="23"/>
      <c r="G630" s="3" t="s">
        <v>1540</v>
      </c>
      <c r="H630" s="6"/>
      <c r="I630" s="6"/>
      <c r="J630" s="6"/>
      <c r="K630" s="21"/>
      <c r="L630" s="5" t="s">
        <v>1505</v>
      </c>
      <c r="M630" s="6"/>
      <c r="N630" s="6"/>
      <c r="O630" s="6"/>
      <c r="P630" s="6"/>
      <c r="Q630" s="27"/>
      <c r="R630" s="27" t="s">
        <v>205</v>
      </c>
      <c r="S630" s="6"/>
      <c r="T630" s="1">
        <v>0.23424320000000001</v>
      </c>
      <c r="U630" s="1">
        <v>0.28304319999999999</v>
      </c>
      <c r="V630" s="1">
        <v>0.28252300000000002</v>
      </c>
      <c r="W630" s="1">
        <v>0.27990020000000004</v>
      </c>
      <c r="X630" s="1">
        <v>0.23945640000000001</v>
      </c>
      <c r="Y630" s="1">
        <f t="shared" si="34"/>
        <v>0.26383319999999999</v>
      </c>
      <c r="Z630" s="10"/>
      <c r="AA630" s="10"/>
      <c r="AB630" s="10"/>
      <c r="AC630" s="10"/>
      <c r="AD630" s="10"/>
      <c r="AE630" s="10"/>
      <c r="AF630" s="10"/>
      <c r="AG630" s="38">
        <f t="shared" si="35"/>
        <v>0</v>
      </c>
      <c r="AH630" s="51" t="str">
        <f t="shared" si="36"/>
        <v xml:space="preserve"> </v>
      </c>
      <c r="AI630" s="64"/>
      <c r="AJ630" s="1"/>
      <c r="AK630" s="65">
        <v>0</v>
      </c>
      <c r="AL630" s="1"/>
      <c r="AM630" s="1"/>
      <c r="AN630" s="81"/>
      <c r="AO630" s="81"/>
    </row>
    <row r="631" spans="1:41" s="26" customFormat="1" hidden="1" x14ac:dyDescent="0.25">
      <c r="A631" s="22" t="s">
        <v>1541</v>
      </c>
      <c r="B631" s="2"/>
      <c r="C631" s="21">
        <v>0.65</v>
      </c>
      <c r="D631" s="23"/>
      <c r="E631" s="23"/>
      <c r="F631" s="23"/>
      <c r="G631" s="3"/>
      <c r="H631" s="4"/>
      <c r="I631" s="6"/>
      <c r="J631" s="4"/>
      <c r="K631" s="5"/>
      <c r="L631" s="5" t="s">
        <v>1512</v>
      </c>
      <c r="M631" s="4" t="s">
        <v>1523</v>
      </c>
      <c r="N631" s="4"/>
      <c r="O631" s="4"/>
      <c r="P631" s="4"/>
      <c r="Q631" s="24"/>
      <c r="R631" s="27" t="s">
        <v>205</v>
      </c>
      <c r="S631" s="6"/>
      <c r="T631" s="1">
        <v>0</v>
      </c>
      <c r="U631" s="1">
        <v>0.32530000000000003</v>
      </c>
      <c r="V631" s="1">
        <v>0.32530000000000003</v>
      </c>
      <c r="W631" s="1">
        <v>0.32530000000000003</v>
      </c>
      <c r="X631" s="1">
        <v>0.32530000000000003</v>
      </c>
      <c r="Y631" s="1">
        <f t="shared" si="34"/>
        <v>0.26024000000000003</v>
      </c>
      <c r="Z631" s="10"/>
      <c r="AA631" s="10"/>
      <c r="AB631" s="10"/>
      <c r="AC631" s="10"/>
      <c r="AD631" s="10"/>
      <c r="AE631" s="10"/>
      <c r="AF631" s="10"/>
      <c r="AG631" s="38">
        <f t="shared" si="35"/>
        <v>0</v>
      </c>
      <c r="AH631" s="51" t="str">
        <f t="shared" si="36"/>
        <v xml:space="preserve"> </v>
      </c>
      <c r="AI631" s="64"/>
      <c r="AJ631" s="1"/>
      <c r="AK631" s="65">
        <v>0</v>
      </c>
      <c r="AL631" s="1"/>
      <c r="AM631" s="1"/>
      <c r="AN631" s="81"/>
      <c r="AO631" s="81"/>
    </row>
    <row r="632" spans="1:41" s="26" customFormat="1" hidden="1" x14ac:dyDescent="0.25">
      <c r="A632" s="22" t="s">
        <v>1542</v>
      </c>
      <c r="B632" s="2"/>
      <c r="C632" s="21">
        <v>4</v>
      </c>
      <c r="D632" s="23"/>
      <c r="E632" s="23"/>
      <c r="F632" s="23"/>
      <c r="G632" s="3" t="s">
        <v>1543</v>
      </c>
      <c r="H632" s="6"/>
      <c r="I632" s="6"/>
      <c r="J632" s="6"/>
      <c r="K632" s="21"/>
      <c r="L632" s="21" t="s">
        <v>1512</v>
      </c>
      <c r="M632" s="6"/>
      <c r="N632" s="6"/>
      <c r="O632" s="6"/>
      <c r="P632" s="6"/>
      <c r="Q632" s="27"/>
      <c r="R632" s="27" t="s">
        <v>205</v>
      </c>
      <c r="S632" s="6"/>
      <c r="T632" s="1">
        <v>0.22609000000000001</v>
      </c>
      <c r="U632" s="1">
        <v>0.19168499999999999</v>
      </c>
      <c r="V632" s="1">
        <v>0.21036199999999999</v>
      </c>
      <c r="W632" s="1">
        <v>0.34503300000000003</v>
      </c>
      <c r="X632" s="1">
        <v>0.25459700000000002</v>
      </c>
      <c r="Y632" s="1">
        <f t="shared" si="34"/>
        <v>0.2455534</v>
      </c>
      <c r="Z632" s="10"/>
      <c r="AA632" s="10"/>
      <c r="AB632" s="10"/>
      <c r="AC632" s="10"/>
      <c r="AD632" s="10"/>
      <c r="AE632" s="10"/>
      <c r="AF632" s="10"/>
      <c r="AG632" s="38">
        <f t="shared" si="35"/>
        <v>0</v>
      </c>
      <c r="AH632" s="51" t="str">
        <f t="shared" si="36"/>
        <v xml:space="preserve"> </v>
      </c>
      <c r="AI632" s="64"/>
      <c r="AJ632" s="1"/>
      <c r="AK632" s="65">
        <v>0</v>
      </c>
      <c r="AL632" s="1"/>
      <c r="AM632" s="1"/>
      <c r="AN632" s="81"/>
      <c r="AO632" s="81"/>
    </row>
    <row r="633" spans="1:41" s="26" customFormat="1" hidden="1" x14ac:dyDescent="0.25">
      <c r="A633" s="22" t="s">
        <v>1544</v>
      </c>
      <c r="B633" s="2"/>
      <c r="C633" s="21">
        <v>9.5</v>
      </c>
      <c r="D633" s="23"/>
      <c r="E633" s="23"/>
      <c r="F633" s="23"/>
      <c r="G633" s="3" t="s">
        <v>1008</v>
      </c>
      <c r="H633" s="6"/>
      <c r="I633" s="6"/>
      <c r="J633" s="6"/>
      <c r="K633" s="21"/>
      <c r="L633" s="21" t="s">
        <v>1509</v>
      </c>
      <c r="M633" s="6"/>
      <c r="N633" s="6"/>
      <c r="O633" s="6"/>
      <c r="P633" s="6"/>
      <c r="Q633" s="27"/>
      <c r="R633" s="27" t="s">
        <v>205</v>
      </c>
      <c r="S633" s="6"/>
      <c r="T633" s="1">
        <v>0.15955200000000003</v>
      </c>
      <c r="U633" s="1">
        <v>0.22245522580645161</v>
      </c>
      <c r="V633" s="1">
        <v>0.190987935483871</v>
      </c>
      <c r="W633" s="1">
        <v>0.3154378064516129</v>
      </c>
      <c r="X633" s="1">
        <v>0.24294987096774195</v>
      </c>
      <c r="Y633" s="1">
        <f t="shared" si="34"/>
        <v>0.22627656774193547</v>
      </c>
      <c r="Z633" s="10"/>
      <c r="AA633" s="10"/>
      <c r="AB633" s="10"/>
      <c r="AC633" s="10"/>
      <c r="AD633" s="10"/>
      <c r="AE633" s="10"/>
      <c r="AF633" s="10"/>
      <c r="AG633" s="38">
        <f t="shared" si="35"/>
        <v>0</v>
      </c>
      <c r="AH633" s="51" t="str">
        <f t="shared" si="36"/>
        <v xml:space="preserve"> </v>
      </c>
      <c r="AI633" s="64"/>
      <c r="AJ633" s="1"/>
      <c r="AK633" s="65">
        <v>0</v>
      </c>
      <c r="AL633" s="1"/>
      <c r="AM633" s="1"/>
      <c r="AN633" s="81"/>
      <c r="AO633" s="81"/>
    </row>
    <row r="634" spans="1:41" s="26" customFormat="1" hidden="1" x14ac:dyDescent="0.25">
      <c r="A634" s="22" t="s">
        <v>1545</v>
      </c>
      <c r="B634" s="2"/>
      <c r="C634" s="21">
        <v>45</v>
      </c>
      <c r="D634" s="23"/>
      <c r="E634" s="23"/>
      <c r="F634" s="23"/>
      <c r="G634" s="3" t="s">
        <v>1498</v>
      </c>
      <c r="H634" s="6"/>
      <c r="I634" s="6"/>
      <c r="J634" s="6"/>
      <c r="K634" s="21"/>
      <c r="L634" s="5" t="s">
        <v>1512</v>
      </c>
      <c r="M634" s="6"/>
      <c r="N634" s="6"/>
      <c r="O634" s="6"/>
      <c r="P634" s="6"/>
      <c r="Q634" s="27"/>
      <c r="R634" s="27" t="s">
        <v>205</v>
      </c>
      <c r="S634" s="6"/>
      <c r="T634" s="1">
        <v>0</v>
      </c>
      <c r="U634" s="1">
        <v>0</v>
      </c>
      <c r="V634" s="1">
        <v>0</v>
      </c>
      <c r="W634" s="1">
        <v>0.58875</v>
      </c>
      <c r="X634" s="1">
        <v>0.47099999999999997</v>
      </c>
      <c r="Y634" s="1">
        <f t="shared" si="34"/>
        <v>0.21195</v>
      </c>
      <c r="Z634" s="10"/>
      <c r="AA634" s="10"/>
      <c r="AB634" s="10"/>
      <c r="AC634" s="10"/>
      <c r="AD634" s="10"/>
      <c r="AE634" s="10"/>
      <c r="AF634" s="10"/>
      <c r="AG634" s="38">
        <f t="shared" si="35"/>
        <v>0</v>
      </c>
      <c r="AH634" s="51" t="str">
        <f t="shared" si="36"/>
        <v xml:space="preserve"> </v>
      </c>
      <c r="AI634" s="64"/>
      <c r="AJ634" s="1"/>
      <c r="AK634" s="65">
        <v>0</v>
      </c>
      <c r="AL634" s="1"/>
      <c r="AM634" s="1"/>
      <c r="AN634" s="81"/>
      <c r="AO634" s="81"/>
    </row>
    <row r="635" spans="1:41" s="26" customFormat="1" hidden="1" x14ac:dyDescent="0.25">
      <c r="A635" s="22" t="s">
        <v>1546</v>
      </c>
      <c r="B635" s="2"/>
      <c r="C635" s="21">
        <v>4.75</v>
      </c>
      <c r="D635" s="23"/>
      <c r="E635" s="23"/>
      <c r="F635" s="23"/>
      <c r="G635" s="3" t="s">
        <v>1008</v>
      </c>
      <c r="H635" s="6"/>
      <c r="I635" s="6"/>
      <c r="J635" s="6"/>
      <c r="K635" s="21"/>
      <c r="L635" s="21" t="s">
        <v>1505</v>
      </c>
      <c r="M635" s="6"/>
      <c r="N635" s="6"/>
      <c r="O635" s="6"/>
      <c r="P635" s="6"/>
      <c r="Q635" s="27"/>
      <c r="R635" s="27" t="s">
        <v>205</v>
      </c>
      <c r="S635" s="6"/>
      <c r="T635" s="1">
        <v>0.18076320000000001</v>
      </c>
      <c r="U635" s="1">
        <v>0.17128480000000001</v>
      </c>
      <c r="V635" s="1">
        <v>0.1485292</v>
      </c>
      <c r="W635" s="1">
        <v>0.26170559999999998</v>
      </c>
      <c r="X635" s="1">
        <v>0.2107192</v>
      </c>
      <c r="Y635" s="1">
        <f t="shared" si="34"/>
        <v>0.19460040000000001</v>
      </c>
      <c r="Z635" s="10"/>
      <c r="AA635" s="10"/>
      <c r="AB635" s="10"/>
      <c r="AC635" s="10"/>
      <c r="AD635" s="10"/>
      <c r="AE635" s="10"/>
      <c r="AF635" s="10"/>
      <c r="AG635" s="38">
        <f t="shared" si="35"/>
        <v>0</v>
      </c>
      <c r="AH635" s="51" t="str">
        <f t="shared" si="36"/>
        <v xml:space="preserve"> </v>
      </c>
      <c r="AI635" s="64"/>
      <c r="AJ635" s="1"/>
      <c r="AK635" s="65">
        <v>0</v>
      </c>
      <c r="AL635" s="1"/>
      <c r="AM635" s="1"/>
      <c r="AN635" s="81"/>
      <c r="AO635" s="81"/>
    </row>
    <row r="636" spans="1:41" s="26" customFormat="1" hidden="1" x14ac:dyDescent="0.25">
      <c r="A636" s="22" t="s">
        <v>1547</v>
      </c>
      <c r="B636" s="2"/>
      <c r="C636" s="21">
        <v>3</v>
      </c>
      <c r="D636" s="23"/>
      <c r="E636" s="23"/>
      <c r="F636" s="23"/>
      <c r="G636" s="3" t="s">
        <v>1504</v>
      </c>
      <c r="H636" s="6"/>
      <c r="I636" s="6"/>
      <c r="J636" s="6"/>
      <c r="K636" s="21"/>
      <c r="L636" s="21" t="s">
        <v>1505</v>
      </c>
      <c r="M636" s="6"/>
      <c r="N636" s="6"/>
      <c r="O636" s="6"/>
      <c r="P636" s="6"/>
      <c r="Q636" s="27"/>
      <c r="R636" s="27" t="s">
        <v>205</v>
      </c>
      <c r="S636" s="6"/>
      <c r="T636" s="1">
        <v>0.11313963846153846</v>
      </c>
      <c r="U636" s="1">
        <v>0.1690858369943963</v>
      </c>
      <c r="V636" s="1">
        <v>0.12585370384615385</v>
      </c>
      <c r="W636" s="1">
        <v>0.1877025254559348</v>
      </c>
      <c r="X636" s="1">
        <v>0.21463109</v>
      </c>
      <c r="Y636" s="1">
        <f t="shared" si="34"/>
        <v>0.16208255895160467</v>
      </c>
      <c r="Z636" s="10"/>
      <c r="AA636" s="10"/>
      <c r="AB636" s="10"/>
      <c r="AC636" s="10"/>
      <c r="AD636" s="10"/>
      <c r="AE636" s="10"/>
      <c r="AF636" s="10"/>
      <c r="AG636" s="38">
        <f t="shared" si="35"/>
        <v>0</v>
      </c>
      <c r="AH636" s="51" t="str">
        <f t="shared" si="36"/>
        <v xml:space="preserve"> </v>
      </c>
      <c r="AI636" s="64"/>
      <c r="AJ636" s="1"/>
      <c r="AK636" s="65">
        <v>0</v>
      </c>
      <c r="AL636" s="1"/>
      <c r="AM636" s="1"/>
      <c r="AN636" s="81"/>
      <c r="AO636" s="81"/>
    </row>
    <row r="637" spans="1:41" s="26" customFormat="1" hidden="1" x14ac:dyDescent="0.25">
      <c r="A637" s="22" t="s">
        <v>1548</v>
      </c>
      <c r="B637" s="2"/>
      <c r="C637" s="21">
        <v>9.75</v>
      </c>
      <c r="D637" s="23"/>
      <c r="E637" s="23"/>
      <c r="F637" s="23"/>
      <c r="G637" s="3" t="s">
        <v>1549</v>
      </c>
      <c r="H637" s="6"/>
      <c r="I637" s="6"/>
      <c r="J637" s="6"/>
      <c r="K637" s="21"/>
      <c r="L637" s="21" t="s">
        <v>1505</v>
      </c>
      <c r="M637" s="6"/>
      <c r="N637" s="6"/>
      <c r="O637" s="6"/>
      <c r="P637" s="6"/>
      <c r="Q637" s="27"/>
      <c r="R637" s="27" t="s">
        <v>205</v>
      </c>
      <c r="S637" s="6"/>
      <c r="T637" s="1">
        <v>0.11700401785925214</v>
      </c>
      <c r="U637" s="1">
        <v>0.16834787675386423</v>
      </c>
      <c r="V637" s="1">
        <v>0.10873920684840201</v>
      </c>
      <c r="W637" s="1">
        <v>0.23212667288376199</v>
      </c>
      <c r="X637" s="1">
        <v>0.14251044345449024</v>
      </c>
      <c r="Y637" s="1">
        <f t="shared" si="34"/>
        <v>0.15374564355995413</v>
      </c>
      <c r="Z637" s="10"/>
      <c r="AA637" s="10"/>
      <c r="AB637" s="10"/>
      <c r="AC637" s="10"/>
      <c r="AD637" s="10"/>
      <c r="AE637" s="10"/>
      <c r="AF637" s="10"/>
      <c r="AG637" s="38">
        <f t="shared" si="35"/>
        <v>0</v>
      </c>
      <c r="AH637" s="51" t="str">
        <f t="shared" si="36"/>
        <v xml:space="preserve"> </v>
      </c>
      <c r="AI637" s="64"/>
      <c r="AJ637" s="1"/>
      <c r="AK637" s="65">
        <v>0</v>
      </c>
      <c r="AL637" s="1"/>
      <c r="AM637" s="1"/>
      <c r="AN637" s="81"/>
      <c r="AO637" s="81"/>
    </row>
    <row r="638" spans="1:41" s="26" customFormat="1" hidden="1" x14ac:dyDescent="0.25">
      <c r="A638" s="22" t="s">
        <v>1550</v>
      </c>
      <c r="B638" s="2"/>
      <c r="C638" s="21">
        <v>12.25</v>
      </c>
      <c r="D638" s="23"/>
      <c r="E638" s="23"/>
      <c r="F638" s="23"/>
      <c r="G638" s="3" t="s">
        <v>1526</v>
      </c>
      <c r="H638" s="6"/>
      <c r="I638" s="6"/>
      <c r="J638" s="6"/>
      <c r="K638" s="21"/>
      <c r="L638" s="21" t="s">
        <v>1505</v>
      </c>
      <c r="M638" s="6"/>
      <c r="N638" s="6"/>
      <c r="O638" s="6"/>
      <c r="P638" s="6"/>
      <c r="Q638" s="27"/>
      <c r="R638" s="27" t="s">
        <v>205</v>
      </c>
      <c r="S638" s="6"/>
      <c r="T638" s="1">
        <v>0.10337468750000001</v>
      </c>
      <c r="U638" s="1">
        <v>4.8081250000000006E-2</v>
      </c>
      <c r="V638" s="1">
        <v>4.8081250000000006E-2</v>
      </c>
      <c r="W638" s="1">
        <v>0.19232500000000002</v>
      </c>
      <c r="X638" s="1">
        <v>0.14424375</v>
      </c>
      <c r="Y638" s="1">
        <f t="shared" si="34"/>
        <v>0.10722118750000002</v>
      </c>
      <c r="Z638" s="10"/>
      <c r="AA638" s="10"/>
      <c r="AB638" s="10"/>
      <c r="AC638" s="10"/>
      <c r="AD638" s="10"/>
      <c r="AE638" s="10"/>
      <c r="AF638" s="10"/>
      <c r="AG638" s="38">
        <f t="shared" si="35"/>
        <v>0</v>
      </c>
      <c r="AH638" s="51" t="str">
        <f t="shared" si="36"/>
        <v xml:space="preserve"> </v>
      </c>
      <c r="AI638" s="64"/>
      <c r="AJ638" s="1"/>
      <c r="AK638" s="65">
        <v>0</v>
      </c>
      <c r="AL638" s="1"/>
      <c r="AM638" s="1"/>
      <c r="AN638" s="81"/>
      <c r="AO638" s="81"/>
    </row>
    <row r="639" spans="1:41" s="26" customFormat="1" hidden="1" x14ac:dyDescent="0.25">
      <c r="A639" s="22" t="s">
        <v>1551</v>
      </c>
      <c r="B639" s="2"/>
      <c r="C639" s="21">
        <v>1.9</v>
      </c>
      <c r="D639" s="23"/>
      <c r="E639" s="23"/>
      <c r="F639" s="23"/>
      <c r="G639" s="3" t="s">
        <v>1516</v>
      </c>
      <c r="H639" s="4"/>
      <c r="I639" s="6"/>
      <c r="J639" s="4"/>
      <c r="K639" s="5"/>
      <c r="L639" s="5" t="s">
        <v>1512</v>
      </c>
      <c r="M639" s="4"/>
      <c r="N639" s="4"/>
      <c r="O639" s="4"/>
      <c r="P639" s="4"/>
      <c r="Q639" s="24"/>
      <c r="R639" s="27" t="s">
        <v>205</v>
      </c>
      <c r="S639" s="6"/>
      <c r="T639" s="1">
        <v>0.13895000000000002</v>
      </c>
      <c r="U639" s="1">
        <v>0.13895000000000002</v>
      </c>
      <c r="V639" s="1">
        <v>0.11910000000000001</v>
      </c>
      <c r="W639" s="1">
        <v>0.11910000000000001</v>
      </c>
      <c r="X639" s="1">
        <v>0</v>
      </c>
      <c r="Y639" s="1">
        <f t="shared" si="34"/>
        <v>0.10322000000000001</v>
      </c>
      <c r="Z639" s="10"/>
      <c r="AA639" s="10"/>
      <c r="AB639" s="10"/>
      <c r="AC639" s="10"/>
      <c r="AD639" s="10"/>
      <c r="AE639" s="10"/>
      <c r="AF639" s="10"/>
      <c r="AG639" s="38">
        <f t="shared" si="35"/>
        <v>0</v>
      </c>
      <c r="AH639" s="51" t="str">
        <f t="shared" si="36"/>
        <v xml:space="preserve"> </v>
      </c>
      <c r="AI639" s="64"/>
      <c r="AJ639" s="1"/>
      <c r="AK639" s="65">
        <v>0</v>
      </c>
      <c r="AL639" s="1"/>
      <c r="AM639" s="1"/>
      <c r="AN639" s="81"/>
      <c r="AO639" s="81"/>
    </row>
    <row r="640" spans="1:41" s="26" customFormat="1" hidden="1" x14ac:dyDescent="0.25">
      <c r="A640" s="22" t="s">
        <v>1552</v>
      </c>
      <c r="B640" s="2"/>
      <c r="C640" s="21">
        <v>2</v>
      </c>
      <c r="D640" s="23"/>
      <c r="E640" s="23"/>
      <c r="F640" s="23"/>
      <c r="G640" s="3" t="s">
        <v>1008</v>
      </c>
      <c r="H640" s="6"/>
      <c r="I640" s="6"/>
      <c r="J640" s="6"/>
      <c r="K640" s="21"/>
      <c r="L640" s="21" t="s">
        <v>1512</v>
      </c>
      <c r="M640" s="6"/>
      <c r="N640" s="6"/>
      <c r="O640" s="6"/>
      <c r="P640" s="6"/>
      <c r="Q640" s="27"/>
      <c r="R640" s="27" t="s">
        <v>205</v>
      </c>
      <c r="S640" s="6"/>
      <c r="T640" s="1">
        <v>0</v>
      </c>
      <c r="U640" s="1">
        <v>0.4801583333333333</v>
      </c>
      <c r="V640" s="1">
        <v>0</v>
      </c>
      <c r="W640" s="1">
        <v>0</v>
      </c>
      <c r="X640" s="1">
        <v>0</v>
      </c>
      <c r="Y640" s="1">
        <f t="shared" si="34"/>
        <v>9.6031666666666654E-2</v>
      </c>
      <c r="Z640" s="10"/>
      <c r="AA640" s="10"/>
      <c r="AB640" s="10"/>
      <c r="AC640" s="10"/>
      <c r="AD640" s="10"/>
      <c r="AE640" s="10"/>
      <c r="AF640" s="10"/>
      <c r="AG640" s="38">
        <f t="shared" si="35"/>
        <v>0</v>
      </c>
      <c r="AH640" s="51" t="str">
        <f t="shared" si="36"/>
        <v xml:space="preserve"> </v>
      </c>
      <c r="AI640" s="64"/>
      <c r="AJ640" s="1"/>
      <c r="AK640" s="65">
        <v>0</v>
      </c>
      <c r="AL640" s="1"/>
      <c r="AM640" s="1"/>
      <c r="AN640" s="81"/>
      <c r="AO640" s="81"/>
    </row>
    <row r="641" spans="1:41" s="26" customFormat="1" hidden="1" x14ac:dyDescent="0.25">
      <c r="A641" s="22" t="s">
        <v>1101</v>
      </c>
      <c r="B641" s="2"/>
      <c r="C641" s="21">
        <v>6</v>
      </c>
      <c r="D641" s="23"/>
      <c r="E641" s="23"/>
      <c r="F641" s="23"/>
      <c r="G641" s="3" t="s">
        <v>1538</v>
      </c>
      <c r="H641" s="4"/>
      <c r="I641" s="6"/>
      <c r="J641" s="4"/>
      <c r="K641" s="5"/>
      <c r="L641" s="5" t="s">
        <v>1512</v>
      </c>
      <c r="M641" s="4"/>
      <c r="N641" s="4"/>
      <c r="O641" s="4"/>
      <c r="P641" s="4"/>
      <c r="Q641" s="24"/>
      <c r="R641" s="27" t="s">
        <v>205</v>
      </c>
      <c r="S641" s="6"/>
      <c r="T641" s="1">
        <v>0.14011199999999999</v>
      </c>
      <c r="U641" s="1">
        <v>7.0055999999999993E-2</v>
      </c>
      <c r="V641" s="1">
        <v>9.3408000000000005E-2</v>
      </c>
      <c r="W641" s="1">
        <v>9.3408000000000005E-2</v>
      </c>
      <c r="X641" s="1">
        <v>0</v>
      </c>
      <c r="Y641" s="1">
        <f t="shared" si="34"/>
        <v>7.939679999999999E-2</v>
      </c>
      <c r="Z641" s="10"/>
      <c r="AA641" s="10"/>
      <c r="AB641" s="10"/>
      <c r="AC641" s="10"/>
      <c r="AD641" s="10"/>
      <c r="AE641" s="10"/>
      <c r="AF641" s="10"/>
      <c r="AG641" s="38">
        <f t="shared" si="35"/>
        <v>0</v>
      </c>
      <c r="AH641" s="51" t="str">
        <f t="shared" si="36"/>
        <v xml:space="preserve"> </v>
      </c>
      <c r="AI641" s="64"/>
      <c r="AJ641" s="1"/>
      <c r="AK641" s="65">
        <v>0</v>
      </c>
      <c r="AL641" s="1"/>
      <c r="AM641" s="1"/>
      <c r="AN641" s="81"/>
      <c r="AO641" s="81"/>
    </row>
    <row r="642" spans="1:41" s="26" customFormat="1" hidden="1" x14ac:dyDescent="0.25">
      <c r="A642" s="22" t="s">
        <v>1160</v>
      </c>
      <c r="B642" s="2"/>
      <c r="C642" s="21">
        <v>3</v>
      </c>
      <c r="D642" s="23"/>
      <c r="E642" s="23"/>
      <c r="F642" s="23"/>
      <c r="G642" s="3" t="s">
        <v>1008</v>
      </c>
      <c r="H642" s="6"/>
      <c r="I642" s="6"/>
      <c r="J642" s="6"/>
      <c r="K642" s="21"/>
      <c r="L642" s="21" t="s">
        <v>1512</v>
      </c>
      <c r="M642" s="6"/>
      <c r="N642" s="6"/>
      <c r="O642" s="6"/>
      <c r="P642" s="6"/>
      <c r="Q642" s="27"/>
      <c r="R642" s="27" t="s">
        <v>205</v>
      </c>
      <c r="S642" s="6"/>
      <c r="T642" s="1">
        <v>6.8949999999999997E-2</v>
      </c>
      <c r="U642" s="1">
        <v>0.10716000000000001</v>
      </c>
      <c r="V642" s="1">
        <v>4.4688000000000005E-2</v>
      </c>
      <c r="W642" s="1">
        <v>9.2048000000000005E-2</v>
      </c>
      <c r="X642" s="1">
        <v>8.2708000000000004E-2</v>
      </c>
      <c r="Y642" s="1">
        <f t="shared" si="34"/>
        <v>7.9110800000000009E-2</v>
      </c>
      <c r="Z642" s="10"/>
      <c r="AA642" s="10"/>
      <c r="AB642" s="10"/>
      <c r="AC642" s="10"/>
      <c r="AD642" s="10"/>
      <c r="AE642" s="10"/>
      <c r="AF642" s="10"/>
      <c r="AG642" s="38">
        <f t="shared" si="35"/>
        <v>0</v>
      </c>
      <c r="AH642" s="51" t="str">
        <f t="shared" si="36"/>
        <v xml:space="preserve"> </v>
      </c>
      <c r="AI642" s="64"/>
      <c r="AJ642" s="1"/>
      <c r="AK642" s="65">
        <v>0</v>
      </c>
      <c r="AL642" s="1"/>
      <c r="AM642" s="1"/>
      <c r="AN642" s="81"/>
      <c r="AO642" s="81"/>
    </row>
    <row r="643" spans="1:41" s="26" customFormat="1" hidden="1" x14ac:dyDescent="0.25">
      <c r="A643" s="22" t="s">
        <v>1553</v>
      </c>
      <c r="B643" s="2"/>
      <c r="C643" s="21">
        <v>5</v>
      </c>
      <c r="D643" s="23"/>
      <c r="E643" s="23"/>
      <c r="F643" s="23"/>
      <c r="G643" s="3" t="s">
        <v>1554</v>
      </c>
      <c r="H643" s="4"/>
      <c r="I643" s="6"/>
      <c r="J643" s="4"/>
      <c r="K643" s="5"/>
      <c r="L643" s="5" t="s">
        <v>1512</v>
      </c>
      <c r="M643" s="4"/>
      <c r="N643" s="4"/>
      <c r="O643" s="4"/>
      <c r="P643" s="4"/>
      <c r="Q643" s="24"/>
      <c r="R643" s="27" t="s">
        <v>205</v>
      </c>
      <c r="S643" s="6"/>
      <c r="T643" s="1">
        <v>0</v>
      </c>
      <c r="U643" s="1">
        <v>0.185364</v>
      </c>
      <c r="V643" s="1">
        <v>0</v>
      </c>
      <c r="W643" s="1">
        <v>0</v>
      </c>
      <c r="X643" s="1">
        <v>0.185364</v>
      </c>
      <c r="Y643" s="1">
        <f t="shared" si="34"/>
        <v>7.4145600000000006E-2</v>
      </c>
      <c r="Z643" s="10"/>
      <c r="AA643" s="10"/>
      <c r="AB643" s="10"/>
      <c r="AC643" s="10"/>
      <c r="AD643" s="10"/>
      <c r="AE643" s="10"/>
      <c r="AF643" s="10"/>
      <c r="AG643" s="38">
        <f t="shared" si="35"/>
        <v>0</v>
      </c>
      <c r="AH643" s="51" t="str">
        <f t="shared" si="36"/>
        <v xml:space="preserve"> </v>
      </c>
      <c r="AI643" s="64"/>
      <c r="AJ643" s="1"/>
      <c r="AK643" s="65">
        <v>0</v>
      </c>
      <c r="AL643" s="1"/>
      <c r="AM643" s="1"/>
      <c r="AN643" s="81"/>
      <c r="AO643" s="81"/>
    </row>
    <row r="644" spans="1:41" s="26" customFormat="1" hidden="1" x14ac:dyDescent="0.25">
      <c r="A644" s="22" t="s">
        <v>1555</v>
      </c>
      <c r="B644" s="2"/>
      <c r="C644" s="21">
        <v>12.5</v>
      </c>
      <c r="D644" s="23"/>
      <c r="E644" s="23"/>
      <c r="F644" s="23"/>
      <c r="G644" s="3" t="s">
        <v>1008</v>
      </c>
      <c r="H644" s="6"/>
      <c r="I644" s="6"/>
      <c r="J644" s="6"/>
      <c r="K644" s="21"/>
      <c r="L644" s="21" t="s">
        <v>1509</v>
      </c>
      <c r="M644" s="6"/>
      <c r="N644" s="6"/>
      <c r="O644" s="6"/>
      <c r="P644" s="6"/>
      <c r="Q644" s="27"/>
      <c r="R644" s="27" t="s">
        <v>205</v>
      </c>
      <c r="S644" s="6"/>
      <c r="T644" s="1">
        <v>0</v>
      </c>
      <c r="U644" s="1">
        <v>0</v>
      </c>
      <c r="V644" s="1">
        <v>0.12874080000000002</v>
      </c>
      <c r="W644" s="1">
        <v>0.12874080000000002</v>
      </c>
      <c r="X644" s="1">
        <v>6.4370400000000008E-2</v>
      </c>
      <c r="Y644" s="1">
        <f t="shared" si="34"/>
        <v>6.4370400000000008E-2</v>
      </c>
      <c r="Z644" s="10"/>
      <c r="AA644" s="10"/>
      <c r="AB644" s="10"/>
      <c r="AC644" s="10"/>
      <c r="AD644" s="10"/>
      <c r="AE644" s="10"/>
      <c r="AF644" s="10"/>
      <c r="AG644" s="38">
        <f t="shared" si="35"/>
        <v>0</v>
      </c>
      <c r="AH644" s="51" t="str">
        <f t="shared" si="36"/>
        <v xml:space="preserve"> </v>
      </c>
      <c r="AI644" s="64"/>
      <c r="AJ644" s="1"/>
      <c r="AK644" s="65">
        <v>0</v>
      </c>
      <c r="AL644" s="1"/>
      <c r="AM644" s="1"/>
      <c r="AN644" s="81"/>
      <c r="AO644" s="81"/>
    </row>
    <row r="645" spans="1:41" s="26" customFormat="1" hidden="1" x14ac:dyDescent="0.25">
      <c r="A645" s="22" t="s">
        <v>1077</v>
      </c>
      <c r="B645" s="2"/>
      <c r="C645" s="21">
        <v>4</v>
      </c>
      <c r="D645" s="23"/>
      <c r="E645" s="23"/>
      <c r="F645" s="23"/>
      <c r="G645" s="3" t="s">
        <v>1504</v>
      </c>
      <c r="H645" s="4"/>
      <c r="I645" s="4"/>
      <c r="J645" s="4"/>
      <c r="K645" s="5"/>
      <c r="L645" s="5" t="s">
        <v>1512</v>
      </c>
      <c r="M645" s="4"/>
      <c r="N645" s="4"/>
      <c r="O645" s="4"/>
      <c r="P645" s="4"/>
      <c r="Q645" s="24"/>
      <c r="R645" s="27" t="s">
        <v>205</v>
      </c>
      <c r="S645" s="4"/>
      <c r="T645" s="1">
        <v>4.07316E-2</v>
      </c>
      <c r="U645" s="1">
        <v>6.0397199999999998E-2</v>
      </c>
      <c r="V645" s="1">
        <v>6.2916E-2</v>
      </c>
      <c r="W645" s="1">
        <v>5.0603999999999996E-2</v>
      </c>
      <c r="X645" s="1">
        <v>7.263E-2</v>
      </c>
      <c r="Y645" s="1">
        <f t="shared" si="34"/>
        <v>5.7455759999999988E-2</v>
      </c>
      <c r="Z645" s="10"/>
      <c r="AA645" s="10"/>
      <c r="AB645" s="10"/>
      <c r="AC645" s="10"/>
      <c r="AD645" s="10"/>
      <c r="AE645" s="10"/>
      <c r="AF645" s="10"/>
      <c r="AG645" s="38">
        <f t="shared" si="35"/>
        <v>0</v>
      </c>
      <c r="AH645" s="51" t="str">
        <f t="shared" si="36"/>
        <v xml:space="preserve"> </v>
      </c>
      <c r="AI645" s="64"/>
      <c r="AJ645" s="1"/>
      <c r="AK645" s="65">
        <v>0</v>
      </c>
      <c r="AL645" s="1"/>
      <c r="AM645" s="1"/>
      <c r="AN645" s="81"/>
      <c r="AO645" s="81"/>
    </row>
    <row r="646" spans="1:41" s="26" customFormat="1" hidden="1" x14ac:dyDescent="0.25">
      <c r="A646" s="22" t="s">
        <v>1556</v>
      </c>
      <c r="B646" s="2"/>
      <c r="C646" s="21">
        <v>4</v>
      </c>
      <c r="D646" s="23"/>
      <c r="E646" s="23"/>
      <c r="F646" s="23"/>
      <c r="G646" s="3" t="s">
        <v>1008</v>
      </c>
      <c r="H646" s="6"/>
      <c r="I646" s="6"/>
      <c r="J646" s="6"/>
      <c r="K646" s="21"/>
      <c r="L646" s="21" t="s">
        <v>1505</v>
      </c>
      <c r="M646" s="6"/>
      <c r="N646" s="6"/>
      <c r="O646" s="6"/>
      <c r="P646" s="6"/>
      <c r="Q646" s="27"/>
      <c r="R646" s="27" t="s">
        <v>205</v>
      </c>
      <c r="S646" s="6"/>
      <c r="T646" s="1">
        <v>5.4259200000000007E-2</v>
      </c>
      <c r="U646" s="1">
        <v>2.2608E-2</v>
      </c>
      <c r="V646" s="1">
        <v>1.8086400000000002E-2</v>
      </c>
      <c r="W646" s="1">
        <v>7.6867200000000011E-2</v>
      </c>
      <c r="X646" s="1">
        <v>6.7823999999999995E-2</v>
      </c>
      <c r="Y646" s="1">
        <f t="shared" ref="Y646:Y709" si="37">AVERAGE(T646:X646)</f>
        <v>4.7928960000000007E-2</v>
      </c>
      <c r="Z646" s="10"/>
      <c r="AA646" s="10"/>
      <c r="AB646" s="10"/>
      <c r="AC646" s="10"/>
      <c r="AD646" s="10"/>
      <c r="AE646" s="10"/>
      <c r="AF646" s="10"/>
      <c r="AG646" s="38">
        <f t="shared" ref="AG646:AG709" si="38">COUNTIF(Z646:AF646,"X")/7</f>
        <v>0</v>
      </c>
      <c r="AH646" s="51" t="str">
        <f t="shared" ref="AH646:AH709" si="39">IF(AG646=100%,Y646," ")</f>
        <v xml:space="preserve"> </v>
      </c>
      <c r="AI646" s="64"/>
      <c r="AJ646" s="1"/>
      <c r="AK646" s="65">
        <v>0</v>
      </c>
      <c r="AL646" s="1"/>
      <c r="AM646" s="1"/>
      <c r="AN646" s="81"/>
      <c r="AO646" s="81"/>
    </row>
    <row r="647" spans="1:41" s="26" customFormat="1" hidden="1" x14ac:dyDescent="0.25">
      <c r="A647" s="22" t="s">
        <v>1143</v>
      </c>
      <c r="B647" s="2"/>
      <c r="C647" s="21">
        <v>4.75</v>
      </c>
      <c r="D647" s="23"/>
      <c r="E647" s="23"/>
      <c r="F647" s="23"/>
      <c r="G647" s="3" t="s">
        <v>1538</v>
      </c>
      <c r="H647" s="4"/>
      <c r="I647" s="6"/>
      <c r="J647" s="4"/>
      <c r="K647" s="5"/>
      <c r="L647" s="5" t="s">
        <v>1512</v>
      </c>
      <c r="M647" s="4"/>
      <c r="N647" s="4"/>
      <c r="O647" s="4"/>
      <c r="P647" s="4"/>
      <c r="Q647" s="24"/>
      <c r="R647" s="27" t="s">
        <v>205</v>
      </c>
      <c r="S647" s="6"/>
      <c r="T647" s="1">
        <v>4.1339999999999995E-2</v>
      </c>
      <c r="U647" s="1">
        <v>5.1515999999999999E-2</v>
      </c>
      <c r="V647" s="1">
        <v>5.8512000000000002E-2</v>
      </c>
      <c r="W647" s="1">
        <v>4.5791999999999999E-2</v>
      </c>
      <c r="X647" s="1">
        <v>0</v>
      </c>
      <c r="Y647" s="1">
        <f t="shared" si="37"/>
        <v>3.9432000000000002E-2</v>
      </c>
      <c r="Z647" s="10"/>
      <c r="AA647" s="10"/>
      <c r="AB647" s="10"/>
      <c r="AC647" s="10"/>
      <c r="AD647" s="10"/>
      <c r="AE647" s="10"/>
      <c r="AF647" s="10"/>
      <c r="AG647" s="38">
        <f t="shared" si="38"/>
        <v>0</v>
      </c>
      <c r="AH647" s="51" t="str">
        <f t="shared" si="39"/>
        <v xml:space="preserve"> </v>
      </c>
      <c r="AI647" s="64"/>
      <c r="AJ647" s="1"/>
      <c r="AK647" s="65">
        <v>0</v>
      </c>
      <c r="AL647" s="1"/>
      <c r="AM647" s="1"/>
      <c r="AN647" s="81"/>
      <c r="AO647" s="81"/>
    </row>
    <row r="648" spans="1:41" s="26" customFormat="1" hidden="1" x14ac:dyDescent="0.25">
      <c r="A648" s="22" t="s">
        <v>1557</v>
      </c>
      <c r="B648" s="2"/>
      <c r="C648" s="21">
        <v>3</v>
      </c>
      <c r="D648" s="23"/>
      <c r="E648" s="23"/>
      <c r="F648" s="23"/>
      <c r="G648" s="3" t="s">
        <v>1543</v>
      </c>
      <c r="H648" s="6"/>
      <c r="I648" s="6"/>
      <c r="J648" s="6"/>
      <c r="K648" s="21"/>
      <c r="L648" s="5" t="s">
        <v>1558</v>
      </c>
      <c r="M648" s="4"/>
      <c r="N648" s="6"/>
      <c r="O648" s="6"/>
      <c r="P648" s="6"/>
      <c r="Q648" s="27"/>
      <c r="R648" s="27" t="s">
        <v>205</v>
      </c>
      <c r="S648" s="6"/>
      <c r="T648" s="1">
        <v>3.5699999999999996E-2</v>
      </c>
      <c r="U648" s="1">
        <v>3.5699999999999996E-2</v>
      </c>
      <c r="V648" s="1">
        <v>3.5699999999999996E-2</v>
      </c>
      <c r="W648" s="1">
        <v>3.5699999999999996E-2</v>
      </c>
      <c r="X648" s="1">
        <v>3.5699999999999996E-2</v>
      </c>
      <c r="Y648" s="1">
        <f t="shared" si="37"/>
        <v>3.5699999999999996E-2</v>
      </c>
      <c r="Z648" s="10"/>
      <c r="AA648" s="10"/>
      <c r="AB648" s="10"/>
      <c r="AC648" s="10"/>
      <c r="AD648" s="10"/>
      <c r="AE648" s="10"/>
      <c r="AF648" s="10"/>
      <c r="AG648" s="38">
        <f t="shared" si="38"/>
        <v>0</v>
      </c>
      <c r="AH648" s="51" t="str">
        <f t="shared" si="39"/>
        <v xml:space="preserve"> </v>
      </c>
      <c r="AI648" s="64"/>
      <c r="AJ648" s="1"/>
      <c r="AK648" s="65">
        <v>0</v>
      </c>
      <c r="AL648" s="1"/>
      <c r="AM648" s="1"/>
      <c r="AN648" s="81"/>
      <c r="AO648" s="81"/>
    </row>
    <row r="649" spans="1:41" s="26" customFormat="1" hidden="1" x14ac:dyDescent="0.25">
      <c r="A649" s="22" t="s">
        <v>214</v>
      </c>
      <c r="B649" s="2"/>
      <c r="C649" s="21">
        <v>1</v>
      </c>
      <c r="D649" s="23"/>
      <c r="E649" s="23"/>
      <c r="F649" s="23" t="s">
        <v>215</v>
      </c>
      <c r="G649" s="3" t="s">
        <v>1559</v>
      </c>
      <c r="H649" s="4"/>
      <c r="I649" s="4"/>
      <c r="J649" s="4"/>
      <c r="K649" s="5"/>
      <c r="L649" s="5" t="s">
        <v>1558</v>
      </c>
      <c r="M649" s="4"/>
      <c r="N649" s="6"/>
      <c r="O649" s="4"/>
      <c r="P649" s="4"/>
      <c r="Q649" s="24"/>
      <c r="R649" s="27" t="s">
        <v>205</v>
      </c>
      <c r="S649" s="4"/>
      <c r="T649" s="1">
        <v>3.5197437499999998E-2</v>
      </c>
      <c r="U649" s="1">
        <v>1.7598718749999999E-2</v>
      </c>
      <c r="V649" s="1">
        <v>5.2796156250000004E-2</v>
      </c>
      <c r="W649" s="1">
        <v>3.5197437499999998E-2</v>
      </c>
      <c r="X649" s="1">
        <v>3.5197437499999998E-2</v>
      </c>
      <c r="Y649" s="1">
        <f t="shared" si="37"/>
        <v>3.5197437499999998E-2</v>
      </c>
      <c r="Z649" s="10"/>
      <c r="AA649" s="10"/>
      <c r="AB649" s="10"/>
      <c r="AC649" s="10"/>
      <c r="AD649" s="10"/>
      <c r="AE649" s="10"/>
      <c r="AF649" s="10"/>
      <c r="AG649" s="38">
        <f t="shared" si="38"/>
        <v>0</v>
      </c>
      <c r="AH649" s="51" t="str">
        <f t="shared" si="39"/>
        <v xml:space="preserve"> </v>
      </c>
      <c r="AI649" s="64"/>
      <c r="AJ649" s="1"/>
      <c r="AK649" s="65">
        <v>0</v>
      </c>
      <c r="AL649" s="1"/>
      <c r="AM649" s="1"/>
      <c r="AN649" s="81"/>
      <c r="AO649" s="81"/>
    </row>
    <row r="650" spans="1:41" s="26" customFormat="1" hidden="1" x14ac:dyDescent="0.25">
      <c r="A650" s="22" t="s">
        <v>1560</v>
      </c>
      <c r="B650" s="2"/>
      <c r="C650" s="21">
        <v>2</v>
      </c>
      <c r="D650" s="23"/>
      <c r="E650" s="23"/>
      <c r="F650" s="23"/>
      <c r="G650" s="3" t="s">
        <v>1554</v>
      </c>
      <c r="H650" s="4"/>
      <c r="I650" s="6"/>
      <c r="J650" s="4"/>
      <c r="K650" s="5"/>
      <c r="L650" s="5" t="s">
        <v>1512</v>
      </c>
      <c r="M650" s="4"/>
      <c r="N650" s="4"/>
      <c r="O650" s="4"/>
      <c r="P650" s="4"/>
      <c r="Q650" s="24"/>
      <c r="R650" s="27" t="s">
        <v>205</v>
      </c>
      <c r="S650" s="6"/>
      <c r="T650" s="1">
        <v>0</v>
      </c>
      <c r="U650" s="1">
        <v>7.4195999999999998E-2</v>
      </c>
      <c r="V650" s="1">
        <v>0</v>
      </c>
      <c r="W650" s="1">
        <v>0</v>
      </c>
      <c r="X650" s="1">
        <v>7.4195999999999998E-2</v>
      </c>
      <c r="Y650" s="1">
        <f t="shared" si="37"/>
        <v>2.9678400000000001E-2</v>
      </c>
      <c r="Z650" s="10"/>
      <c r="AA650" s="10"/>
      <c r="AB650" s="10"/>
      <c r="AC650" s="10"/>
      <c r="AD650" s="10"/>
      <c r="AE650" s="10"/>
      <c r="AF650" s="10"/>
      <c r="AG650" s="38">
        <f t="shared" si="38"/>
        <v>0</v>
      </c>
      <c r="AH650" s="51" t="str">
        <f t="shared" si="39"/>
        <v xml:space="preserve"> </v>
      </c>
      <c r="AI650" s="64"/>
      <c r="AJ650" s="1"/>
      <c r="AK650" s="65">
        <v>0</v>
      </c>
      <c r="AL650" s="1"/>
      <c r="AM650" s="1"/>
      <c r="AN650" s="81"/>
      <c r="AO650" s="81"/>
    </row>
    <row r="651" spans="1:41" s="26" customFormat="1" hidden="1" x14ac:dyDescent="0.25">
      <c r="A651" s="22" t="s">
        <v>1561</v>
      </c>
      <c r="B651" s="2"/>
      <c r="C651" s="21">
        <v>4</v>
      </c>
      <c r="D651" s="23"/>
      <c r="E651" s="23"/>
      <c r="F651" s="23"/>
      <c r="G651" s="3" t="s">
        <v>1504</v>
      </c>
      <c r="H651" s="4"/>
      <c r="I651" s="6"/>
      <c r="J651" s="4"/>
      <c r="K651" s="5"/>
      <c r="L651" s="5" t="s">
        <v>1512</v>
      </c>
      <c r="M651" s="4"/>
      <c r="N651" s="4"/>
      <c r="O651" s="4"/>
      <c r="P651" s="4"/>
      <c r="Q651" s="24"/>
      <c r="R651" s="27" t="s">
        <v>205</v>
      </c>
      <c r="S651" s="6"/>
      <c r="T651" s="1">
        <v>3.755E-2</v>
      </c>
      <c r="U651" s="1"/>
      <c r="V651" s="1">
        <v>3.755E-2</v>
      </c>
      <c r="W651" s="1">
        <v>3.755E-2</v>
      </c>
      <c r="X651" s="1">
        <v>0</v>
      </c>
      <c r="Y651" s="1">
        <f t="shared" si="37"/>
        <v>2.81625E-2</v>
      </c>
      <c r="Z651" s="10"/>
      <c r="AA651" s="10"/>
      <c r="AB651" s="10"/>
      <c r="AC651" s="10"/>
      <c r="AD651" s="10"/>
      <c r="AE651" s="10"/>
      <c r="AF651" s="10"/>
      <c r="AG651" s="38">
        <f t="shared" si="38"/>
        <v>0</v>
      </c>
      <c r="AH651" s="51" t="str">
        <f t="shared" si="39"/>
        <v xml:space="preserve"> </v>
      </c>
      <c r="AI651" s="64"/>
      <c r="AJ651" s="1"/>
      <c r="AK651" s="65">
        <v>0</v>
      </c>
      <c r="AL651" s="1"/>
      <c r="AM651" s="1"/>
      <c r="AN651" s="81"/>
      <c r="AO651" s="81"/>
    </row>
    <row r="652" spans="1:41" s="26" customFormat="1" hidden="1" x14ac:dyDescent="0.25">
      <c r="A652" s="22" t="s">
        <v>843</v>
      </c>
      <c r="B652" s="2"/>
      <c r="C652" s="21">
        <v>2.5</v>
      </c>
      <c r="D652" s="23"/>
      <c r="E652" s="23"/>
      <c r="F652" s="23"/>
      <c r="G652" s="3" t="s">
        <v>1504</v>
      </c>
      <c r="H652" s="4"/>
      <c r="I652" s="6"/>
      <c r="J652" s="4"/>
      <c r="K652" s="5"/>
      <c r="L652" s="5" t="s">
        <v>1505</v>
      </c>
      <c r="M652" s="4"/>
      <c r="N652" s="4"/>
      <c r="O652" s="4"/>
      <c r="P652" s="4"/>
      <c r="Q652" s="24"/>
      <c r="R652" s="27" t="s">
        <v>205</v>
      </c>
      <c r="S652" s="6"/>
      <c r="T652" s="1">
        <v>1.2114920570264765E-2</v>
      </c>
      <c r="U652" s="1">
        <v>2.7949800407331974E-2</v>
      </c>
      <c r="V652" s="1">
        <v>1.8839800407331974E-2</v>
      </c>
      <c r="W652" s="1">
        <v>1.7928700610997963E-2</v>
      </c>
      <c r="X652" s="1">
        <v>3.6255600814663953E-2</v>
      </c>
      <c r="Y652" s="1">
        <f t="shared" si="37"/>
        <v>2.2617764562118125E-2</v>
      </c>
      <c r="Z652" s="10"/>
      <c r="AA652" s="10"/>
      <c r="AB652" s="10"/>
      <c r="AC652" s="10"/>
      <c r="AD652" s="10"/>
      <c r="AE652" s="10"/>
      <c r="AF652" s="10"/>
      <c r="AG652" s="38">
        <f t="shared" si="38"/>
        <v>0</v>
      </c>
      <c r="AH652" s="51" t="str">
        <f t="shared" si="39"/>
        <v xml:space="preserve"> </v>
      </c>
      <c r="AI652" s="64"/>
      <c r="AJ652" s="1"/>
      <c r="AK652" s="65">
        <v>0</v>
      </c>
      <c r="AL652" s="1"/>
      <c r="AM652" s="1"/>
      <c r="AN652" s="81"/>
      <c r="AO652" s="81"/>
    </row>
    <row r="653" spans="1:41" s="26" customFormat="1" hidden="1" x14ac:dyDescent="0.25">
      <c r="A653" s="22" t="s">
        <v>1562</v>
      </c>
      <c r="B653" s="2"/>
      <c r="C653" s="21">
        <v>1.2</v>
      </c>
      <c r="D653" s="23"/>
      <c r="E653" s="23"/>
      <c r="F653" s="23"/>
      <c r="G653" s="3" t="s">
        <v>1563</v>
      </c>
      <c r="H653" s="4"/>
      <c r="I653" s="6"/>
      <c r="J653" s="4"/>
      <c r="K653" s="5"/>
      <c r="L653" s="5" t="s">
        <v>1558</v>
      </c>
      <c r="M653" s="4"/>
      <c r="N653" s="4"/>
      <c r="O653" s="4"/>
      <c r="P653" s="4"/>
      <c r="Q653" s="24"/>
      <c r="R653" s="27" t="s">
        <v>205</v>
      </c>
      <c r="S653" s="6"/>
      <c r="T653" s="1">
        <v>2.1245E-2</v>
      </c>
      <c r="U653" s="1">
        <v>2.4279999999999999E-2</v>
      </c>
      <c r="V653" s="1">
        <v>2.1245E-2</v>
      </c>
      <c r="W653" s="1">
        <v>2.1245E-2</v>
      </c>
      <c r="X653" s="1">
        <v>1.821E-2</v>
      </c>
      <c r="Y653" s="1">
        <f t="shared" si="37"/>
        <v>2.1245E-2</v>
      </c>
      <c r="Z653" s="10"/>
      <c r="AA653" s="10"/>
      <c r="AB653" s="10"/>
      <c r="AC653" s="10"/>
      <c r="AD653" s="10"/>
      <c r="AE653" s="10"/>
      <c r="AF653" s="10"/>
      <c r="AG653" s="38">
        <f t="shared" si="38"/>
        <v>0</v>
      </c>
      <c r="AH653" s="51" t="str">
        <f t="shared" si="39"/>
        <v xml:space="preserve"> </v>
      </c>
      <c r="AI653" s="64"/>
      <c r="AJ653" s="1"/>
      <c r="AK653" s="65">
        <v>0</v>
      </c>
      <c r="AL653" s="1"/>
      <c r="AM653" s="1"/>
      <c r="AN653" s="81"/>
      <c r="AO653" s="81"/>
    </row>
    <row r="654" spans="1:41" s="26" customFormat="1" hidden="1" x14ac:dyDescent="0.25">
      <c r="A654" s="22" t="s">
        <v>1564</v>
      </c>
      <c r="B654" s="2"/>
      <c r="C654" s="21">
        <v>6</v>
      </c>
      <c r="D654" s="23"/>
      <c r="E654" s="23"/>
      <c r="F654" s="23"/>
      <c r="G654" s="3" t="s">
        <v>1528</v>
      </c>
      <c r="H654" s="6"/>
      <c r="I654" s="6"/>
      <c r="J654" s="6"/>
      <c r="K654" s="21"/>
      <c r="L654" s="21" t="s">
        <v>1505</v>
      </c>
      <c r="M654" s="6"/>
      <c r="N654" s="6"/>
      <c r="O654" s="6"/>
      <c r="P654" s="6"/>
      <c r="Q654" s="27"/>
      <c r="R654" s="27" t="s">
        <v>205</v>
      </c>
      <c r="S654" s="6"/>
      <c r="T654" s="1">
        <v>1.4749999999999999E-2</v>
      </c>
      <c r="U654" s="1">
        <v>0</v>
      </c>
      <c r="V654" s="1">
        <v>0</v>
      </c>
      <c r="W654" s="1">
        <v>4.7200000000000006E-2</v>
      </c>
      <c r="X654" s="1">
        <v>4.1300000000000003E-2</v>
      </c>
      <c r="Y654" s="1">
        <f t="shared" si="37"/>
        <v>2.0650000000000002E-2</v>
      </c>
      <c r="Z654" s="10"/>
      <c r="AA654" s="10"/>
      <c r="AB654" s="10"/>
      <c r="AC654" s="10"/>
      <c r="AD654" s="10"/>
      <c r="AE654" s="10"/>
      <c r="AF654" s="10"/>
      <c r="AG654" s="38">
        <f t="shared" si="38"/>
        <v>0</v>
      </c>
      <c r="AH654" s="51" t="str">
        <f t="shared" si="39"/>
        <v xml:space="preserve"> </v>
      </c>
      <c r="AI654" s="64"/>
      <c r="AJ654" s="1"/>
      <c r="AK654" s="65">
        <v>0</v>
      </c>
      <c r="AL654" s="1"/>
      <c r="AM654" s="1"/>
      <c r="AN654" s="81"/>
      <c r="AO654" s="81"/>
    </row>
    <row r="655" spans="1:41" s="26" customFormat="1" hidden="1" x14ac:dyDescent="0.25">
      <c r="A655" s="22" t="s">
        <v>1565</v>
      </c>
      <c r="B655" s="2"/>
      <c r="C655" s="21">
        <v>3.75</v>
      </c>
      <c r="D655" s="23"/>
      <c r="E655" s="23"/>
      <c r="F655" s="23"/>
      <c r="G655" s="3" t="s">
        <v>1566</v>
      </c>
      <c r="H655" s="4"/>
      <c r="I655" s="6"/>
      <c r="J655" s="4"/>
      <c r="K655" s="5"/>
      <c r="L655" s="5" t="s">
        <v>1512</v>
      </c>
      <c r="M655" s="4"/>
      <c r="N655" s="4"/>
      <c r="O655" s="4"/>
      <c r="P655" s="4"/>
      <c r="Q655" s="24"/>
      <c r="R655" s="27" t="s">
        <v>205</v>
      </c>
      <c r="S655" s="4"/>
      <c r="T655" s="1">
        <v>2.2354101562499999E-2</v>
      </c>
      <c r="U655" s="1">
        <v>1.6765576171875001E-2</v>
      </c>
      <c r="V655" s="1">
        <v>2.7942626953125001E-2</v>
      </c>
      <c r="W655" s="1">
        <v>1.2294755859374999E-2</v>
      </c>
      <c r="X655" s="1">
        <v>1.7883281250000001E-2</v>
      </c>
      <c r="Y655" s="1">
        <f t="shared" si="37"/>
        <v>1.9448068359374997E-2</v>
      </c>
      <c r="Z655" s="10"/>
      <c r="AA655" s="10"/>
      <c r="AB655" s="10"/>
      <c r="AC655" s="10"/>
      <c r="AD655" s="10"/>
      <c r="AE655" s="10"/>
      <c r="AF655" s="10"/>
      <c r="AG655" s="38">
        <f t="shared" si="38"/>
        <v>0</v>
      </c>
      <c r="AH655" s="51" t="str">
        <f t="shared" si="39"/>
        <v xml:space="preserve"> </v>
      </c>
      <c r="AI655" s="64"/>
      <c r="AJ655" s="1"/>
      <c r="AK655" s="65">
        <v>0</v>
      </c>
      <c r="AL655" s="1"/>
      <c r="AM655" s="1"/>
      <c r="AN655" s="81"/>
      <c r="AO655" s="81"/>
    </row>
    <row r="656" spans="1:41" s="26" customFormat="1" hidden="1" x14ac:dyDescent="0.25">
      <c r="A656" s="22" t="s">
        <v>1567</v>
      </c>
      <c r="B656" s="2"/>
      <c r="C656" s="21">
        <v>4</v>
      </c>
      <c r="D656" s="23"/>
      <c r="E656" s="23"/>
      <c r="F656" s="23"/>
      <c r="G656" s="3" t="s">
        <v>1008</v>
      </c>
      <c r="H656" s="6"/>
      <c r="I656" s="6"/>
      <c r="J656" s="6"/>
      <c r="K656" s="21"/>
      <c r="L656" s="21" t="s">
        <v>1505</v>
      </c>
      <c r="M656" s="6"/>
      <c r="N656" s="6"/>
      <c r="O656" s="6"/>
      <c r="P656" s="6"/>
      <c r="Q656" s="27"/>
      <c r="R656" s="27" t="s">
        <v>205</v>
      </c>
      <c r="S656" s="6"/>
      <c r="T656" s="1">
        <v>0</v>
      </c>
      <c r="U656" s="1">
        <v>9.6570000000000003E-2</v>
      </c>
      <c r="V656" s="1">
        <v>0</v>
      </c>
      <c r="W656" s="1">
        <v>0</v>
      </c>
      <c r="X656" s="1">
        <v>0</v>
      </c>
      <c r="Y656" s="1">
        <f t="shared" si="37"/>
        <v>1.9314000000000001E-2</v>
      </c>
      <c r="Z656" s="10"/>
      <c r="AA656" s="10"/>
      <c r="AB656" s="10"/>
      <c r="AC656" s="10"/>
      <c r="AD656" s="10"/>
      <c r="AE656" s="10"/>
      <c r="AF656" s="10"/>
      <c r="AG656" s="38">
        <f t="shared" si="38"/>
        <v>0</v>
      </c>
      <c r="AH656" s="51" t="str">
        <f t="shared" si="39"/>
        <v xml:space="preserve"> </v>
      </c>
      <c r="AI656" s="64"/>
      <c r="AJ656" s="1"/>
      <c r="AK656" s="65">
        <v>0</v>
      </c>
      <c r="AL656" s="1"/>
      <c r="AM656" s="1"/>
      <c r="AN656" s="81"/>
      <c r="AO656" s="81"/>
    </row>
    <row r="657" spans="1:41" s="26" customFormat="1" hidden="1" x14ac:dyDescent="0.25">
      <c r="A657" s="22" t="s">
        <v>1568</v>
      </c>
      <c r="B657" s="2"/>
      <c r="C657" s="21">
        <v>4</v>
      </c>
      <c r="D657" s="23"/>
      <c r="E657" s="23"/>
      <c r="F657" s="23"/>
      <c r="G657" s="3" t="s">
        <v>1008</v>
      </c>
      <c r="H657" s="6"/>
      <c r="I657" s="6"/>
      <c r="J657" s="6"/>
      <c r="K657" s="21"/>
      <c r="L657" s="21" t="s">
        <v>1505</v>
      </c>
      <c r="M657" s="4"/>
      <c r="N657" s="6"/>
      <c r="O657" s="6"/>
      <c r="P657" s="6"/>
      <c r="Q657" s="27"/>
      <c r="R657" s="27" t="s">
        <v>205</v>
      </c>
      <c r="S657" s="6"/>
      <c r="T657" s="1">
        <v>1.3626044004850509E-2</v>
      </c>
      <c r="U657" s="1">
        <v>9.378130303109404E-3</v>
      </c>
      <c r="V657" s="1">
        <v>8.9369788532958072E-3</v>
      </c>
      <c r="W657" s="1">
        <v>1.4508346904477701E-2</v>
      </c>
      <c r="X657" s="1">
        <v>1.2246661011060775E-2</v>
      </c>
      <c r="Y657" s="1">
        <f t="shared" si="37"/>
        <v>1.1739232215358839E-2</v>
      </c>
      <c r="Z657" s="10"/>
      <c r="AA657" s="10"/>
      <c r="AB657" s="10"/>
      <c r="AC657" s="10"/>
      <c r="AD657" s="10"/>
      <c r="AE657" s="10"/>
      <c r="AF657" s="10"/>
      <c r="AG657" s="38">
        <f t="shared" si="38"/>
        <v>0</v>
      </c>
      <c r="AH657" s="51" t="str">
        <f t="shared" si="39"/>
        <v xml:space="preserve"> </v>
      </c>
      <c r="AI657" s="64"/>
      <c r="AJ657" s="1"/>
      <c r="AK657" s="65">
        <v>0</v>
      </c>
      <c r="AL657" s="1"/>
      <c r="AM657" s="1"/>
      <c r="AN657" s="81"/>
      <c r="AO657" s="81"/>
    </row>
    <row r="658" spans="1:41" s="26" customFormat="1" hidden="1" x14ac:dyDescent="0.25">
      <c r="A658" s="22" t="s">
        <v>1569</v>
      </c>
      <c r="B658" s="2"/>
      <c r="C658" s="21">
        <v>8</v>
      </c>
      <c r="D658" s="23"/>
      <c r="E658" s="23"/>
      <c r="F658" s="23"/>
      <c r="G658" s="3" t="s">
        <v>1528</v>
      </c>
      <c r="H658" s="4"/>
      <c r="I658" s="4"/>
      <c r="J658" s="4"/>
      <c r="K658" s="5"/>
      <c r="L658" s="5" t="s">
        <v>1505</v>
      </c>
      <c r="M658" s="4"/>
      <c r="N658" s="4"/>
      <c r="O658" s="4"/>
      <c r="P658" s="4"/>
      <c r="Q658" s="24"/>
      <c r="R658" s="27" t="s">
        <v>205</v>
      </c>
      <c r="S658" s="4"/>
      <c r="T658" s="1">
        <v>1.4234999999999999E-2</v>
      </c>
      <c r="U658" s="1">
        <v>8.7600000000000004E-3</v>
      </c>
      <c r="V658" s="1">
        <v>1.2045E-2</v>
      </c>
      <c r="W658" s="1">
        <v>9.8550000000000009E-3</v>
      </c>
      <c r="X658" s="1">
        <v>9.8550000000000009E-3</v>
      </c>
      <c r="Y658" s="1">
        <f t="shared" si="37"/>
        <v>1.0950000000000001E-2</v>
      </c>
      <c r="Z658" s="10"/>
      <c r="AA658" s="10"/>
      <c r="AB658" s="10"/>
      <c r="AC658" s="10"/>
      <c r="AD658" s="10"/>
      <c r="AE658" s="10"/>
      <c r="AF658" s="10"/>
      <c r="AG658" s="38">
        <f t="shared" si="38"/>
        <v>0</v>
      </c>
      <c r="AH658" s="51" t="str">
        <f t="shared" si="39"/>
        <v xml:space="preserve"> </v>
      </c>
      <c r="AI658" s="64"/>
      <c r="AJ658" s="1"/>
      <c r="AK658" s="65">
        <v>0</v>
      </c>
      <c r="AL658" s="1"/>
      <c r="AM658" s="1"/>
      <c r="AN658" s="81"/>
      <c r="AO658" s="81"/>
    </row>
    <row r="659" spans="1:41" s="26" customFormat="1" hidden="1" x14ac:dyDescent="0.25">
      <c r="A659" s="22" t="s">
        <v>1570</v>
      </c>
      <c r="B659" s="2"/>
      <c r="C659" s="21">
        <v>2</v>
      </c>
      <c r="D659" s="23"/>
      <c r="E659" s="23"/>
      <c r="F659" s="77"/>
      <c r="G659" s="3" t="s">
        <v>1008</v>
      </c>
      <c r="H659" s="4"/>
      <c r="I659" s="4"/>
      <c r="J659" s="4"/>
      <c r="K659" s="5"/>
      <c r="L659" s="5" t="s">
        <v>1505</v>
      </c>
      <c r="M659" s="4"/>
      <c r="N659" s="4"/>
      <c r="O659" s="4"/>
      <c r="P659" s="4"/>
      <c r="Q659" s="24"/>
      <c r="R659" s="27" t="s">
        <v>205</v>
      </c>
      <c r="S659" s="4"/>
      <c r="T659" s="1">
        <v>0</v>
      </c>
      <c r="U659" s="1">
        <v>1.4884799999999998E-2</v>
      </c>
      <c r="V659" s="1">
        <v>0</v>
      </c>
      <c r="W659" s="1">
        <v>0</v>
      </c>
      <c r="X659" s="1">
        <v>2.4162399999999997E-2</v>
      </c>
      <c r="Y659" s="1">
        <f t="shared" si="37"/>
        <v>7.8094399999999991E-3</v>
      </c>
      <c r="Z659" s="10"/>
      <c r="AA659" s="10"/>
      <c r="AB659" s="10"/>
      <c r="AC659" s="10"/>
      <c r="AD659" s="10"/>
      <c r="AE659" s="10"/>
      <c r="AF659" s="10"/>
      <c r="AG659" s="38">
        <f t="shared" si="38"/>
        <v>0</v>
      </c>
      <c r="AH659" s="51" t="str">
        <f t="shared" si="39"/>
        <v xml:space="preserve"> </v>
      </c>
      <c r="AI659" s="64"/>
      <c r="AJ659" s="1"/>
      <c r="AK659" s="65">
        <v>0</v>
      </c>
      <c r="AL659" s="1"/>
      <c r="AM659" s="1"/>
      <c r="AN659" s="81"/>
      <c r="AO659" s="81"/>
    </row>
    <row r="660" spans="1:41" s="26" customFormat="1" hidden="1" x14ac:dyDescent="0.25">
      <c r="A660" s="22" t="s">
        <v>1571</v>
      </c>
      <c r="B660" s="2"/>
      <c r="C660" s="21">
        <v>0.7</v>
      </c>
      <c r="D660" s="23"/>
      <c r="E660" s="23"/>
      <c r="F660" s="77"/>
      <c r="G660" s="3" t="s">
        <v>1528</v>
      </c>
      <c r="H660" s="4"/>
      <c r="I660" s="4"/>
      <c r="J660" s="4"/>
      <c r="K660" s="5"/>
      <c r="L660" s="5" t="s">
        <v>1505</v>
      </c>
      <c r="M660" s="4"/>
      <c r="N660" s="4"/>
      <c r="O660" s="4"/>
      <c r="P660" s="4"/>
      <c r="Q660" s="24"/>
      <c r="R660" s="27" t="s">
        <v>205</v>
      </c>
      <c r="S660" s="4"/>
      <c r="T660" s="1">
        <v>0</v>
      </c>
      <c r="U660" s="1">
        <v>4.2785032258064511E-3</v>
      </c>
      <c r="V660" s="1">
        <v>2.6964000000000002E-2</v>
      </c>
      <c r="W660" s="1">
        <v>0</v>
      </c>
      <c r="X660" s="1">
        <v>0</v>
      </c>
      <c r="Y660" s="1">
        <f t="shared" si="37"/>
        <v>6.2485006451612913E-3</v>
      </c>
      <c r="Z660" s="10"/>
      <c r="AA660" s="10"/>
      <c r="AB660" s="10"/>
      <c r="AC660" s="10"/>
      <c r="AD660" s="10"/>
      <c r="AE660" s="10"/>
      <c r="AF660" s="10"/>
      <c r="AG660" s="38">
        <f t="shared" si="38"/>
        <v>0</v>
      </c>
      <c r="AH660" s="51" t="str">
        <f t="shared" si="39"/>
        <v xml:space="preserve"> </v>
      </c>
      <c r="AI660" s="64"/>
      <c r="AJ660" s="1"/>
      <c r="AK660" s="65">
        <v>0</v>
      </c>
      <c r="AL660" s="1"/>
      <c r="AM660" s="1"/>
      <c r="AN660" s="81"/>
      <c r="AO660" s="81"/>
    </row>
    <row r="661" spans="1:41" s="26" customFormat="1" hidden="1" x14ac:dyDescent="0.25">
      <c r="A661" s="22" t="s">
        <v>1572</v>
      </c>
      <c r="B661" s="2"/>
      <c r="C661" s="21">
        <v>1</v>
      </c>
      <c r="D661" s="23"/>
      <c r="E661" s="23"/>
      <c r="F661" s="77"/>
      <c r="G661" s="3" t="s">
        <v>1540</v>
      </c>
      <c r="H661" s="6"/>
      <c r="I661" s="6"/>
      <c r="J661" s="6"/>
      <c r="K661" s="21"/>
      <c r="L661" s="21" t="s">
        <v>1558</v>
      </c>
      <c r="M661" s="6"/>
      <c r="N661" s="6"/>
      <c r="O661" s="6"/>
      <c r="P661" s="6"/>
      <c r="Q661" s="27"/>
      <c r="R661" s="27" t="s">
        <v>205</v>
      </c>
      <c r="S661" s="6"/>
      <c r="T661" s="1">
        <v>2.862E-3</v>
      </c>
      <c r="U661" s="1">
        <v>2.862E-3</v>
      </c>
      <c r="V661" s="1">
        <v>5.7239999999999999E-3</v>
      </c>
      <c r="W661" s="1">
        <v>6.8247000000000013E-3</v>
      </c>
      <c r="X661" s="1">
        <v>5.7239999999999999E-3</v>
      </c>
      <c r="Y661" s="1">
        <f t="shared" si="37"/>
        <v>4.7993400000000009E-3</v>
      </c>
      <c r="Z661" s="10"/>
      <c r="AA661" s="10"/>
      <c r="AB661" s="10"/>
      <c r="AC661" s="10"/>
      <c r="AD661" s="10"/>
      <c r="AE661" s="10"/>
      <c r="AF661" s="10"/>
      <c r="AG661" s="38">
        <f t="shared" si="38"/>
        <v>0</v>
      </c>
      <c r="AH661" s="51" t="str">
        <f t="shared" si="39"/>
        <v xml:space="preserve"> </v>
      </c>
      <c r="AI661" s="64"/>
      <c r="AJ661" s="1"/>
      <c r="AK661" s="65">
        <v>0</v>
      </c>
      <c r="AL661" s="1"/>
      <c r="AM661" s="1"/>
      <c r="AN661" s="81"/>
      <c r="AO661" s="81"/>
    </row>
    <row r="662" spans="1:41" s="26" customFormat="1" hidden="1" x14ac:dyDescent="0.25">
      <c r="A662" s="22" t="s">
        <v>1573</v>
      </c>
      <c r="B662" s="2"/>
      <c r="C662" s="21">
        <v>1</v>
      </c>
      <c r="D662" s="23"/>
      <c r="E662" s="23"/>
      <c r="F662" s="77"/>
      <c r="G662" s="3" t="s">
        <v>1008</v>
      </c>
      <c r="H662" s="6"/>
      <c r="I662" s="6"/>
      <c r="J662" s="6"/>
      <c r="K662" s="21"/>
      <c r="L662" s="21" t="s">
        <v>1505</v>
      </c>
      <c r="M662" s="6"/>
      <c r="N662" s="6"/>
      <c r="O662" s="6"/>
      <c r="P662" s="6"/>
      <c r="Q662" s="27"/>
      <c r="R662" s="27" t="s">
        <v>205</v>
      </c>
      <c r="S662" s="6"/>
      <c r="T662" s="1">
        <v>0</v>
      </c>
      <c r="U662" s="1">
        <v>3.392E-3</v>
      </c>
      <c r="V662" s="1">
        <v>3.392E-3</v>
      </c>
      <c r="W662" s="1">
        <v>3.392E-3</v>
      </c>
      <c r="X662" s="1">
        <v>0</v>
      </c>
      <c r="Y662" s="1">
        <f t="shared" si="37"/>
        <v>2.0352E-3</v>
      </c>
      <c r="Z662" s="10"/>
      <c r="AA662" s="10"/>
      <c r="AB662" s="10"/>
      <c r="AC662" s="10"/>
      <c r="AD662" s="10"/>
      <c r="AE662" s="10"/>
      <c r="AF662" s="10"/>
      <c r="AG662" s="38">
        <f t="shared" si="38"/>
        <v>0</v>
      </c>
      <c r="AH662" s="51" t="str">
        <f t="shared" si="39"/>
        <v xml:space="preserve"> </v>
      </c>
      <c r="AI662" s="64"/>
      <c r="AJ662" s="1"/>
      <c r="AK662" s="65">
        <v>0</v>
      </c>
      <c r="AL662" s="1"/>
      <c r="AM662" s="1"/>
      <c r="AN662" s="81"/>
      <c r="AO662" s="81"/>
    </row>
    <row r="663" spans="1:41" s="26" customFormat="1" hidden="1" x14ac:dyDescent="0.25">
      <c r="A663" s="22" t="s">
        <v>1159</v>
      </c>
      <c r="B663" s="2"/>
      <c r="C663" s="21">
        <v>0.8</v>
      </c>
      <c r="D663" s="23"/>
      <c r="E663" s="23"/>
      <c r="F663" s="77"/>
      <c r="G663" s="3" t="s">
        <v>1008</v>
      </c>
      <c r="H663" s="4"/>
      <c r="I663" s="4"/>
      <c r="J663" s="4"/>
      <c r="K663" s="5"/>
      <c r="L663" s="5" t="s">
        <v>1512</v>
      </c>
      <c r="M663" s="4"/>
      <c r="N663" s="4"/>
      <c r="O663" s="4"/>
      <c r="P663" s="4"/>
      <c r="Q663" s="24"/>
      <c r="R663" s="27" t="s">
        <v>205</v>
      </c>
      <c r="S663" s="4"/>
      <c r="T663" s="1">
        <v>0</v>
      </c>
      <c r="U663" s="1">
        <v>0</v>
      </c>
      <c r="V663" s="1">
        <v>0</v>
      </c>
      <c r="W663" s="1">
        <v>1.7759999999999998E-3</v>
      </c>
      <c r="X663" s="1">
        <v>5.3280000000000003E-3</v>
      </c>
      <c r="Y663" s="1">
        <f t="shared" si="37"/>
        <v>1.4208000000000001E-3</v>
      </c>
      <c r="Z663" s="10"/>
      <c r="AA663" s="10"/>
      <c r="AB663" s="10"/>
      <c r="AC663" s="10"/>
      <c r="AD663" s="10"/>
      <c r="AE663" s="10"/>
      <c r="AF663" s="10"/>
      <c r="AG663" s="38">
        <f t="shared" si="38"/>
        <v>0</v>
      </c>
      <c r="AH663" s="51" t="str">
        <f t="shared" si="39"/>
        <v xml:space="preserve"> </v>
      </c>
      <c r="AI663" s="64"/>
      <c r="AJ663" s="1"/>
      <c r="AK663" s="65">
        <v>0</v>
      </c>
      <c r="AL663" s="1"/>
      <c r="AM663" s="1"/>
      <c r="AN663" s="81"/>
      <c r="AO663" s="81"/>
    </row>
    <row r="664" spans="1:41" s="26" customFormat="1" hidden="1" x14ac:dyDescent="0.25">
      <c r="A664" s="22" t="s">
        <v>776</v>
      </c>
      <c r="B664" s="2" t="s">
        <v>1574</v>
      </c>
      <c r="C664" s="21">
        <v>0.65</v>
      </c>
      <c r="D664" s="23">
        <v>1000</v>
      </c>
      <c r="E664" s="23" t="s">
        <v>161</v>
      </c>
      <c r="F664" s="23"/>
      <c r="G664" s="3" t="s">
        <v>774</v>
      </c>
      <c r="H664" s="4"/>
      <c r="I664" s="6"/>
      <c r="J664" s="4"/>
      <c r="K664" s="5"/>
      <c r="L664" s="5" t="s">
        <v>1575</v>
      </c>
      <c r="M664" s="4" t="s">
        <v>1523</v>
      </c>
      <c r="N664" s="4"/>
      <c r="O664" s="4"/>
      <c r="P664" s="4"/>
      <c r="Q664" s="24"/>
      <c r="R664" s="24" t="s">
        <v>205</v>
      </c>
      <c r="S664" s="6" t="s">
        <v>1576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f t="shared" si="37"/>
        <v>0</v>
      </c>
      <c r="Z664" s="10"/>
      <c r="AA664" s="10"/>
      <c r="AB664" s="10"/>
      <c r="AC664" s="10"/>
      <c r="AD664" s="10"/>
      <c r="AE664" s="10"/>
      <c r="AF664" s="10"/>
      <c r="AG664" s="38">
        <f t="shared" si="38"/>
        <v>0</v>
      </c>
      <c r="AH664" s="51" t="str">
        <f t="shared" si="39"/>
        <v xml:space="preserve"> </v>
      </c>
      <c r="AI664" s="64"/>
      <c r="AJ664" s="1"/>
      <c r="AK664" s="65">
        <v>0</v>
      </c>
      <c r="AL664" s="1"/>
      <c r="AM664" s="1"/>
      <c r="AN664" s="81"/>
      <c r="AO664" s="81"/>
    </row>
    <row r="665" spans="1:41" s="26" customFormat="1" hidden="1" x14ac:dyDescent="0.25">
      <c r="A665" s="22" t="s">
        <v>1577</v>
      </c>
      <c r="B665" s="2"/>
      <c r="C665" s="21">
        <v>18</v>
      </c>
      <c r="D665" s="23"/>
      <c r="E665" s="23"/>
      <c r="F665" s="23"/>
      <c r="G665" s="3" t="s">
        <v>1031</v>
      </c>
      <c r="H665" s="4"/>
      <c r="I665" s="6"/>
      <c r="J665" s="4"/>
      <c r="K665" s="5"/>
      <c r="L665" s="5" t="s">
        <v>1505</v>
      </c>
      <c r="M665" s="4"/>
      <c r="N665" s="4"/>
      <c r="O665" s="4"/>
      <c r="P665" s="4"/>
      <c r="Q665" s="24"/>
      <c r="R665" s="27" t="s">
        <v>205</v>
      </c>
      <c r="S665" s="6"/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f t="shared" si="37"/>
        <v>0</v>
      </c>
      <c r="Z665" s="10"/>
      <c r="AA665" s="10"/>
      <c r="AB665" s="10"/>
      <c r="AC665" s="10"/>
      <c r="AD665" s="10"/>
      <c r="AE665" s="10"/>
      <c r="AF665" s="10"/>
      <c r="AG665" s="38">
        <f t="shared" si="38"/>
        <v>0</v>
      </c>
      <c r="AH665" s="51" t="str">
        <f t="shared" si="39"/>
        <v xml:space="preserve"> </v>
      </c>
      <c r="AI665" s="64"/>
      <c r="AJ665" s="1"/>
      <c r="AK665" s="65">
        <v>0</v>
      </c>
      <c r="AL665" s="1"/>
      <c r="AM665" s="1"/>
      <c r="AN665" s="81"/>
      <c r="AO665" s="81"/>
    </row>
    <row r="666" spans="1:41" s="26" customFormat="1" hidden="1" x14ac:dyDescent="0.25">
      <c r="A666" s="22" t="s">
        <v>1578</v>
      </c>
      <c r="B666" s="2"/>
      <c r="C666" s="21">
        <v>1</v>
      </c>
      <c r="D666" s="23"/>
      <c r="E666" s="23"/>
      <c r="F666" s="23"/>
      <c r="G666" s="3" t="s">
        <v>1579</v>
      </c>
      <c r="H666" s="4"/>
      <c r="I666" s="6"/>
      <c r="J666" s="4"/>
      <c r="K666" s="5"/>
      <c r="L666" s="5">
        <v>0</v>
      </c>
      <c r="M666" s="4"/>
      <c r="N666" s="4"/>
      <c r="O666" s="4"/>
      <c r="P666" s="4"/>
      <c r="Q666" s="24"/>
      <c r="R666" s="27" t="s">
        <v>205</v>
      </c>
      <c r="S666" s="6"/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f t="shared" si="37"/>
        <v>0</v>
      </c>
      <c r="Z666" s="10"/>
      <c r="AA666" s="10"/>
      <c r="AB666" s="10"/>
      <c r="AC666" s="10"/>
      <c r="AD666" s="10"/>
      <c r="AE666" s="10"/>
      <c r="AF666" s="10"/>
      <c r="AG666" s="38">
        <f t="shared" si="38"/>
        <v>0</v>
      </c>
      <c r="AH666" s="51" t="str">
        <f t="shared" si="39"/>
        <v xml:space="preserve"> </v>
      </c>
      <c r="AI666" s="64"/>
      <c r="AJ666" s="1"/>
      <c r="AK666" s="65">
        <v>0</v>
      </c>
      <c r="AL666" s="1"/>
      <c r="AM666" s="1"/>
      <c r="AN666" s="81"/>
      <c r="AO666" s="81"/>
    </row>
    <row r="667" spans="1:41" s="26" customFormat="1" hidden="1" x14ac:dyDescent="0.25">
      <c r="A667" s="22" t="s">
        <v>1580</v>
      </c>
      <c r="B667" s="2"/>
      <c r="C667" s="21">
        <v>7.75</v>
      </c>
      <c r="D667" s="23"/>
      <c r="E667" s="23"/>
      <c r="F667" s="23"/>
      <c r="G667" s="3" t="s">
        <v>1237</v>
      </c>
      <c r="H667" s="4"/>
      <c r="I667" s="6"/>
      <c r="J667" s="4"/>
      <c r="K667" s="5"/>
      <c r="L667" s="5" t="s">
        <v>1505</v>
      </c>
      <c r="M667" s="4"/>
      <c r="N667" s="4"/>
      <c r="O667" s="4"/>
      <c r="P667" s="4"/>
      <c r="Q667" s="24"/>
      <c r="R667" s="27" t="s">
        <v>205</v>
      </c>
      <c r="S667" s="6"/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f t="shared" si="37"/>
        <v>0</v>
      </c>
      <c r="Z667" s="10"/>
      <c r="AA667" s="10"/>
      <c r="AB667" s="10"/>
      <c r="AC667" s="10"/>
      <c r="AD667" s="10"/>
      <c r="AE667" s="10"/>
      <c r="AF667" s="10"/>
      <c r="AG667" s="38">
        <f t="shared" si="38"/>
        <v>0</v>
      </c>
      <c r="AH667" s="51" t="str">
        <f t="shared" si="39"/>
        <v xml:space="preserve"> </v>
      </c>
      <c r="AI667" s="64"/>
      <c r="AJ667" s="1"/>
      <c r="AK667" s="65">
        <v>0</v>
      </c>
      <c r="AL667" s="1"/>
      <c r="AM667" s="1"/>
      <c r="AN667" s="81"/>
      <c r="AO667" s="81"/>
    </row>
    <row r="668" spans="1:41" s="26" customFormat="1" hidden="1" x14ac:dyDescent="0.25">
      <c r="A668" s="22" t="s">
        <v>1581</v>
      </c>
      <c r="B668" s="2"/>
      <c r="C668" s="21">
        <v>2</v>
      </c>
      <c r="D668" s="23"/>
      <c r="E668" s="23"/>
      <c r="F668" s="23"/>
      <c r="G668" s="3" t="s">
        <v>1554</v>
      </c>
      <c r="H668" s="6"/>
      <c r="I668" s="6"/>
      <c r="J668" s="6"/>
      <c r="K668" s="21"/>
      <c r="L668" s="21" t="s">
        <v>1512</v>
      </c>
      <c r="M668" s="6"/>
      <c r="N668" s="6"/>
      <c r="O668" s="6"/>
      <c r="P668" s="6"/>
      <c r="Q668" s="27"/>
      <c r="R668" s="27" t="s">
        <v>205</v>
      </c>
      <c r="S668" s="6"/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f t="shared" si="37"/>
        <v>0</v>
      </c>
      <c r="Z668" s="10"/>
      <c r="AA668" s="10"/>
      <c r="AB668" s="10"/>
      <c r="AC668" s="10"/>
      <c r="AD668" s="10"/>
      <c r="AE668" s="10"/>
      <c r="AF668" s="10"/>
      <c r="AG668" s="38">
        <f t="shared" si="38"/>
        <v>0</v>
      </c>
      <c r="AH668" s="51" t="str">
        <f t="shared" si="39"/>
        <v xml:space="preserve"> </v>
      </c>
      <c r="AI668" s="64"/>
      <c r="AJ668" s="1"/>
      <c r="AK668" s="65">
        <v>0</v>
      </c>
      <c r="AL668" s="1"/>
      <c r="AM668" s="1"/>
      <c r="AN668" s="81"/>
      <c r="AO668" s="81"/>
    </row>
    <row r="669" spans="1:41" s="26" customFormat="1" hidden="1" x14ac:dyDescent="0.25">
      <c r="A669" s="22" t="s">
        <v>1582</v>
      </c>
      <c r="B669" s="2"/>
      <c r="C669" s="21">
        <v>5</v>
      </c>
      <c r="D669" s="23"/>
      <c r="E669" s="23"/>
      <c r="F669" s="23"/>
      <c r="G669" s="3" t="s">
        <v>1554</v>
      </c>
      <c r="H669" s="6"/>
      <c r="I669" s="6"/>
      <c r="J669" s="6"/>
      <c r="K669" s="21"/>
      <c r="L669" s="21" t="s">
        <v>1512</v>
      </c>
      <c r="M669" s="6"/>
      <c r="N669" s="6"/>
      <c r="O669" s="6"/>
      <c r="P669" s="6"/>
      <c r="Q669" s="27"/>
      <c r="R669" s="27" t="s">
        <v>205</v>
      </c>
      <c r="S669" s="6"/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f t="shared" si="37"/>
        <v>0</v>
      </c>
      <c r="Z669" s="10"/>
      <c r="AA669" s="10"/>
      <c r="AB669" s="10"/>
      <c r="AC669" s="10"/>
      <c r="AD669" s="10"/>
      <c r="AE669" s="10"/>
      <c r="AF669" s="10"/>
      <c r="AG669" s="38">
        <f t="shared" si="38"/>
        <v>0</v>
      </c>
      <c r="AH669" s="51" t="str">
        <f t="shared" si="39"/>
        <v xml:space="preserve"> </v>
      </c>
      <c r="AI669" s="64"/>
      <c r="AJ669" s="1"/>
      <c r="AK669" s="65">
        <v>0</v>
      </c>
      <c r="AL669" s="1"/>
      <c r="AM669" s="1"/>
      <c r="AN669" s="81"/>
      <c r="AO669" s="81"/>
    </row>
    <row r="670" spans="1:41" s="26" customFormat="1" hidden="1" x14ac:dyDescent="0.25">
      <c r="A670" s="22" t="s">
        <v>1583</v>
      </c>
      <c r="B670" s="2"/>
      <c r="C670" s="21">
        <v>1.9</v>
      </c>
      <c r="D670" s="23"/>
      <c r="E670" s="23"/>
      <c r="F670" s="23"/>
      <c r="G670" s="3" t="s">
        <v>1584</v>
      </c>
      <c r="H670" s="4"/>
      <c r="I670" s="6"/>
      <c r="J670" s="4"/>
      <c r="K670" s="5"/>
      <c r="L670" s="5">
        <v>0</v>
      </c>
      <c r="M670" s="4"/>
      <c r="N670" s="4"/>
      <c r="O670" s="4"/>
      <c r="P670" s="4"/>
      <c r="Q670" s="24"/>
      <c r="R670" s="27" t="s">
        <v>205</v>
      </c>
      <c r="S670" s="6"/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f t="shared" si="37"/>
        <v>0</v>
      </c>
      <c r="Z670" s="10"/>
      <c r="AA670" s="10"/>
      <c r="AB670" s="10"/>
      <c r="AC670" s="10"/>
      <c r="AD670" s="10"/>
      <c r="AE670" s="10"/>
      <c r="AF670" s="10"/>
      <c r="AG670" s="38">
        <f t="shared" si="38"/>
        <v>0</v>
      </c>
      <c r="AH670" s="51" t="str">
        <f t="shared" si="39"/>
        <v xml:space="preserve"> </v>
      </c>
      <c r="AI670" s="64"/>
      <c r="AJ670" s="1"/>
      <c r="AK670" s="65">
        <v>0</v>
      </c>
      <c r="AL670" s="1"/>
      <c r="AM670" s="1"/>
      <c r="AN670" s="81"/>
      <c r="AO670" s="81"/>
    </row>
    <row r="671" spans="1:41" s="26" customFormat="1" hidden="1" x14ac:dyDescent="0.25">
      <c r="A671" s="22" t="s">
        <v>1585</v>
      </c>
      <c r="B671" s="2"/>
      <c r="C671" s="21">
        <v>3</v>
      </c>
      <c r="D671" s="23"/>
      <c r="E671" s="23"/>
      <c r="F671" s="23"/>
      <c r="G671" s="3" t="s">
        <v>1586</v>
      </c>
      <c r="H671" s="6"/>
      <c r="I671" s="6"/>
      <c r="J671" s="6"/>
      <c r="K671" s="21"/>
      <c r="L671" s="5" t="s">
        <v>1512</v>
      </c>
      <c r="M671" s="6"/>
      <c r="N671" s="6"/>
      <c r="O671" s="6"/>
      <c r="P671" s="6"/>
      <c r="Q671" s="27"/>
      <c r="R671" s="27" t="s">
        <v>205</v>
      </c>
      <c r="S671" s="6"/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f t="shared" si="37"/>
        <v>0</v>
      </c>
      <c r="Z671" s="10"/>
      <c r="AA671" s="10"/>
      <c r="AB671" s="10"/>
      <c r="AC671" s="10"/>
      <c r="AD671" s="10"/>
      <c r="AE671" s="10"/>
      <c r="AF671" s="10"/>
      <c r="AG671" s="38">
        <f t="shared" si="38"/>
        <v>0</v>
      </c>
      <c r="AH671" s="51" t="str">
        <f t="shared" si="39"/>
        <v xml:space="preserve"> </v>
      </c>
      <c r="AI671" s="64"/>
      <c r="AJ671" s="1"/>
      <c r="AK671" s="65">
        <v>0</v>
      </c>
      <c r="AL671" s="1"/>
      <c r="AM671" s="1"/>
      <c r="AN671" s="81"/>
      <c r="AO671" s="81"/>
    </row>
    <row r="672" spans="1:41" s="26" customFormat="1" hidden="1" x14ac:dyDescent="0.25">
      <c r="A672" s="22" t="s">
        <v>1587</v>
      </c>
      <c r="B672" s="2"/>
      <c r="C672" s="21">
        <v>5</v>
      </c>
      <c r="D672" s="23"/>
      <c r="E672" s="23"/>
      <c r="F672" s="23"/>
      <c r="G672" s="3" t="s">
        <v>1586</v>
      </c>
      <c r="H672" s="4"/>
      <c r="I672" s="6"/>
      <c r="J672" s="4"/>
      <c r="K672" s="5"/>
      <c r="L672" s="5" t="s">
        <v>1512</v>
      </c>
      <c r="M672" s="4"/>
      <c r="N672" s="4"/>
      <c r="O672" s="4"/>
      <c r="P672" s="4"/>
      <c r="Q672" s="24"/>
      <c r="R672" s="27" t="s">
        <v>205</v>
      </c>
      <c r="S672" s="6"/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f t="shared" si="37"/>
        <v>0</v>
      </c>
      <c r="Z672" s="10"/>
      <c r="AA672" s="10"/>
      <c r="AB672" s="10"/>
      <c r="AC672" s="10"/>
      <c r="AD672" s="10"/>
      <c r="AE672" s="10"/>
      <c r="AF672" s="10"/>
      <c r="AG672" s="38">
        <f t="shared" si="38"/>
        <v>0</v>
      </c>
      <c r="AH672" s="51" t="str">
        <f t="shared" si="39"/>
        <v xml:space="preserve"> </v>
      </c>
      <c r="AI672" s="64"/>
      <c r="AJ672" s="1"/>
      <c r="AK672" s="65">
        <v>0</v>
      </c>
      <c r="AL672" s="1"/>
      <c r="AM672" s="1"/>
      <c r="AN672" s="81"/>
      <c r="AO672" s="81"/>
    </row>
    <row r="673" spans="1:41" s="26" customFormat="1" hidden="1" x14ac:dyDescent="0.25">
      <c r="A673" s="22" t="s">
        <v>1588</v>
      </c>
      <c r="B673" s="2"/>
      <c r="C673" s="21">
        <v>15.88</v>
      </c>
      <c r="D673" s="23"/>
      <c r="E673" s="23"/>
      <c r="F673" s="23"/>
      <c r="G673" s="3" t="s">
        <v>1031</v>
      </c>
      <c r="H673" s="6"/>
      <c r="I673" s="6"/>
      <c r="J673" s="6"/>
      <c r="K673" s="21"/>
      <c r="L673" s="21">
        <v>0</v>
      </c>
      <c r="M673" s="6"/>
      <c r="N673" s="6"/>
      <c r="O673" s="6"/>
      <c r="P673" s="6"/>
      <c r="Q673" s="27"/>
      <c r="R673" s="27" t="s">
        <v>205</v>
      </c>
      <c r="S673" s="6"/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f t="shared" si="37"/>
        <v>0</v>
      </c>
      <c r="Z673" s="10"/>
      <c r="AA673" s="10"/>
      <c r="AB673" s="10"/>
      <c r="AC673" s="10"/>
      <c r="AD673" s="10"/>
      <c r="AE673" s="10"/>
      <c r="AF673" s="10"/>
      <c r="AG673" s="38">
        <f t="shared" si="38"/>
        <v>0</v>
      </c>
      <c r="AH673" s="51" t="str">
        <f t="shared" si="39"/>
        <v xml:space="preserve"> </v>
      </c>
      <c r="AI673" s="64"/>
      <c r="AJ673" s="1"/>
      <c r="AK673" s="65">
        <v>0</v>
      </c>
      <c r="AL673" s="1"/>
      <c r="AM673" s="1"/>
      <c r="AN673" s="81"/>
      <c r="AO673" s="81"/>
    </row>
    <row r="674" spans="1:41" s="26" customFormat="1" hidden="1" x14ac:dyDescent="0.25">
      <c r="A674" s="22" t="s">
        <v>1589</v>
      </c>
      <c r="B674" s="2"/>
      <c r="C674" s="21">
        <v>16</v>
      </c>
      <c r="D674" s="23"/>
      <c r="E674" s="23"/>
      <c r="F674" s="23"/>
      <c r="G674" s="3" t="s">
        <v>1031</v>
      </c>
      <c r="H674" s="4"/>
      <c r="I674" s="6"/>
      <c r="J674" s="4"/>
      <c r="K674" s="5"/>
      <c r="L674" s="5" t="s">
        <v>1512</v>
      </c>
      <c r="M674" s="4"/>
      <c r="N674" s="4"/>
      <c r="O674" s="4"/>
      <c r="P674" s="4"/>
      <c r="Q674" s="24"/>
      <c r="R674" s="27" t="s">
        <v>205</v>
      </c>
      <c r="S674" s="6"/>
      <c r="T674" s="1">
        <v>0</v>
      </c>
      <c r="U674" s="1"/>
      <c r="V674" s="1">
        <v>0</v>
      </c>
      <c r="W674" s="1">
        <v>0</v>
      </c>
      <c r="X674" s="1">
        <v>0</v>
      </c>
      <c r="Y674" s="1">
        <f t="shared" si="37"/>
        <v>0</v>
      </c>
      <c r="Z674" s="10"/>
      <c r="AA674" s="10"/>
      <c r="AB674" s="10"/>
      <c r="AC674" s="10"/>
      <c r="AD674" s="10"/>
      <c r="AE674" s="10"/>
      <c r="AF674" s="10"/>
      <c r="AG674" s="38">
        <f t="shared" si="38"/>
        <v>0</v>
      </c>
      <c r="AH674" s="51" t="str">
        <f t="shared" si="39"/>
        <v xml:space="preserve"> </v>
      </c>
      <c r="AI674" s="64"/>
      <c r="AJ674" s="1"/>
      <c r="AK674" s="65">
        <v>0</v>
      </c>
      <c r="AL674" s="1"/>
      <c r="AM674" s="1"/>
      <c r="AN674" s="81"/>
      <c r="AO674" s="81"/>
    </row>
    <row r="675" spans="1:41" s="26" customFormat="1" hidden="1" x14ac:dyDescent="0.25">
      <c r="A675" s="22" t="s">
        <v>1590</v>
      </c>
      <c r="B675" s="2"/>
      <c r="C675" s="21">
        <v>10</v>
      </c>
      <c r="D675" s="23"/>
      <c r="E675" s="23"/>
      <c r="F675" s="23"/>
      <c r="G675" s="3" t="s">
        <v>1008</v>
      </c>
      <c r="H675" s="4"/>
      <c r="I675" s="4"/>
      <c r="J675" s="4"/>
      <c r="K675" s="5"/>
      <c r="L675" s="5">
        <v>0</v>
      </c>
      <c r="M675" s="4"/>
      <c r="N675" s="4"/>
      <c r="O675" s="4"/>
      <c r="P675" s="4"/>
      <c r="Q675" s="24"/>
      <c r="R675" s="27" t="s">
        <v>205</v>
      </c>
      <c r="S675" s="4"/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f t="shared" si="37"/>
        <v>0</v>
      </c>
      <c r="Z675" s="10"/>
      <c r="AA675" s="10"/>
      <c r="AB675" s="10"/>
      <c r="AC675" s="10"/>
      <c r="AD675" s="10"/>
      <c r="AE675" s="10"/>
      <c r="AF675" s="10"/>
      <c r="AG675" s="38">
        <f t="shared" si="38"/>
        <v>0</v>
      </c>
      <c r="AH675" s="51" t="str">
        <f t="shared" si="39"/>
        <v xml:space="preserve"> </v>
      </c>
      <c r="AI675" s="64"/>
      <c r="AJ675" s="1"/>
      <c r="AK675" s="65">
        <v>0</v>
      </c>
      <c r="AL675" s="1"/>
      <c r="AM675" s="1"/>
      <c r="AN675" s="81"/>
      <c r="AO675" s="81"/>
    </row>
    <row r="676" spans="1:41" s="26" customFormat="1" hidden="1" x14ac:dyDescent="0.25">
      <c r="A676" s="22" t="s">
        <v>1591</v>
      </c>
      <c r="B676" s="2"/>
      <c r="C676" s="21">
        <v>1.5</v>
      </c>
      <c r="D676" s="23"/>
      <c r="E676" s="23"/>
      <c r="F676" s="23"/>
      <c r="G676" s="3" t="s">
        <v>1008</v>
      </c>
      <c r="H676" s="6"/>
      <c r="I676" s="6"/>
      <c r="J676" s="6"/>
      <c r="K676" s="21"/>
      <c r="L676" s="5" t="s">
        <v>1512</v>
      </c>
      <c r="M676" s="6"/>
      <c r="N676" s="6"/>
      <c r="O676" s="6"/>
      <c r="P676" s="6"/>
      <c r="Q676" s="27"/>
      <c r="R676" s="27" t="s">
        <v>205</v>
      </c>
      <c r="S676" s="6"/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f t="shared" si="37"/>
        <v>0</v>
      </c>
      <c r="Z676" s="10"/>
      <c r="AA676" s="10"/>
      <c r="AB676" s="10"/>
      <c r="AC676" s="10"/>
      <c r="AD676" s="10"/>
      <c r="AE676" s="10"/>
      <c r="AF676" s="10"/>
      <c r="AG676" s="38">
        <f t="shared" si="38"/>
        <v>0</v>
      </c>
      <c r="AH676" s="51" t="str">
        <f t="shared" si="39"/>
        <v xml:space="preserve"> </v>
      </c>
      <c r="AI676" s="64"/>
      <c r="AJ676" s="1"/>
      <c r="AK676" s="65">
        <v>0</v>
      </c>
      <c r="AL676" s="1"/>
      <c r="AM676" s="1"/>
      <c r="AN676" s="81"/>
      <c r="AO676" s="81"/>
    </row>
    <row r="677" spans="1:41" s="26" customFormat="1" hidden="1" x14ac:dyDescent="0.25">
      <c r="A677" s="22" t="s">
        <v>1592</v>
      </c>
      <c r="B677" s="2"/>
      <c r="C677" s="21">
        <v>2</v>
      </c>
      <c r="D677" s="23"/>
      <c r="E677" s="23"/>
      <c r="F677" s="23"/>
      <c r="G677" s="3" t="s">
        <v>1008</v>
      </c>
      <c r="H677" s="6"/>
      <c r="I677" s="6"/>
      <c r="J677" s="6"/>
      <c r="K677" s="21"/>
      <c r="L677" s="21" t="s">
        <v>1512</v>
      </c>
      <c r="M677" s="6"/>
      <c r="N677" s="6"/>
      <c r="O677" s="6"/>
      <c r="P677" s="6"/>
      <c r="Q677" s="27"/>
      <c r="R677" s="27" t="s">
        <v>205</v>
      </c>
      <c r="S677" s="6"/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f t="shared" si="37"/>
        <v>0</v>
      </c>
      <c r="Z677" s="10"/>
      <c r="AA677" s="10"/>
      <c r="AB677" s="10"/>
      <c r="AC677" s="10"/>
      <c r="AD677" s="10"/>
      <c r="AE677" s="10"/>
      <c r="AF677" s="10"/>
      <c r="AG677" s="38">
        <f t="shared" si="38"/>
        <v>0</v>
      </c>
      <c r="AH677" s="51" t="str">
        <f t="shared" si="39"/>
        <v xml:space="preserve"> </v>
      </c>
      <c r="AI677" s="64"/>
      <c r="AJ677" s="1"/>
      <c r="AK677" s="65">
        <v>0</v>
      </c>
      <c r="AL677" s="1"/>
      <c r="AM677" s="1"/>
      <c r="AN677" s="81"/>
      <c r="AO677" s="81"/>
    </row>
    <row r="678" spans="1:41" s="26" customFormat="1" hidden="1" x14ac:dyDescent="0.25">
      <c r="A678" s="22" t="s">
        <v>1593</v>
      </c>
      <c r="B678" s="2"/>
      <c r="C678" s="21">
        <v>2</v>
      </c>
      <c r="D678" s="23"/>
      <c r="E678" s="23"/>
      <c r="F678" s="23"/>
      <c r="G678" s="3" t="s">
        <v>1008</v>
      </c>
      <c r="H678" s="4"/>
      <c r="I678" s="6"/>
      <c r="J678" s="4"/>
      <c r="K678" s="5"/>
      <c r="L678" s="5" t="s">
        <v>1512</v>
      </c>
      <c r="M678" s="4"/>
      <c r="N678" s="4"/>
      <c r="O678" s="4"/>
      <c r="P678" s="4"/>
      <c r="Q678" s="24"/>
      <c r="R678" s="27" t="s">
        <v>205</v>
      </c>
      <c r="S678" s="6"/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f t="shared" si="37"/>
        <v>0</v>
      </c>
      <c r="Z678" s="10"/>
      <c r="AA678" s="10"/>
      <c r="AB678" s="10"/>
      <c r="AC678" s="10"/>
      <c r="AD678" s="10"/>
      <c r="AE678" s="10"/>
      <c r="AF678" s="10"/>
      <c r="AG678" s="38">
        <f t="shared" si="38"/>
        <v>0</v>
      </c>
      <c r="AH678" s="51" t="str">
        <f t="shared" si="39"/>
        <v xml:space="preserve"> </v>
      </c>
      <c r="AI678" s="64"/>
      <c r="AJ678" s="1"/>
      <c r="AK678" s="65">
        <v>0</v>
      </c>
      <c r="AL678" s="1"/>
      <c r="AM678" s="1"/>
      <c r="AN678" s="81"/>
      <c r="AO678" s="81"/>
    </row>
    <row r="679" spans="1:41" s="26" customFormat="1" hidden="1" x14ac:dyDescent="0.25">
      <c r="A679" s="22" t="s">
        <v>1594</v>
      </c>
      <c r="B679" s="2"/>
      <c r="C679" s="21">
        <v>2.5</v>
      </c>
      <c r="D679" s="23"/>
      <c r="E679" s="23"/>
      <c r="F679" s="23"/>
      <c r="G679" s="3" t="s">
        <v>1504</v>
      </c>
      <c r="H679" s="4"/>
      <c r="I679" s="4"/>
      <c r="J679" s="4"/>
      <c r="K679" s="5"/>
      <c r="L679" s="5" t="s">
        <v>1505</v>
      </c>
      <c r="M679" s="4"/>
      <c r="N679" s="4"/>
      <c r="O679" s="4"/>
      <c r="P679" s="4"/>
      <c r="Q679" s="24"/>
      <c r="R679" s="27" t="s">
        <v>205</v>
      </c>
      <c r="S679" s="4"/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f t="shared" si="37"/>
        <v>0</v>
      </c>
      <c r="Z679" s="10"/>
      <c r="AA679" s="10"/>
      <c r="AB679" s="10"/>
      <c r="AC679" s="10"/>
      <c r="AD679" s="10"/>
      <c r="AE679" s="10"/>
      <c r="AF679" s="10"/>
      <c r="AG679" s="38">
        <f t="shared" si="38"/>
        <v>0</v>
      </c>
      <c r="AH679" s="51" t="str">
        <f t="shared" si="39"/>
        <v xml:space="preserve"> </v>
      </c>
      <c r="AI679" s="64"/>
      <c r="AJ679" s="1"/>
      <c r="AK679" s="65">
        <v>0</v>
      </c>
      <c r="AL679" s="1"/>
      <c r="AM679" s="1"/>
      <c r="AN679" s="81"/>
      <c r="AO679" s="81"/>
    </row>
    <row r="680" spans="1:41" s="26" customFormat="1" hidden="1" x14ac:dyDescent="0.25">
      <c r="A680" s="22" t="s">
        <v>1595</v>
      </c>
      <c r="B680" s="2"/>
      <c r="C680" s="21">
        <v>3</v>
      </c>
      <c r="D680" s="23"/>
      <c r="E680" s="23"/>
      <c r="F680" s="23"/>
      <c r="G680" s="3" t="s">
        <v>1543</v>
      </c>
      <c r="H680" s="6"/>
      <c r="I680" s="6"/>
      <c r="J680" s="6"/>
      <c r="K680" s="21"/>
      <c r="L680" s="5">
        <v>0</v>
      </c>
      <c r="M680" s="6"/>
      <c r="N680" s="6"/>
      <c r="O680" s="6"/>
      <c r="P680" s="6"/>
      <c r="Q680" s="27"/>
      <c r="R680" s="27" t="s">
        <v>205</v>
      </c>
      <c r="S680" s="6"/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f t="shared" si="37"/>
        <v>0</v>
      </c>
      <c r="Z680" s="10"/>
      <c r="AA680" s="10"/>
      <c r="AB680" s="10"/>
      <c r="AC680" s="10"/>
      <c r="AD680" s="10"/>
      <c r="AE680" s="10"/>
      <c r="AF680" s="10"/>
      <c r="AG680" s="38">
        <f t="shared" si="38"/>
        <v>0</v>
      </c>
      <c r="AH680" s="51" t="str">
        <f t="shared" si="39"/>
        <v xml:space="preserve"> </v>
      </c>
      <c r="AI680" s="64"/>
      <c r="AJ680" s="1"/>
      <c r="AK680" s="65">
        <v>0</v>
      </c>
      <c r="AL680" s="1"/>
      <c r="AM680" s="1"/>
      <c r="AN680" s="81"/>
      <c r="AO680" s="81"/>
    </row>
    <row r="681" spans="1:41" s="26" customFormat="1" hidden="1" x14ac:dyDescent="0.25">
      <c r="A681" s="22" t="s">
        <v>1073</v>
      </c>
      <c r="B681" s="2"/>
      <c r="C681" s="21">
        <v>3</v>
      </c>
      <c r="D681" s="23"/>
      <c r="E681" s="23"/>
      <c r="F681" s="23"/>
      <c r="G681" s="3" t="s">
        <v>1543</v>
      </c>
      <c r="H681" s="6"/>
      <c r="I681" s="6"/>
      <c r="J681" s="6"/>
      <c r="K681" s="21"/>
      <c r="L681" s="5">
        <v>0</v>
      </c>
      <c r="M681" s="6"/>
      <c r="N681" s="6"/>
      <c r="O681" s="6"/>
      <c r="P681" s="6"/>
      <c r="Q681" s="27"/>
      <c r="R681" s="27" t="s">
        <v>205</v>
      </c>
      <c r="S681" s="6"/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f t="shared" si="37"/>
        <v>0</v>
      </c>
      <c r="Z681" s="10"/>
      <c r="AA681" s="10"/>
      <c r="AB681" s="10"/>
      <c r="AC681" s="10"/>
      <c r="AD681" s="10"/>
      <c r="AE681" s="10"/>
      <c r="AF681" s="10"/>
      <c r="AG681" s="38">
        <f t="shared" si="38"/>
        <v>0</v>
      </c>
      <c r="AH681" s="51" t="str">
        <f t="shared" si="39"/>
        <v xml:space="preserve"> </v>
      </c>
      <c r="AI681" s="64"/>
      <c r="AJ681" s="1"/>
      <c r="AK681" s="65">
        <v>0</v>
      </c>
      <c r="AL681" s="1"/>
      <c r="AM681" s="1"/>
      <c r="AN681" s="81"/>
      <c r="AO681" s="81"/>
    </row>
    <row r="682" spans="1:41" s="26" customFormat="1" hidden="1" x14ac:dyDescent="0.25">
      <c r="A682" s="22" t="s">
        <v>1596</v>
      </c>
      <c r="B682" s="2"/>
      <c r="C682" s="21">
        <v>3</v>
      </c>
      <c r="D682" s="23"/>
      <c r="E682" s="23"/>
      <c r="F682" s="23"/>
      <c r="G682" s="3" t="s">
        <v>1008</v>
      </c>
      <c r="H682" s="6"/>
      <c r="I682" s="6"/>
      <c r="J682" s="6"/>
      <c r="K682" s="21"/>
      <c r="L682" s="21" t="s">
        <v>1512</v>
      </c>
      <c r="M682" s="6"/>
      <c r="N682" s="6"/>
      <c r="O682" s="6"/>
      <c r="P682" s="6"/>
      <c r="Q682" s="27"/>
      <c r="R682" s="27" t="s">
        <v>205</v>
      </c>
      <c r="S682" s="6"/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f t="shared" si="37"/>
        <v>0</v>
      </c>
      <c r="Z682" s="10"/>
      <c r="AA682" s="10"/>
      <c r="AB682" s="10"/>
      <c r="AC682" s="10"/>
      <c r="AD682" s="10"/>
      <c r="AE682" s="10"/>
      <c r="AF682" s="10"/>
      <c r="AG682" s="38">
        <f t="shared" si="38"/>
        <v>0</v>
      </c>
      <c r="AH682" s="51" t="str">
        <f t="shared" si="39"/>
        <v xml:space="preserve"> </v>
      </c>
      <c r="AI682" s="64"/>
      <c r="AJ682" s="1"/>
      <c r="AK682" s="65">
        <v>0</v>
      </c>
      <c r="AL682" s="1"/>
      <c r="AM682" s="1"/>
      <c r="AN682" s="81"/>
      <c r="AO682" s="81"/>
    </row>
    <row r="683" spans="1:41" s="26" customFormat="1" hidden="1" x14ac:dyDescent="0.25">
      <c r="A683" s="22" t="s">
        <v>1597</v>
      </c>
      <c r="B683" s="2"/>
      <c r="C683" s="21">
        <v>3</v>
      </c>
      <c r="D683" s="23"/>
      <c r="E683" s="23"/>
      <c r="F683" s="23"/>
      <c r="G683" s="3" t="s">
        <v>1504</v>
      </c>
      <c r="H683" s="4"/>
      <c r="I683" s="6"/>
      <c r="J683" s="4"/>
      <c r="K683" s="5"/>
      <c r="L683" s="5">
        <v>0</v>
      </c>
      <c r="M683" s="4"/>
      <c r="N683" s="4"/>
      <c r="O683" s="4"/>
      <c r="P683" s="4"/>
      <c r="Q683" s="24"/>
      <c r="R683" s="27" t="s">
        <v>205</v>
      </c>
      <c r="S683" s="6"/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f t="shared" si="37"/>
        <v>0</v>
      </c>
      <c r="Z683" s="10"/>
      <c r="AA683" s="10"/>
      <c r="AB683" s="10"/>
      <c r="AC683" s="10"/>
      <c r="AD683" s="10"/>
      <c r="AE683" s="10"/>
      <c r="AF683" s="10"/>
      <c r="AG683" s="38">
        <f t="shared" si="38"/>
        <v>0</v>
      </c>
      <c r="AH683" s="51" t="str">
        <f t="shared" si="39"/>
        <v xml:space="preserve"> </v>
      </c>
      <c r="AI683" s="64"/>
      <c r="AJ683" s="1"/>
      <c r="AK683" s="65">
        <v>0</v>
      </c>
      <c r="AL683" s="1"/>
      <c r="AM683" s="1"/>
      <c r="AN683" s="81"/>
      <c r="AO683" s="81"/>
    </row>
    <row r="684" spans="1:41" s="26" customFormat="1" hidden="1" x14ac:dyDescent="0.25">
      <c r="A684" s="22" t="s">
        <v>1598</v>
      </c>
      <c r="B684" s="2"/>
      <c r="C684" s="21">
        <v>3</v>
      </c>
      <c r="D684" s="23"/>
      <c r="E684" s="23"/>
      <c r="F684" s="23"/>
      <c r="G684" s="3" t="s">
        <v>1504</v>
      </c>
      <c r="H684" s="6"/>
      <c r="I684" s="6"/>
      <c r="J684" s="6"/>
      <c r="K684" s="21"/>
      <c r="L684" s="21">
        <v>0</v>
      </c>
      <c r="M684" s="6"/>
      <c r="N684" s="6"/>
      <c r="O684" s="6"/>
      <c r="P684" s="6"/>
      <c r="Q684" s="27"/>
      <c r="R684" s="27" t="s">
        <v>205</v>
      </c>
      <c r="S684" s="6"/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f t="shared" si="37"/>
        <v>0</v>
      </c>
      <c r="Z684" s="10"/>
      <c r="AA684" s="10"/>
      <c r="AB684" s="10"/>
      <c r="AC684" s="10"/>
      <c r="AD684" s="10"/>
      <c r="AE684" s="10"/>
      <c r="AF684" s="10"/>
      <c r="AG684" s="38">
        <f t="shared" si="38"/>
        <v>0</v>
      </c>
      <c r="AH684" s="51" t="str">
        <f t="shared" si="39"/>
        <v xml:space="preserve"> </v>
      </c>
      <c r="AI684" s="64"/>
      <c r="AJ684" s="1"/>
      <c r="AK684" s="65">
        <v>0</v>
      </c>
      <c r="AL684" s="1"/>
      <c r="AM684" s="1"/>
      <c r="AN684" s="81"/>
      <c r="AO684" s="81"/>
    </row>
    <row r="685" spans="1:41" s="26" customFormat="1" hidden="1" x14ac:dyDescent="0.25">
      <c r="A685" s="22" t="s">
        <v>1599</v>
      </c>
      <c r="B685" s="2"/>
      <c r="C685" s="21">
        <v>4</v>
      </c>
      <c r="D685" s="23"/>
      <c r="E685" s="23"/>
      <c r="F685" s="23"/>
      <c r="G685" s="3" t="s">
        <v>1517</v>
      </c>
      <c r="H685" s="6"/>
      <c r="I685" s="6"/>
      <c r="J685" s="6"/>
      <c r="K685" s="21"/>
      <c r="L685" s="21" t="s">
        <v>1558</v>
      </c>
      <c r="M685" s="6"/>
      <c r="N685" s="6"/>
      <c r="O685" s="6"/>
      <c r="P685" s="6"/>
      <c r="Q685" s="27"/>
      <c r="R685" s="27" t="s">
        <v>205</v>
      </c>
      <c r="S685" s="6"/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f t="shared" si="37"/>
        <v>0</v>
      </c>
      <c r="Z685" s="10"/>
      <c r="AA685" s="10"/>
      <c r="AB685" s="10"/>
      <c r="AC685" s="10"/>
      <c r="AD685" s="10"/>
      <c r="AE685" s="10"/>
      <c r="AF685" s="10"/>
      <c r="AG685" s="38">
        <f t="shared" si="38"/>
        <v>0</v>
      </c>
      <c r="AH685" s="51" t="str">
        <f t="shared" si="39"/>
        <v xml:space="preserve"> </v>
      </c>
      <c r="AI685" s="64"/>
      <c r="AJ685" s="1"/>
      <c r="AK685" s="65">
        <v>0</v>
      </c>
      <c r="AL685" s="1"/>
      <c r="AM685" s="1"/>
      <c r="AN685" s="81"/>
      <c r="AO685" s="81"/>
    </row>
    <row r="686" spans="1:41" s="26" customFormat="1" hidden="1" x14ac:dyDescent="0.25">
      <c r="A686" s="22" t="s">
        <v>1600</v>
      </c>
      <c r="B686" s="2"/>
      <c r="C686" s="21">
        <v>4</v>
      </c>
      <c r="D686" s="23"/>
      <c r="E686" s="23"/>
      <c r="F686" s="23"/>
      <c r="G686" s="3" t="s">
        <v>1008</v>
      </c>
      <c r="H686" s="6"/>
      <c r="I686" s="6"/>
      <c r="J686" s="6"/>
      <c r="K686" s="21"/>
      <c r="L686" s="21" t="s">
        <v>1505</v>
      </c>
      <c r="M686" s="6"/>
      <c r="N686" s="6"/>
      <c r="O686" s="6"/>
      <c r="P686" s="6"/>
      <c r="Q686" s="27"/>
      <c r="R686" s="27" t="s">
        <v>205</v>
      </c>
      <c r="S686" s="6"/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f t="shared" si="37"/>
        <v>0</v>
      </c>
      <c r="Z686" s="10"/>
      <c r="AA686" s="10"/>
      <c r="AB686" s="10"/>
      <c r="AC686" s="10"/>
      <c r="AD686" s="10"/>
      <c r="AE686" s="10"/>
      <c r="AF686" s="10"/>
      <c r="AG686" s="38">
        <f t="shared" si="38"/>
        <v>0</v>
      </c>
      <c r="AH686" s="51" t="str">
        <f t="shared" si="39"/>
        <v xml:space="preserve"> </v>
      </c>
      <c r="AI686" s="64"/>
      <c r="AJ686" s="1"/>
      <c r="AK686" s="65">
        <v>0</v>
      </c>
      <c r="AL686" s="1"/>
      <c r="AM686" s="1"/>
      <c r="AN686" s="81"/>
      <c r="AO686" s="81"/>
    </row>
    <row r="687" spans="1:41" s="26" customFormat="1" hidden="1" x14ac:dyDescent="0.25">
      <c r="A687" s="22" t="s">
        <v>1601</v>
      </c>
      <c r="B687" s="2"/>
      <c r="C687" s="21">
        <v>4</v>
      </c>
      <c r="D687" s="23"/>
      <c r="E687" s="23"/>
      <c r="F687" s="23"/>
      <c r="G687" s="3" t="s">
        <v>1008</v>
      </c>
      <c r="H687" s="4"/>
      <c r="I687" s="4"/>
      <c r="J687" s="4"/>
      <c r="K687" s="5"/>
      <c r="L687" s="5" t="s">
        <v>1505</v>
      </c>
      <c r="M687" s="4"/>
      <c r="N687" s="4"/>
      <c r="O687" s="4"/>
      <c r="P687" s="4"/>
      <c r="Q687" s="24"/>
      <c r="R687" s="27" t="s">
        <v>205</v>
      </c>
      <c r="S687" s="4"/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f t="shared" si="37"/>
        <v>0</v>
      </c>
      <c r="Z687" s="10"/>
      <c r="AA687" s="10"/>
      <c r="AB687" s="10"/>
      <c r="AC687" s="10"/>
      <c r="AD687" s="10"/>
      <c r="AE687" s="10"/>
      <c r="AF687" s="10"/>
      <c r="AG687" s="38">
        <f t="shared" si="38"/>
        <v>0</v>
      </c>
      <c r="AH687" s="51" t="str">
        <f t="shared" si="39"/>
        <v xml:space="preserve"> </v>
      </c>
      <c r="AI687" s="64"/>
      <c r="AJ687" s="1"/>
      <c r="AK687" s="65">
        <v>0</v>
      </c>
      <c r="AL687" s="1"/>
      <c r="AM687" s="1"/>
      <c r="AN687" s="81"/>
      <c r="AO687" s="81"/>
    </row>
    <row r="688" spans="1:41" s="26" customFormat="1" hidden="1" x14ac:dyDescent="0.25">
      <c r="A688" s="22" t="s">
        <v>1602</v>
      </c>
      <c r="B688" s="2"/>
      <c r="C688" s="21">
        <v>4</v>
      </c>
      <c r="D688" s="23"/>
      <c r="E688" s="23"/>
      <c r="F688" s="23"/>
      <c r="G688" s="3" t="s">
        <v>1008</v>
      </c>
      <c r="H688" s="4"/>
      <c r="I688" s="4"/>
      <c r="J688" s="4"/>
      <c r="K688" s="5"/>
      <c r="L688" s="5" t="s">
        <v>1505</v>
      </c>
      <c r="M688" s="4"/>
      <c r="N688" s="4"/>
      <c r="O688" s="4"/>
      <c r="P688" s="4"/>
      <c r="Q688" s="24"/>
      <c r="R688" s="27" t="s">
        <v>205</v>
      </c>
      <c r="S688" s="4"/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f t="shared" si="37"/>
        <v>0</v>
      </c>
      <c r="Z688" s="10"/>
      <c r="AA688" s="10"/>
      <c r="AB688" s="10"/>
      <c r="AC688" s="10"/>
      <c r="AD688" s="10"/>
      <c r="AE688" s="10"/>
      <c r="AF688" s="10"/>
      <c r="AG688" s="38">
        <f t="shared" si="38"/>
        <v>0</v>
      </c>
      <c r="AH688" s="51" t="str">
        <f t="shared" si="39"/>
        <v xml:space="preserve"> </v>
      </c>
      <c r="AI688" s="64"/>
      <c r="AJ688" s="1"/>
      <c r="AK688" s="65">
        <v>0</v>
      </c>
      <c r="AL688" s="1"/>
      <c r="AM688" s="1"/>
      <c r="AN688" s="81"/>
      <c r="AO688" s="81"/>
    </row>
    <row r="689" spans="1:41" s="26" customFormat="1" hidden="1" x14ac:dyDescent="0.25">
      <c r="A689" s="22" t="s">
        <v>1603</v>
      </c>
      <c r="B689" s="2"/>
      <c r="C689" s="21">
        <v>4</v>
      </c>
      <c r="D689" s="23"/>
      <c r="E689" s="23"/>
      <c r="F689" s="23"/>
      <c r="G689" s="3" t="s">
        <v>1008</v>
      </c>
      <c r="H689" s="6"/>
      <c r="I689" s="6"/>
      <c r="J689" s="6"/>
      <c r="K689" s="21"/>
      <c r="L689" s="21" t="s">
        <v>1505</v>
      </c>
      <c r="M689" s="6"/>
      <c r="N689" s="6"/>
      <c r="O689" s="6"/>
      <c r="P689" s="6"/>
      <c r="Q689" s="27"/>
      <c r="R689" s="27" t="s">
        <v>205</v>
      </c>
      <c r="S689" s="6"/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f t="shared" si="37"/>
        <v>0</v>
      </c>
      <c r="Z689" s="10"/>
      <c r="AA689" s="10"/>
      <c r="AB689" s="10"/>
      <c r="AC689" s="10"/>
      <c r="AD689" s="10"/>
      <c r="AE689" s="10"/>
      <c r="AF689" s="10"/>
      <c r="AG689" s="38">
        <f t="shared" si="38"/>
        <v>0</v>
      </c>
      <c r="AH689" s="51" t="str">
        <f t="shared" si="39"/>
        <v xml:space="preserve"> </v>
      </c>
      <c r="AI689" s="64"/>
      <c r="AJ689" s="1"/>
      <c r="AK689" s="65">
        <v>0</v>
      </c>
      <c r="AL689" s="1"/>
      <c r="AM689" s="1"/>
      <c r="AN689" s="81"/>
      <c r="AO689" s="81"/>
    </row>
    <row r="690" spans="1:41" s="26" customFormat="1" hidden="1" x14ac:dyDescent="0.25">
      <c r="A690" s="22" t="s">
        <v>1604</v>
      </c>
      <c r="B690" s="2"/>
      <c r="C690" s="21">
        <v>4.75</v>
      </c>
      <c r="D690" s="23"/>
      <c r="E690" s="23"/>
      <c r="F690" s="23"/>
      <c r="G690" s="3" t="s">
        <v>1008</v>
      </c>
      <c r="H690" s="6"/>
      <c r="I690" s="6"/>
      <c r="J690" s="6"/>
      <c r="K690" s="21"/>
      <c r="L690" s="21">
        <v>0</v>
      </c>
      <c r="M690" s="4"/>
      <c r="N690" s="6"/>
      <c r="O690" s="6"/>
      <c r="P690" s="6"/>
      <c r="Q690" s="27"/>
      <c r="R690" s="27" t="s">
        <v>205</v>
      </c>
      <c r="S690" s="6"/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f t="shared" si="37"/>
        <v>0</v>
      </c>
      <c r="Z690" s="10"/>
      <c r="AA690" s="10"/>
      <c r="AB690" s="10"/>
      <c r="AC690" s="10"/>
      <c r="AD690" s="10"/>
      <c r="AE690" s="10"/>
      <c r="AF690" s="10"/>
      <c r="AG690" s="38">
        <f t="shared" si="38"/>
        <v>0</v>
      </c>
      <c r="AH690" s="51" t="str">
        <f t="shared" si="39"/>
        <v xml:space="preserve"> </v>
      </c>
      <c r="AI690" s="64"/>
      <c r="AJ690" s="1"/>
      <c r="AK690" s="65">
        <v>0</v>
      </c>
      <c r="AL690" s="1"/>
      <c r="AM690" s="1"/>
      <c r="AN690" s="81"/>
      <c r="AO690" s="81"/>
    </row>
    <row r="691" spans="1:41" s="26" customFormat="1" hidden="1" x14ac:dyDescent="0.25">
      <c r="A691" s="22" t="s">
        <v>1605</v>
      </c>
      <c r="B691" s="2"/>
      <c r="C691" s="21">
        <v>4.75</v>
      </c>
      <c r="D691" s="23"/>
      <c r="E691" s="23"/>
      <c r="F691" s="23"/>
      <c r="G691" s="3" t="s">
        <v>1008</v>
      </c>
      <c r="H691" s="4"/>
      <c r="I691" s="4"/>
      <c r="J691" s="4"/>
      <c r="K691" s="5"/>
      <c r="L691" s="5">
        <v>0</v>
      </c>
      <c r="M691" s="4"/>
      <c r="N691" s="4"/>
      <c r="O691" s="4"/>
      <c r="P691" s="4"/>
      <c r="Q691" s="24"/>
      <c r="R691" s="27" t="s">
        <v>205</v>
      </c>
      <c r="S691" s="4"/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f t="shared" si="37"/>
        <v>0</v>
      </c>
      <c r="Z691" s="10"/>
      <c r="AA691" s="10"/>
      <c r="AB691" s="10"/>
      <c r="AC691" s="10"/>
      <c r="AD691" s="10"/>
      <c r="AE691" s="10"/>
      <c r="AF691" s="10"/>
      <c r="AG691" s="38">
        <f t="shared" si="38"/>
        <v>0</v>
      </c>
      <c r="AH691" s="51" t="str">
        <f t="shared" si="39"/>
        <v xml:space="preserve"> </v>
      </c>
      <c r="AI691" s="64"/>
      <c r="AJ691" s="1"/>
      <c r="AK691" s="65">
        <v>0</v>
      </c>
      <c r="AL691" s="1"/>
      <c r="AM691" s="1"/>
      <c r="AN691" s="81"/>
      <c r="AO691" s="81"/>
    </row>
    <row r="692" spans="1:41" s="26" customFormat="1" hidden="1" x14ac:dyDescent="0.25">
      <c r="A692" s="22" t="s">
        <v>1606</v>
      </c>
      <c r="B692" s="2"/>
      <c r="C692" s="21">
        <v>4.75</v>
      </c>
      <c r="D692" s="23"/>
      <c r="E692" s="23"/>
      <c r="F692" s="23"/>
      <c r="G692" s="3" t="s">
        <v>1008</v>
      </c>
      <c r="H692" s="6"/>
      <c r="I692" s="6"/>
      <c r="J692" s="6"/>
      <c r="K692" s="21"/>
      <c r="L692" s="21">
        <v>0</v>
      </c>
      <c r="M692" s="6"/>
      <c r="N692" s="6"/>
      <c r="O692" s="6"/>
      <c r="P692" s="6"/>
      <c r="Q692" s="27"/>
      <c r="R692" s="27" t="s">
        <v>205</v>
      </c>
      <c r="S692" s="6"/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f t="shared" si="37"/>
        <v>0</v>
      </c>
      <c r="Z692" s="10"/>
      <c r="AA692" s="10"/>
      <c r="AB692" s="10"/>
      <c r="AC692" s="10"/>
      <c r="AD692" s="10"/>
      <c r="AE692" s="10"/>
      <c r="AF692" s="10"/>
      <c r="AG692" s="38">
        <f t="shared" si="38"/>
        <v>0</v>
      </c>
      <c r="AH692" s="51" t="str">
        <f t="shared" si="39"/>
        <v xml:space="preserve"> </v>
      </c>
      <c r="AI692" s="64"/>
      <c r="AJ692" s="1"/>
      <c r="AK692" s="65">
        <v>0</v>
      </c>
      <c r="AL692" s="1"/>
      <c r="AM692" s="1"/>
      <c r="AN692" s="81"/>
      <c r="AO692" s="81"/>
    </row>
    <row r="693" spans="1:41" s="26" customFormat="1" hidden="1" x14ac:dyDescent="0.25">
      <c r="A693" s="22" t="s">
        <v>1607</v>
      </c>
      <c r="B693" s="2"/>
      <c r="C693" s="21">
        <v>4.75</v>
      </c>
      <c r="D693" s="23"/>
      <c r="E693" s="23"/>
      <c r="F693" s="23"/>
      <c r="G693" s="3" t="s">
        <v>1528</v>
      </c>
      <c r="H693" s="6"/>
      <c r="I693" s="6"/>
      <c r="J693" s="6"/>
      <c r="K693" s="21"/>
      <c r="L693" s="21">
        <v>0</v>
      </c>
      <c r="M693" s="6"/>
      <c r="N693" s="6"/>
      <c r="O693" s="6"/>
      <c r="P693" s="6"/>
      <c r="Q693" s="27"/>
      <c r="R693" s="27" t="s">
        <v>205</v>
      </c>
      <c r="S693" s="6"/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f t="shared" si="37"/>
        <v>0</v>
      </c>
      <c r="Z693" s="10"/>
      <c r="AA693" s="10"/>
      <c r="AB693" s="10"/>
      <c r="AC693" s="10"/>
      <c r="AD693" s="10"/>
      <c r="AE693" s="10"/>
      <c r="AF693" s="10"/>
      <c r="AG693" s="38">
        <f t="shared" si="38"/>
        <v>0</v>
      </c>
      <c r="AH693" s="51" t="str">
        <f t="shared" si="39"/>
        <v xml:space="preserve"> </v>
      </c>
      <c r="AI693" s="64"/>
      <c r="AJ693" s="1"/>
      <c r="AK693" s="65">
        <v>0</v>
      </c>
      <c r="AL693" s="1"/>
      <c r="AM693" s="1"/>
      <c r="AN693" s="81"/>
      <c r="AO693" s="81"/>
    </row>
    <row r="694" spans="1:41" s="26" customFormat="1" hidden="1" x14ac:dyDescent="0.25">
      <c r="A694" s="22" t="s">
        <v>1608</v>
      </c>
      <c r="B694" s="2"/>
      <c r="C694" s="21">
        <v>4.75</v>
      </c>
      <c r="D694" s="23"/>
      <c r="E694" s="23"/>
      <c r="F694" s="23"/>
      <c r="G694" s="3" t="s">
        <v>1504</v>
      </c>
      <c r="H694" s="6"/>
      <c r="I694" s="6"/>
      <c r="J694" s="6"/>
      <c r="K694" s="21"/>
      <c r="L694" s="21" t="s">
        <v>1505</v>
      </c>
      <c r="M694" s="6"/>
      <c r="N694" s="6"/>
      <c r="O694" s="6"/>
      <c r="P694" s="6"/>
      <c r="Q694" s="27"/>
      <c r="R694" s="27" t="s">
        <v>205</v>
      </c>
      <c r="S694" s="6"/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f t="shared" si="37"/>
        <v>0</v>
      </c>
      <c r="Z694" s="10"/>
      <c r="AA694" s="10"/>
      <c r="AB694" s="10"/>
      <c r="AC694" s="10"/>
      <c r="AD694" s="10"/>
      <c r="AE694" s="10"/>
      <c r="AF694" s="10"/>
      <c r="AG694" s="38">
        <f t="shared" si="38"/>
        <v>0</v>
      </c>
      <c r="AH694" s="51" t="str">
        <f t="shared" si="39"/>
        <v xml:space="preserve"> </v>
      </c>
      <c r="AI694" s="64"/>
      <c r="AJ694" s="1"/>
      <c r="AK694" s="65">
        <v>0</v>
      </c>
      <c r="AL694" s="1"/>
      <c r="AM694" s="1"/>
      <c r="AN694" s="81"/>
      <c r="AO694" s="81"/>
    </row>
    <row r="695" spans="1:41" s="26" customFormat="1" hidden="1" x14ac:dyDescent="0.25">
      <c r="A695" s="22" t="s">
        <v>1609</v>
      </c>
      <c r="B695" s="2"/>
      <c r="C695" s="21">
        <v>4.75</v>
      </c>
      <c r="D695" s="23"/>
      <c r="E695" s="23"/>
      <c r="F695" s="23"/>
      <c r="G695" s="3" t="s">
        <v>1504</v>
      </c>
      <c r="H695" s="6"/>
      <c r="I695" s="6"/>
      <c r="J695" s="6"/>
      <c r="K695" s="21"/>
      <c r="L695" s="21" t="s">
        <v>1505</v>
      </c>
      <c r="M695" s="6"/>
      <c r="N695" s="6"/>
      <c r="O695" s="6"/>
      <c r="P695" s="6"/>
      <c r="Q695" s="27"/>
      <c r="R695" s="27" t="s">
        <v>205</v>
      </c>
      <c r="S695" s="6"/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f t="shared" si="37"/>
        <v>0</v>
      </c>
      <c r="Z695" s="10"/>
      <c r="AA695" s="10"/>
      <c r="AB695" s="10"/>
      <c r="AC695" s="10"/>
      <c r="AD695" s="10"/>
      <c r="AE695" s="10"/>
      <c r="AF695" s="10"/>
      <c r="AG695" s="38">
        <f t="shared" si="38"/>
        <v>0</v>
      </c>
      <c r="AH695" s="51" t="str">
        <f t="shared" si="39"/>
        <v xml:space="preserve"> </v>
      </c>
      <c r="AI695" s="64"/>
      <c r="AJ695" s="1"/>
      <c r="AK695" s="65">
        <v>0</v>
      </c>
      <c r="AL695" s="1"/>
      <c r="AM695" s="1"/>
      <c r="AN695" s="81"/>
      <c r="AO695" s="81"/>
    </row>
    <row r="696" spans="1:41" s="26" customFormat="1" hidden="1" x14ac:dyDescent="0.25">
      <c r="A696" s="22" t="s">
        <v>1610</v>
      </c>
      <c r="B696" s="2"/>
      <c r="C696" s="21">
        <v>4.75</v>
      </c>
      <c r="D696" s="23"/>
      <c r="E696" s="23"/>
      <c r="F696" s="23"/>
      <c r="G696" s="3" t="s">
        <v>1504</v>
      </c>
      <c r="H696" s="6"/>
      <c r="I696" s="6"/>
      <c r="J696" s="6"/>
      <c r="K696" s="21"/>
      <c r="L696" s="21" t="s">
        <v>1505</v>
      </c>
      <c r="M696" s="6"/>
      <c r="N696" s="6"/>
      <c r="O696" s="6"/>
      <c r="P696" s="6"/>
      <c r="Q696" s="27"/>
      <c r="R696" s="27" t="s">
        <v>205</v>
      </c>
      <c r="S696" s="6"/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f t="shared" si="37"/>
        <v>0</v>
      </c>
      <c r="Z696" s="10"/>
      <c r="AA696" s="10"/>
      <c r="AB696" s="10"/>
      <c r="AC696" s="10"/>
      <c r="AD696" s="10"/>
      <c r="AE696" s="10"/>
      <c r="AF696" s="10"/>
      <c r="AG696" s="38">
        <f t="shared" si="38"/>
        <v>0</v>
      </c>
      <c r="AH696" s="51" t="str">
        <f t="shared" si="39"/>
        <v xml:space="preserve"> </v>
      </c>
      <c r="AI696" s="64"/>
      <c r="AJ696" s="1"/>
      <c r="AK696" s="65">
        <v>0</v>
      </c>
      <c r="AL696" s="1"/>
      <c r="AM696" s="1"/>
      <c r="AN696" s="81"/>
      <c r="AO696" s="81"/>
    </row>
    <row r="697" spans="1:41" s="26" customFormat="1" hidden="1" x14ac:dyDescent="0.25">
      <c r="A697" s="22" t="s">
        <v>1256</v>
      </c>
      <c r="B697" s="2"/>
      <c r="C697" s="21">
        <v>5</v>
      </c>
      <c r="D697" s="23"/>
      <c r="E697" s="23"/>
      <c r="F697" s="23"/>
      <c r="G697" s="3" t="s">
        <v>1611</v>
      </c>
      <c r="H697" s="6"/>
      <c r="I697" s="6"/>
      <c r="J697" s="6"/>
      <c r="K697" s="21"/>
      <c r="L697" s="21" t="s">
        <v>1505</v>
      </c>
      <c r="M697" s="6"/>
      <c r="N697" s="6"/>
      <c r="O697" s="6"/>
      <c r="P697" s="6"/>
      <c r="Q697" s="27"/>
      <c r="R697" s="27" t="s">
        <v>205</v>
      </c>
      <c r="S697" s="6"/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f t="shared" si="37"/>
        <v>0</v>
      </c>
      <c r="Z697" s="10"/>
      <c r="AA697" s="10"/>
      <c r="AB697" s="10"/>
      <c r="AC697" s="10"/>
      <c r="AD697" s="10"/>
      <c r="AE697" s="10"/>
      <c r="AF697" s="10"/>
      <c r="AG697" s="38">
        <f t="shared" si="38"/>
        <v>0</v>
      </c>
      <c r="AH697" s="51" t="str">
        <f t="shared" si="39"/>
        <v xml:space="preserve"> </v>
      </c>
      <c r="AI697" s="64"/>
      <c r="AJ697" s="1"/>
      <c r="AK697" s="65">
        <v>0</v>
      </c>
      <c r="AL697" s="1"/>
      <c r="AM697" s="1"/>
      <c r="AN697" s="81"/>
      <c r="AO697" s="81"/>
    </row>
    <row r="698" spans="1:41" s="26" customFormat="1" hidden="1" x14ac:dyDescent="0.25">
      <c r="A698" s="22" t="s">
        <v>1612</v>
      </c>
      <c r="B698" s="2"/>
      <c r="C698" s="21">
        <v>5.75</v>
      </c>
      <c r="D698" s="23"/>
      <c r="E698" s="23"/>
      <c r="F698" s="23"/>
      <c r="G698" s="3" t="s">
        <v>1535</v>
      </c>
      <c r="H698" s="4"/>
      <c r="I698" s="4"/>
      <c r="J698" s="4"/>
      <c r="K698" s="5"/>
      <c r="L698" s="5">
        <v>0</v>
      </c>
      <c r="M698" s="4"/>
      <c r="N698" s="4"/>
      <c r="O698" s="4"/>
      <c r="P698" s="4"/>
      <c r="Q698" s="24"/>
      <c r="R698" s="27" t="s">
        <v>205</v>
      </c>
      <c r="S698" s="4"/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f t="shared" si="37"/>
        <v>0</v>
      </c>
      <c r="Z698" s="10"/>
      <c r="AA698" s="10"/>
      <c r="AB698" s="10"/>
      <c r="AC698" s="10"/>
      <c r="AD698" s="10"/>
      <c r="AE698" s="10"/>
      <c r="AF698" s="10"/>
      <c r="AG698" s="38">
        <f t="shared" si="38"/>
        <v>0</v>
      </c>
      <c r="AH698" s="51" t="str">
        <f t="shared" si="39"/>
        <v xml:space="preserve"> </v>
      </c>
      <c r="AI698" s="64"/>
      <c r="AJ698" s="1"/>
      <c r="AK698" s="65">
        <v>0</v>
      </c>
      <c r="AL698" s="1"/>
      <c r="AM698" s="1"/>
      <c r="AN698" s="81"/>
      <c r="AO698" s="81"/>
    </row>
    <row r="699" spans="1:41" s="26" customFormat="1" hidden="1" x14ac:dyDescent="0.25">
      <c r="A699" s="22" t="s">
        <v>1613</v>
      </c>
      <c r="B699" s="2"/>
      <c r="C699" s="21">
        <v>6</v>
      </c>
      <c r="D699" s="23"/>
      <c r="E699" s="23"/>
      <c r="F699" s="23"/>
      <c r="G699" s="3" t="s">
        <v>1611</v>
      </c>
      <c r="H699" s="4"/>
      <c r="I699" s="6"/>
      <c r="J699" s="4"/>
      <c r="K699" s="5"/>
      <c r="L699" s="5">
        <v>0</v>
      </c>
      <c r="M699" s="4"/>
      <c r="N699" s="4"/>
      <c r="O699" s="4"/>
      <c r="P699" s="4"/>
      <c r="Q699" s="24"/>
      <c r="R699" s="27" t="s">
        <v>205</v>
      </c>
      <c r="S699" s="6"/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f t="shared" si="37"/>
        <v>0</v>
      </c>
      <c r="Z699" s="10"/>
      <c r="AA699" s="10"/>
      <c r="AB699" s="10"/>
      <c r="AC699" s="10"/>
      <c r="AD699" s="10"/>
      <c r="AE699" s="10"/>
      <c r="AF699" s="10"/>
      <c r="AG699" s="38">
        <f t="shared" si="38"/>
        <v>0</v>
      </c>
      <c r="AH699" s="51" t="str">
        <f t="shared" si="39"/>
        <v xml:space="preserve"> </v>
      </c>
      <c r="AI699" s="64"/>
      <c r="AJ699" s="1"/>
      <c r="AK699" s="65">
        <v>0</v>
      </c>
      <c r="AL699" s="1"/>
      <c r="AM699" s="1"/>
      <c r="AN699" s="81"/>
      <c r="AO699" s="81"/>
    </row>
    <row r="700" spans="1:41" s="26" customFormat="1" hidden="1" x14ac:dyDescent="0.25">
      <c r="A700" s="22" t="s">
        <v>1614</v>
      </c>
      <c r="B700" s="2"/>
      <c r="C700" s="21">
        <v>6</v>
      </c>
      <c r="D700" s="23"/>
      <c r="E700" s="23"/>
      <c r="F700" s="23"/>
      <c r="G700" s="3" t="s">
        <v>1008</v>
      </c>
      <c r="H700" s="6"/>
      <c r="I700" s="6"/>
      <c r="J700" s="6"/>
      <c r="K700" s="21"/>
      <c r="L700" s="21">
        <v>0</v>
      </c>
      <c r="M700" s="6"/>
      <c r="N700" s="6"/>
      <c r="O700" s="6"/>
      <c r="P700" s="6"/>
      <c r="Q700" s="27"/>
      <c r="R700" s="27" t="s">
        <v>205</v>
      </c>
      <c r="S700" s="6"/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f t="shared" si="37"/>
        <v>0</v>
      </c>
      <c r="Z700" s="10"/>
      <c r="AA700" s="10"/>
      <c r="AB700" s="10"/>
      <c r="AC700" s="10"/>
      <c r="AD700" s="10"/>
      <c r="AE700" s="10"/>
      <c r="AF700" s="10"/>
      <c r="AG700" s="38">
        <f t="shared" si="38"/>
        <v>0</v>
      </c>
      <c r="AH700" s="51" t="str">
        <f t="shared" si="39"/>
        <v xml:space="preserve"> </v>
      </c>
      <c r="AI700" s="64"/>
      <c r="AJ700" s="1"/>
      <c r="AK700" s="65">
        <v>0</v>
      </c>
      <c r="AL700" s="1"/>
      <c r="AM700" s="1"/>
      <c r="AN700" s="81"/>
      <c r="AO700" s="81"/>
    </row>
    <row r="701" spans="1:41" s="26" customFormat="1" hidden="1" x14ac:dyDescent="0.25">
      <c r="A701" s="22" t="s">
        <v>1615</v>
      </c>
      <c r="B701" s="2"/>
      <c r="C701" s="21">
        <v>6</v>
      </c>
      <c r="D701" s="23"/>
      <c r="E701" s="23"/>
      <c r="F701" s="23"/>
      <c r="G701" s="3" t="s">
        <v>1008</v>
      </c>
      <c r="H701" s="6"/>
      <c r="I701" s="6"/>
      <c r="J701" s="6"/>
      <c r="K701" s="21"/>
      <c r="L701" s="21">
        <v>0</v>
      </c>
      <c r="M701" s="6"/>
      <c r="N701" s="6"/>
      <c r="O701" s="6"/>
      <c r="P701" s="6"/>
      <c r="Q701" s="27"/>
      <c r="R701" s="27" t="s">
        <v>205</v>
      </c>
      <c r="S701" s="6"/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f t="shared" si="37"/>
        <v>0</v>
      </c>
      <c r="Z701" s="10"/>
      <c r="AA701" s="10"/>
      <c r="AB701" s="10"/>
      <c r="AC701" s="10"/>
      <c r="AD701" s="10"/>
      <c r="AE701" s="10"/>
      <c r="AF701" s="10"/>
      <c r="AG701" s="38">
        <f t="shared" si="38"/>
        <v>0</v>
      </c>
      <c r="AH701" s="51" t="str">
        <f t="shared" si="39"/>
        <v xml:space="preserve"> </v>
      </c>
      <c r="AI701" s="64"/>
      <c r="AJ701" s="1"/>
      <c r="AK701" s="65">
        <v>0</v>
      </c>
      <c r="AL701" s="1"/>
      <c r="AM701" s="1"/>
      <c r="AN701" s="81"/>
      <c r="AO701" s="81"/>
    </row>
    <row r="702" spans="1:41" s="26" customFormat="1" hidden="1" x14ac:dyDescent="0.25">
      <c r="A702" s="22" t="s">
        <v>1616</v>
      </c>
      <c r="B702" s="2"/>
      <c r="C702" s="21">
        <v>6.3</v>
      </c>
      <c r="D702" s="23"/>
      <c r="E702" s="23"/>
      <c r="F702" s="23"/>
      <c r="G702" s="3" t="s">
        <v>1008</v>
      </c>
      <c r="H702" s="4"/>
      <c r="I702" s="4"/>
      <c r="J702" s="4"/>
      <c r="K702" s="5"/>
      <c r="L702" s="5" t="s">
        <v>1505</v>
      </c>
      <c r="M702" s="4"/>
      <c r="N702" s="4"/>
      <c r="O702" s="4"/>
      <c r="P702" s="4"/>
      <c r="Q702" s="24"/>
      <c r="R702" s="27" t="s">
        <v>205</v>
      </c>
      <c r="S702" s="4"/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f t="shared" si="37"/>
        <v>0</v>
      </c>
      <c r="Z702" s="10"/>
      <c r="AA702" s="10"/>
      <c r="AB702" s="10"/>
      <c r="AC702" s="10"/>
      <c r="AD702" s="10"/>
      <c r="AE702" s="10"/>
      <c r="AF702" s="10"/>
      <c r="AG702" s="38">
        <f t="shared" si="38"/>
        <v>0</v>
      </c>
      <c r="AH702" s="51" t="str">
        <f t="shared" si="39"/>
        <v xml:space="preserve"> </v>
      </c>
      <c r="AI702" s="64"/>
      <c r="AJ702" s="1"/>
      <c r="AK702" s="65">
        <v>0</v>
      </c>
      <c r="AL702" s="1"/>
      <c r="AM702" s="1"/>
      <c r="AN702" s="81"/>
      <c r="AO702" s="81"/>
    </row>
    <row r="703" spans="1:41" s="26" customFormat="1" hidden="1" x14ac:dyDescent="0.25">
      <c r="A703" s="22" t="s">
        <v>1617</v>
      </c>
      <c r="B703" s="2"/>
      <c r="C703" s="21">
        <v>8</v>
      </c>
      <c r="D703" s="23"/>
      <c r="E703" s="23"/>
      <c r="F703" s="23"/>
      <c r="G703" s="3" t="s">
        <v>1008</v>
      </c>
      <c r="H703" s="6"/>
      <c r="I703" s="6"/>
      <c r="J703" s="6"/>
      <c r="K703" s="21"/>
      <c r="L703" s="21">
        <v>0</v>
      </c>
      <c r="M703" s="6"/>
      <c r="N703" s="6"/>
      <c r="O703" s="6"/>
      <c r="P703" s="6"/>
      <c r="Q703" s="27"/>
      <c r="R703" s="27" t="s">
        <v>205</v>
      </c>
      <c r="S703" s="6"/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f t="shared" si="37"/>
        <v>0</v>
      </c>
      <c r="Z703" s="10"/>
      <c r="AA703" s="10"/>
      <c r="AB703" s="10"/>
      <c r="AC703" s="10"/>
      <c r="AD703" s="10"/>
      <c r="AE703" s="10"/>
      <c r="AF703" s="10"/>
      <c r="AG703" s="38">
        <f t="shared" si="38"/>
        <v>0</v>
      </c>
      <c r="AH703" s="51" t="str">
        <f t="shared" si="39"/>
        <v xml:space="preserve"> </v>
      </c>
      <c r="AI703" s="64"/>
      <c r="AJ703" s="1"/>
      <c r="AK703" s="65">
        <v>0</v>
      </c>
      <c r="AL703" s="1"/>
      <c r="AM703" s="1"/>
      <c r="AN703" s="81"/>
      <c r="AO703" s="81"/>
    </row>
    <row r="704" spans="1:41" s="26" customFormat="1" hidden="1" x14ac:dyDescent="0.25">
      <c r="A704" s="22" t="s">
        <v>1279</v>
      </c>
      <c r="B704" s="2"/>
      <c r="C704" s="21">
        <v>9.5</v>
      </c>
      <c r="D704" s="23"/>
      <c r="E704" s="23"/>
      <c r="F704" s="23"/>
      <c r="G704" s="3" t="s">
        <v>1516</v>
      </c>
      <c r="H704" s="6"/>
      <c r="I704" s="6"/>
      <c r="J704" s="6"/>
      <c r="K704" s="21"/>
      <c r="L704" s="21" t="s">
        <v>1512</v>
      </c>
      <c r="M704" s="6"/>
      <c r="N704" s="6"/>
      <c r="O704" s="6"/>
      <c r="P704" s="6"/>
      <c r="Q704" s="27"/>
      <c r="R704" s="27" t="s">
        <v>205</v>
      </c>
      <c r="S704" s="6"/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f t="shared" si="37"/>
        <v>0</v>
      </c>
      <c r="Z704" s="10"/>
      <c r="AA704" s="10"/>
      <c r="AB704" s="10"/>
      <c r="AC704" s="10"/>
      <c r="AD704" s="10"/>
      <c r="AE704" s="10"/>
      <c r="AF704" s="10"/>
      <c r="AG704" s="38">
        <f t="shared" si="38"/>
        <v>0</v>
      </c>
      <c r="AH704" s="51" t="str">
        <f t="shared" si="39"/>
        <v xml:space="preserve"> </v>
      </c>
      <c r="AI704" s="64"/>
      <c r="AJ704" s="1"/>
      <c r="AK704" s="65">
        <v>0</v>
      </c>
      <c r="AL704" s="1"/>
      <c r="AM704" s="1"/>
      <c r="AN704" s="81"/>
      <c r="AO704" s="81"/>
    </row>
    <row r="705" spans="1:41" s="26" customFormat="1" hidden="1" x14ac:dyDescent="0.25">
      <c r="A705" s="22" t="s">
        <v>1618</v>
      </c>
      <c r="B705" s="2"/>
      <c r="C705" s="21">
        <v>9.75</v>
      </c>
      <c r="D705" s="23"/>
      <c r="E705" s="23"/>
      <c r="F705" s="23"/>
      <c r="G705" s="3" t="s">
        <v>1549</v>
      </c>
      <c r="H705" s="4"/>
      <c r="I705" s="6"/>
      <c r="J705" s="4"/>
      <c r="K705" s="5"/>
      <c r="L705" s="5">
        <v>0</v>
      </c>
      <c r="M705" s="4"/>
      <c r="N705" s="4"/>
      <c r="O705" s="4"/>
      <c r="P705" s="4"/>
      <c r="Q705" s="24"/>
      <c r="R705" s="27" t="s">
        <v>205</v>
      </c>
      <c r="S705" s="6"/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f t="shared" si="37"/>
        <v>0</v>
      </c>
      <c r="Z705" s="10"/>
      <c r="AA705" s="10"/>
      <c r="AB705" s="10"/>
      <c r="AC705" s="10"/>
      <c r="AD705" s="10"/>
      <c r="AE705" s="10"/>
      <c r="AF705" s="10"/>
      <c r="AG705" s="38">
        <f t="shared" si="38"/>
        <v>0</v>
      </c>
      <c r="AH705" s="51" t="str">
        <f t="shared" si="39"/>
        <v xml:space="preserve"> </v>
      </c>
      <c r="AI705" s="64"/>
      <c r="AJ705" s="1"/>
      <c r="AK705" s="65">
        <v>0</v>
      </c>
      <c r="AL705" s="1"/>
      <c r="AM705" s="1"/>
      <c r="AN705" s="81"/>
      <c r="AO705" s="81"/>
    </row>
    <row r="706" spans="1:41" s="26" customFormat="1" hidden="1" x14ac:dyDescent="0.25">
      <c r="A706" s="22" t="s">
        <v>1619</v>
      </c>
      <c r="B706" s="2"/>
      <c r="C706" s="21">
        <v>9.75</v>
      </c>
      <c r="D706" s="23"/>
      <c r="E706" s="23"/>
      <c r="F706" s="23"/>
      <c r="G706" s="3" t="s">
        <v>1549</v>
      </c>
      <c r="H706" s="6"/>
      <c r="I706" s="6"/>
      <c r="J706" s="6"/>
      <c r="K706" s="21"/>
      <c r="L706" s="5">
        <v>0</v>
      </c>
      <c r="M706" s="6"/>
      <c r="N706" s="6"/>
      <c r="O706" s="6"/>
      <c r="P706" s="6"/>
      <c r="Q706" s="27"/>
      <c r="R706" s="27" t="s">
        <v>205</v>
      </c>
      <c r="S706" s="6"/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f t="shared" si="37"/>
        <v>0</v>
      </c>
      <c r="Z706" s="10"/>
      <c r="AA706" s="10"/>
      <c r="AB706" s="10"/>
      <c r="AC706" s="10"/>
      <c r="AD706" s="10"/>
      <c r="AE706" s="10"/>
      <c r="AF706" s="10"/>
      <c r="AG706" s="38">
        <f t="shared" si="38"/>
        <v>0</v>
      </c>
      <c r="AH706" s="51" t="str">
        <f t="shared" si="39"/>
        <v xml:space="preserve"> </v>
      </c>
      <c r="AI706" s="64"/>
      <c r="AJ706" s="1"/>
      <c r="AK706" s="65">
        <v>0</v>
      </c>
      <c r="AL706" s="1"/>
      <c r="AM706" s="1"/>
      <c r="AN706" s="81"/>
      <c r="AO706" s="81"/>
    </row>
    <row r="707" spans="1:41" s="26" customFormat="1" hidden="1" x14ac:dyDescent="0.25">
      <c r="A707" s="22" t="s">
        <v>1620</v>
      </c>
      <c r="B707" s="2"/>
      <c r="C707" s="21">
        <v>11.75</v>
      </c>
      <c r="D707" s="23"/>
      <c r="E707" s="23"/>
      <c r="F707" s="23"/>
      <c r="G707" s="3" t="s">
        <v>952</v>
      </c>
      <c r="H707" s="6"/>
      <c r="I707" s="6"/>
      <c r="J707" s="6"/>
      <c r="K707" s="21"/>
      <c r="L707" s="21" t="s">
        <v>1505</v>
      </c>
      <c r="M707" s="6"/>
      <c r="N707" s="6"/>
      <c r="O707" s="6"/>
      <c r="P707" s="6"/>
      <c r="Q707" s="27"/>
      <c r="R707" s="27" t="s">
        <v>205</v>
      </c>
      <c r="S707" s="6"/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f t="shared" si="37"/>
        <v>0</v>
      </c>
      <c r="Z707" s="10"/>
      <c r="AA707" s="10"/>
      <c r="AB707" s="10"/>
      <c r="AC707" s="10"/>
      <c r="AD707" s="10"/>
      <c r="AE707" s="10"/>
      <c r="AF707" s="10"/>
      <c r="AG707" s="38">
        <f t="shared" si="38"/>
        <v>0</v>
      </c>
      <c r="AH707" s="51" t="str">
        <f t="shared" si="39"/>
        <v xml:space="preserve"> </v>
      </c>
      <c r="AI707" s="64"/>
      <c r="AJ707" s="1"/>
      <c r="AK707" s="65">
        <v>0</v>
      </c>
      <c r="AL707" s="1"/>
      <c r="AM707" s="1"/>
      <c r="AN707" s="81"/>
      <c r="AO707" s="81"/>
    </row>
    <row r="708" spans="1:41" s="26" customFormat="1" hidden="1" x14ac:dyDescent="0.25">
      <c r="A708" s="22" t="s">
        <v>1621</v>
      </c>
      <c r="B708" s="2"/>
      <c r="C708" s="21">
        <v>12</v>
      </c>
      <c r="D708" s="23"/>
      <c r="E708" s="23"/>
      <c r="F708" s="23"/>
      <c r="G708" s="3" t="s">
        <v>1031</v>
      </c>
      <c r="H708" s="6"/>
      <c r="I708" s="6"/>
      <c r="J708" s="6"/>
      <c r="K708" s="21"/>
      <c r="L708" s="21" t="s">
        <v>1501</v>
      </c>
      <c r="M708" s="6"/>
      <c r="N708" s="6"/>
      <c r="O708" s="6"/>
      <c r="P708" s="6"/>
      <c r="Q708" s="27"/>
      <c r="R708" s="27" t="s">
        <v>205</v>
      </c>
      <c r="S708" s="6"/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f t="shared" si="37"/>
        <v>0</v>
      </c>
      <c r="Z708" s="10"/>
      <c r="AA708" s="10"/>
      <c r="AB708" s="10"/>
      <c r="AC708" s="10"/>
      <c r="AD708" s="10"/>
      <c r="AE708" s="10"/>
      <c r="AF708" s="10"/>
      <c r="AG708" s="38">
        <f t="shared" si="38"/>
        <v>0</v>
      </c>
      <c r="AH708" s="51" t="str">
        <f t="shared" si="39"/>
        <v xml:space="preserve"> </v>
      </c>
      <c r="AI708" s="64"/>
      <c r="AJ708" s="1"/>
      <c r="AK708" s="65">
        <v>0</v>
      </c>
      <c r="AL708" s="1"/>
      <c r="AM708" s="1"/>
      <c r="AN708" s="81"/>
      <c r="AO708" s="81"/>
    </row>
    <row r="709" spans="1:41" s="26" customFormat="1" hidden="1" x14ac:dyDescent="0.25">
      <c r="A709" s="22" t="s">
        <v>1622</v>
      </c>
      <c r="B709" s="2"/>
      <c r="C709" s="21">
        <v>1.4</v>
      </c>
      <c r="D709" s="23"/>
      <c r="E709" s="23"/>
      <c r="F709" s="23"/>
      <c r="G709" s="3" t="s">
        <v>724</v>
      </c>
      <c r="H709" s="6"/>
      <c r="I709" s="6"/>
      <c r="J709" s="6"/>
      <c r="K709" s="21"/>
      <c r="L709" s="21" t="s">
        <v>1575</v>
      </c>
      <c r="M709" s="6"/>
      <c r="N709" s="6"/>
      <c r="O709" s="6"/>
      <c r="P709" s="6"/>
      <c r="Q709" s="27"/>
      <c r="R709" s="27" t="s">
        <v>205</v>
      </c>
      <c r="S709" s="6"/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f t="shared" si="37"/>
        <v>0</v>
      </c>
      <c r="Z709" s="10"/>
      <c r="AA709" s="10"/>
      <c r="AB709" s="10"/>
      <c r="AC709" s="10"/>
      <c r="AD709" s="10"/>
      <c r="AE709" s="10"/>
      <c r="AF709" s="10"/>
      <c r="AG709" s="38">
        <f t="shared" si="38"/>
        <v>0</v>
      </c>
      <c r="AH709" s="51" t="str">
        <f t="shared" si="39"/>
        <v xml:space="preserve"> </v>
      </c>
      <c r="AI709" s="64"/>
      <c r="AJ709" s="1"/>
      <c r="AK709" s="65">
        <v>0</v>
      </c>
      <c r="AL709" s="1"/>
      <c r="AM709" s="1"/>
      <c r="AN709" s="81"/>
      <c r="AO709" s="81"/>
    </row>
    <row r="710" spans="1:41" s="26" customFormat="1" hidden="1" x14ac:dyDescent="0.25">
      <c r="A710" s="22" t="s">
        <v>1623</v>
      </c>
      <c r="B710" s="2"/>
      <c r="C710" s="21">
        <v>1.4</v>
      </c>
      <c r="D710" s="23"/>
      <c r="E710" s="23"/>
      <c r="F710" s="23"/>
      <c r="G710" s="3" t="s">
        <v>724</v>
      </c>
      <c r="H710" s="6"/>
      <c r="I710" s="6"/>
      <c r="J710" s="6"/>
      <c r="K710" s="21"/>
      <c r="L710" s="21" t="s">
        <v>1575</v>
      </c>
      <c r="M710" s="6"/>
      <c r="N710" s="6"/>
      <c r="O710" s="6"/>
      <c r="P710" s="6"/>
      <c r="Q710" s="27"/>
      <c r="R710" s="27" t="s">
        <v>205</v>
      </c>
      <c r="S710" s="6"/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f t="shared" ref="Y710" si="40">AVERAGE(T710:X710)</f>
        <v>0</v>
      </c>
      <c r="Z710" s="10"/>
      <c r="AA710" s="10"/>
      <c r="AB710" s="10"/>
      <c r="AC710" s="10"/>
      <c r="AD710" s="10"/>
      <c r="AE710" s="10"/>
      <c r="AF710" s="10"/>
      <c r="AG710" s="38">
        <f t="shared" ref="AG710" si="41">COUNTIF(Z710:AF710,"X")/7</f>
        <v>0</v>
      </c>
      <c r="AH710" s="51" t="str">
        <f t="shared" ref="AH710" si="42">IF(AG710=100%,Y710," ")</f>
        <v xml:space="preserve"> </v>
      </c>
      <c r="AI710" s="64"/>
      <c r="AJ710" s="1"/>
      <c r="AK710" s="65">
        <v>0</v>
      </c>
      <c r="AL710" s="1"/>
      <c r="AM710" s="1"/>
      <c r="AN710" s="81"/>
      <c r="AO710" s="81"/>
    </row>
    <row r="711" spans="1:41" s="26" customFormat="1" x14ac:dyDescent="0.25">
      <c r="A711" s="39"/>
      <c r="B711" s="40"/>
      <c r="C711" s="40"/>
      <c r="D711" s="40"/>
      <c r="E711" s="40"/>
      <c r="F711" s="40"/>
      <c r="G711" s="40"/>
      <c r="H711" s="40"/>
      <c r="I711" s="41"/>
      <c r="J711" s="40"/>
      <c r="K711" s="40"/>
      <c r="L711" s="39"/>
      <c r="M711" s="39"/>
      <c r="N711" s="39"/>
      <c r="O711" s="40"/>
      <c r="P711" s="42"/>
      <c r="Q711" s="43"/>
      <c r="R711" s="40"/>
      <c r="S711" s="41"/>
      <c r="T711" s="46">
        <f t="shared" ref="T711:Y711" si="43">SUBTOTAL(9,T712:T1416)</f>
        <v>0</v>
      </c>
      <c r="U711" s="46">
        <f t="shared" si="43"/>
        <v>0</v>
      </c>
      <c r="V711" s="46">
        <f t="shared" si="43"/>
        <v>0</v>
      </c>
      <c r="W711" s="46">
        <f t="shared" si="43"/>
        <v>0</v>
      </c>
      <c r="X711" s="46">
        <f t="shared" si="43"/>
        <v>0</v>
      </c>
      <c r="Y711" s="46">
        <f t="shared" si="43"/>
        <v>0</v>
      </c>
      <c r="Z711" s="42"/>
      <c r="AA711" s="42"/>
      <c r="AB711" s="42"/>
      <c r="AC711" s="42"/>
      <c r="AD711" s="42"/>
      <c r="AE711" s="42"/>
      <c r="AF711" s="42"/>
      <c r="AG711" s="71"/>
      <c r="AH711" s="42"/>
      <c r="AI711" s="63" t="s">
        <v>1624</v>
      </c>
      <c r="AJ711" s="46"/>
      <c r="AK711" s="63"/>
      <c r="AL711" s="46"/>
      <c r="AM711" s="46"/>
      <c r="AN711" s="81"/>
      <c r="AO711" s="81"/>
    </row>
    <row r="716" spans="1:41" x14ac:dyDescent="0.25">
      <c r="AA716" s="73"/>
      <c r="AB716" s="73"/>
      <c r="AC716" s="73"/>
      <c r="AN716" s="92"/>
      <c r="AO716" s="92"/>
    </row>
    <row r="717" spans="1:41" x14ac:dyDescent="0.25">
      <c r="Z717" s="73"/>
      <c r="AA717" s="73"/>
      <c r="AB717" s="73"/>
      <c r="AC717" s="73"/>
      <c r="AN717" s="92"/>
      <c r="AO717" s="92"/>
    </row>
    <row r="718" spans="1:41" x14ac:dyDescent="0.25">
      <c r="Z718" s="73"/>
      <c r="AA718" s="73"/>
      <c r="AB718" s="73"/>
    </row>
    <row r="719" spans="1:41" x14ac:dyDescent="0.25">
      <c r="Z719" s="73"/>
    </row>
    <row r="720" spans="1:41" x14ac:dyDescent="0.25">
      <c r="Z720" s="73"/>
      <c r="AA720" s="73"/>
      <c r="AB720" s="73"/>
    </row>
  </sheetData>
  <autoFilter ref="A2:AP710" xr:uid="{2AA437EE-405D-4A43-9EB9-23F1BEB36011}">
    <filterColumn colId="17">
      <filters>
        <filter val="Diadema"/>
      </filters>
    </filterColumn>
    <filterColumn colId="32">
      <filters>
        <filter val="0%"/>
        <filter val="14%"/>
      </filters>
    </filterColumn>
  </autoFilter>
  <conditionalFormatting sqref="A193:A213 A4:A95 A97:A118">
    <cfRule type="duplicateValues" dxfId="72" priority="12"/>
  </conditionalFormatting>
  <conditionalFormatting sqref="A460:A488">
    <cfRule type="duplicateValues" dxfId="71" priority="11"/>
  </conditionalFormatting>
  <conditionalFormatting sqref="A582 A584:A711">
    <cfRule type="duplicateValues" dxfId="70" priority="10"/>
  </conditionalFormatting>
  <conditionalFormatting sqref="Z3:AF711">
    <cfRule type="containsText" dxfId="69" priority="1" operator="containsText" text="X">
      <formula>NOT(ISERROR(SEARCH("X",Z3)))</formula>
    </cfRule>
  </conditionalFormatting>
  <conditionalFormatting sqref="AG3:AG711">
    <cfRule type="dataBar" priority="8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{3219B257-50B8-46A9-96C2-40F31BF22C12}</x14:id>
        </ext>
      </extLst>
    </cfRule>
  </conditionalFormatting>
  <conditionalFormatting sqref="AH4:AH711">
    <cfRule type="containsText" dxfId="68" priority="3" operator="containsText" text="X">
      <formula>NOT(ISERROR(SEARCH("X",AH4)))</formula>
    </cfRule>
  </conditionalFormatting>
  <dataValidations count="3">
    <dataValidation type="list" allowBlank="1" showInputMessage="1" showErrorMessage="1" sqref="Z4:AF711" xr:uid="{9319459A-71C7-4E4C-B697-82B431D05145}">
      <formula1>"X"</formula1>
    </dataValidation>
    <dataValidation type="list" allowBlank="1" showInputMessage="1" showErrorMessage="1" sqref="AN3:AN711" xr:uid="{BF910421-2488-43D8-8890-88191156FCAE}">
      <formula1>"jan/2026,fev/2026,mar/2026,abr/2026,mai/2026,jun/2026,jul/2026,ago/2026,set/2026,out/2026,nov/2026,dez/2026,jan/2027,fev/2027,mar/2027,abr/2026,mai/2027,jun/2027,jul/2027,ago/2027,set/2027,out/2027,nov/2027,dez/2027"</formula1>
    </dataValidation>
    <dataValidation type="list" allowBlank="1" showInputMessage="1" showErrorMessage="1" sqref="AO3:AO711" xr:uid="{951DB043-DC27-47DD-820F-58CC80ED4834}">
      <formula1>"Sim, 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19B257-50B8-46A9-96C2-40F31BF22C12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AG3:AG711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BCF1-480D-45A5-ACB8-5A5348C4C9C4}">
  <sheetPr>
    <pageSetUpPr fitToPage="1"/>
  </sheetPr>
  <dimension ref="A1:AN122"/>
  <sheetViews>
    <sheetView showGridLines="0" tabSelected="1" zoomScale="55" zoomScaleNormal="55" workbookViewId="0">
      <pane xSplit="2" ySplit="5" topLeftCell="AB6" activePane="bottomRight" state="frozen"/>
      <selection pane="topRight" activeCell="B1" sqref="B1"/>
      <selection pane="bottomLeft" activeCell="A6" sqref="A6"/>
      <selection pane="bottomRight" activeCell="AH5" sqref="AH5"/>
    </sheetView>
  </sheetViews>
  <sheetFormatPr defaultColWidth="9.140625" defaultRowHeight="15" customHeight="1" outlineLevelCol="1" x14ac:dyDescent="0.25"/>
  <cols>
    <col min="1" max="1" width="27.85546875" customWidth="1"/>
    <col min="2" max="3" width="22.5703125" customWidth="1"/>
    <col min="4" max="4" width="44.42578125" customWidth="1"/>
    <col min="5" max="5" width="14.140625" customWidth="1"/>
    <col min="6" max="6" width="21.42578125" customWidth="1"/>
    <col min="7" max="7" width="17.42578125" customWidth="1"/>
    <col min="8" max="8" width="16.5703125" customWidth="1"/>
    <col min="9" max="9" width="2.42578125" customWidth="1"/>
    <col min="10" max="10" width="15.85546875" customWidth="1" outlineLevel="1"/>
    <col min="11" max="11" width="18.85546875" customWidth="1" outlineLevel="1"/>
    <col min="12" max="12" width="48.140625" customWidth="1" outlineLevel="1"/>
    <col min="13" max="13" width="3" customWidth="1"/>
    <col min="14" max="14" width="23.85546875" customWidth="1" outlineLevel="1"/>
    <col min="15" max="15" width="30.5703125" customWidth="1" outlineLevel="1"/>
    <col min="16" max="16" width="3" customWidth="1"/>
    <col min="17" max="17" width="22.42578125" customWidth="1" outlineLevel="1"/>
    <col min="18" max="18" width="27" customWidth="1" outlineLevel="1"/>
    <col min="19" max="19" width="3" customWidth="1"/>
    <col min="20" max="20" width="20.85546875" customWidth="1" outlineLevel="1"/>
    <col min="21" max="21" width="22.5703125" customWidth="1" outlineLevel="1"/>
    <col min="22" max="22" width="25.5703125" customWidth="1" outlineLevel="1"/>
    <col min="23" max="23" width="34.42578125" customWidth="1" outlineLevel="1"/>
    <col min="24" max="24" width="3.5703125" customWidth="1"/>
    <col min="25" max="26" width="30.85546875" style="96" customWidth="1" outlineLevel="1"/>
    <col min="27" max="27" width="37.140625" customWidth="1" outlineLevel="1"/>
    <col min="28" max="32" width="26.5703125" style="96" customWidth="1" outlineLevel="1"/>
    <col min="33" max="34" width="31.140625" style="96" customWidth="1" outlineLevel="1"/>
    <col min="35" max="35" width="32.5703125" style="96" customWidth="1" outlineLevel="1"/>
    <col min="36" max="36" width="43.42578125" style="96" customWidth="1" outlineLevel="1"/>
    <col min="37" max="37" width="133.85546875" style="96" customWidth="1" outlineLevel="1"/>
    <col min="39" max="39" width="21.42578125" hidden="1" customWidth="1"/>
  </cols>
  <sheetData>
    <row r="1" spans="1:39" ht="24.75" thickBot="1" x14ac:dyDescent="0.45">
      <c r="M1" s="97"/>
      <c r="X1" s="97"/>
      <c r="AM1" t="s">
        <v>8</v>
      </c>
    </row>
    <row r="2" spans="1:39" ht="14.85" customHeight="1" x14ac:dyDescent="0.4">
      <c r="A2" s="127"/>
      <c r="B2" s="127" t="s">
        <v>1625</v>
      </c>
      <c r="C2" s="128"/>
      <c r="D2" s="128"/>
      <c r="E2" s="128"/>
      <c r="F2" s="128"/>
      <c r="G2" s="128"/>
      <c r="H2" s="128"/>
      <c r="I2" s="97"/>
      <c r="J2" s="127"/>
      <c r="K2" s="128"/>
      <c r="L2" s="129"/>
      <c r="M2" s="97"/>
      <c r="N2" s="127"/>
      <c r="O2" s="129"/>
      <c r="P2" s="97"/>
      <c r="Q2" s="196"/>
      <c r="R2" s="197"/>
      <c r="S2" s="97"/>
      <c r="T2" s="127"/>
      <c r="U2" s="128"/>
      <c r="V2" s="128"/>
      <c r="W2" s="129"/>
      <c r="X2" s="97"/>
      <c r="Y2" s="223" t="s">
        <v>1626</v>
      </c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M2" t="s">
        <v>10</v>
      </c>
    </row>
    <row r="3" spans="1:39" ht="15" customHeight="1" thickBot="1" x14ac:dyDescent="0.45">
      <c r="A3" s="130"/>
      <c r="B3" s="130"/>
      <c r="C3" s="131"/>
      <c r="D3" s="131"/>
      <c r="E3" s="131"/>
      <c r="F3" s="131"/>
      <c r="G3" s="131"/>
      <c r="H3" s="131"/>
      <c r="I3" s="97"/>
      <c r="J3" s="130"/>
      <c r="K3" s="131"/>
      <c r="L3" s="132"/>
      <c r="M3" s="97"/>
      <c r="N3" s="193"/>
      <c r="O3" s="194"/>
      <c r="P3" s="97"/>
      <c r="Q3" s="133"/>
      <c r="R3" s="135"/>
      <c r="S3" s="97"/>
      <c r="T3" s="130"/>
      <c r="U3" s="131"/>
      <c r="V3" s="131"/>
      <c r="W3" s="132"/>
      <c r="X3" s="97"/>
      <c r="Y3" s="225"/>
      <c r="Z3" s="226"/>
      <c r="AA3" s="226"/>
      <c r="AB3" s="226"/>
      <c r="AC3" s="226"/>
      <c r="AD3" s="226"/>
      <c r="AE3" s="226"/>
      <c r="AF3" s="227"/>
      <c r="AG3" s="227"/>
      <c r="AH3" s="227"/>
      <c r="AI3" s="226"/>
      <c r="AJ3" s="227"/>
      <c r="AK3" s="226"/>
      <c r="AM3" t="s">
        <v>1627</v>
      </c>
    </row>
    <row r="4" spans="1:39" s="98" customFormat="1" ht="24.75" thickBot="1" x14ac:dyDescent="0.45">
      <c r="A4" s="133"/>
      <c r="B4" s="133" t="s">
        <v>1628</v>
      </c>
      <c r="C4" s="134"/>
      <c r="D4" s="134"/>
      <c r="E4" s="134"/>
      <c r="F4" s="134"/>
      <c r="G4" s="134"/>
      <c r="H4" s="135"/>
      <c r="I4" s="97"/>
      <c r="J4" s="231" t="s">
        <v>1629</v>
      </c>
      <c r="K4" s="232"/>
      <c r="L4" s="233"/>
      <c r="M4" s="97"/>
      <c r="N4" s="231" t="s">
        <v>1630</v>
      </c>
      <c r="O4" s="233"/>
      <c r="P4" s="97"/>
      <c r="Q4" s="231" t="s">
        <v>1631</v>
      </c>
      <c r="R4" s="233"/>
      <c r="S4" s="97"/>
      <c r="T4" s="231" t="s">
        <v>1632</v>
      </c>
      <c r="U4" s="232"/>
      <c r="V4" s="232"/>
      <c r="W4" s="233"/>
      <c r="X4" s="97"/>
      <c r="Y4" s="145" t="s">
        <v>1633</v>
      </c>
      <c r="Z4" s="145" t="s">
        <v>1634</v>
      </c>
      <c r="AA4" s="145" t="s">
        <v>1634</v>
      </c>
      <c r="AB4" s="145" t="s">
        <v>1634</v>
      </c>
      <c r="AC4" s="145" t="s">
        <v>1634</v>
      </c>
      <c r="AD4" s="145" t="s">
        <v>1634</v>
      </c>
      <c r="AE4" s="144" t="s">
        <v>1635</v>
      </c>
      <c r="AF4" s="146" t="s">
        <v>1634</v>
      </c>
      <c r="AG4" s="144" t="s">
        <v>1634</v>
      </c>
      <c r="AH4" s="144" t="s">
        <v>1634</v>
      </c>
      <c r="AI4" s="143" t="s">
        <v>1636</v>
      </c>
      <c r="AJ4" s="144" t="s">
        <v>1634</v>
      </c>
      <c r="AK4" s="199" t="s">
        <v>1637</v>
      </c>
      <c r="AM4" t="s">
        <v>13</v>
      </c>
    </row>
    <row r="5" spans="1:39" ht="78.599999999999994" customHeight="1" x14ac:dyDescent="0.25">
      <c r="A5" s="187" t="s">
        <v>1638</v>
      </c>
      <c r="B5" s="99" t="s">
        <v>1639</v>
      </c>
      <c r="C5" s="106" t="s">
        <v>1640</v>
      </c>
      <c r="D5" s="100" t="s">
        <v>1641</v>
      </c>
      <c r="E5" s="101" t="s">
        <v>1642</v>
      </c>
      <c r="F5" s="102" t="s">
        <v>1643</v>
      </c>
      <c r="G5" s="102" t="s">
        <v>1644</v>
      </c>
      <c r="H5" s="103" t="s">
        <v>1645</v>
      </c>
      <c r="J5" s="104" t="s">
        <v>1646</v>
      </c>
      <c r="K5" s="101" t="s">
        <v>1647</v>
      </c>
      <c r="L5" s="105" t="s">
        <v>1648</v>
      </c>
      <c r="N5" s="191" t="s">
        <v>1649</v>
      </c>
      <c r="O5" s="192" t="s">
        <v>1650</v>
      </c>
      <c r="Q5" s="195" t="s">
        <v>1651</v>
      </c>
      <c r="R5" s="192" t="s">
        <v>1652</v>
      </c>
      <c r="T5" s="104" t="s">
        <v>1653</v>
      </c>
      <c r="U5" s="106" t="s">
        <v>1654</v>
      </c>
      <c r="V5" s="101" t="s">
        <v>1655</v>
      </c>
      <c r="W5" s="105" t="s">
        <v>1656</v>
      </c>
      <c r="Y5" s="139" t="s">
        <v>1657</v>
      </c>
      <c r="Z5" s="107" t="s">
        <v>1658</v>
      </c>
      <c r="AA5" s="107" t="s">
        <v>1659</v>
      </c>
      <c r="AB5" s="107" t="s">
        <v>1660</v>
      </c>
      <c r="AC5" s="107" t="s">
        <v>1661</v>
      </c>
      <c r="AD5" s="200" t="s">
        <v>1662</v>
      </c>
      <c r="AE5" s="107" t="s">
        <v>1663</v>
      </c>
      <c r="AF5" s="107" t="s">
        <v>1664</v>
      </c>
      <c r="AG5" s="107" t="s">
        <v>1665</v>
      </c>
      <c r="AH5" s="107" t="s">
        <v>1666</v>
      </c>
      <c r="AI5" s="107" t="s">
        <v>1667</v>
      </c>
      <c r="AJ5" s="200" t="s">
        <v>1668</v>
      </c>
      <c r="AK5" s="107" t="s">
        <v>1669</v>
      </c>
    </row>
    <row r="6" spans="1:39" ht="44.25" customHeight="1" x14ac:dyDescent="0.25">
      <c r="A6" s="108"/>
      <c r="B6" s="108" t="s">
        <v>38</v>
      </c>
      <c r="C6" s="108"/>
      <c r="D6" s="207" t="s">
        <v>1670</v>
      </c>
      <c r="E6" s="208">
        <v>289</v>
      </c>
      <c r="F6" s="218">
        <v>150216.35999999999</v>
      </c>
      <c r="G6" s="108" t="s">
        <v>27</v>
      </c>
      <c r="H6" s="110" t="s">
        <v>39</v>
      </c>
      <c r="J6" s="111">
        <v>12.25</v>
      </c>
      <c r="K6" s="112" t="s">
        <v>940</v>
      </c>
      <c r="L6" s="113" t="s">
        <v>1671</v>
      </c>
      <c r="N6" s="112" t="s">
        <v>1672</v>
      </c>
      <c r="O6" s="114" t="s">
        <v>1673</v>
      </c>
      <c r="Q6" s="108" t="s">
        <v>1526</v>
      </c>
      <c r="R6" s="115" t="s">
        <v>12</v>
      </c>
      <c r="T6" s="111">
        <v>1250</v>
      </c>
      <c r="U6" s="116" t="s">
        <v>12</v>
      </c>
      <c r="V6" s="111" t="s">
        <v>12</v>
      </c>
      <c r="W6" s="116" t="s">
        <v>12</v>
      </c>
      <c r="Y6" s="108" t="s">
        <v>1674</v>
      </c>
      <c r="Z6" s="108" t="s">
        <v>8</v>
      </c>
      <c r="AA6" s="122">
        <v>46280</v>
      </c>
      <c r="AB6" s="122">
        <v>46302</v>
      </c>
      <c r="AC6" s="122">
        <v>46295</v>
      </c>
      <c r="AD6" s="122" t="s">
        <v>1675</v>
      </c>
      <c r="AE6" s="108" t="s">
        <v>12</v>
      </c>
      <c r="AF6" s="108" t="s">
        <v>12</v>
      </c>
      <c r="AG6" s="122">
        <v>46303</v>
      </c>
      <c r="AH6" s="122">
        <v>46303</v>
      </c>
      <c r="AI6" s="108"/>
      <c r="AJ6" s="108" t="s">
        <v>1865</v>
      </c>
      <c r="AK6" s="110" t="s">
        <v>1676</v>
      </c>
    </row>
    <row r="7" spans="1:39" ht="44.1" customHeight="1" x14ac:dyDescent="0.25">
      <c r="A7" s="108"/>
      <c r="B7" s="108" t="s">
        <v>949</v>
      </c>
      <c r="C7" s="108"/>
      <c r="D7" s="207" t="s">
        <v>1677</v>
      </c>
      <c r="E7" s="219">
        <v>283.69</v>
      </c>
      <c r="F7" s="218">
        <v>102925.44</v>
      </c>
      <c r="G7" s="108" t="s">
        <v>27</v>
      </c>
      <c r="H7" s="110" t="s">
        <v>39</v>
      </c>
      <c r="J7" s="111">
        <v>15.75</v>
      </c>
      <c r="K7" s="112" t="s">
        <v>940</v>
      </c>
      <c r="L7" s="113" t="s">
        <v>940</v>
      </c>
      <c r="N7" s="112" t="s">
        <v>1672</v>
      </c>
      <c r="O7" s="114" t="s">
        <v>1678</v>
      </c>
      <c r="Q7" s="108" t="s">
        <v>1526</v>
      </c>
      <c r="R7" s="115" t="s">
        <v>12</v>
      </c>
      <c r="T7" s="111">
        <v>1250</v>
      </c>
      <c r="U7" s="116" t="s">
        <v>12</v>
      </c>
      <c r="V7" s="111" t="s">
        <v>12</v>
      </c>
      <c r="W7" s="116" t="s">
        <v>12</v>
      </c>
      <c r="Y7" s="108" t="s">
        <v>1674</v>
      </c>
      <c r="Z7" s="108" t="s">
        <v>8</v>
      </c>
      <c r="AA7" s="122">
        <v>46238</v>
      </c>
      <c r="AB7" s="122">
        <v>46259</v>
      </c>
      <c r="AC7" s="122">
        <v>46280</v>
      </c>
      <c r="AD7" s="122" t="s">
        <v>1679</v>
      </c>
      <c r="AE7" s="108" t="s">
        <v>12</v>
      </c>
      <c r="AF7" s="108" t="s">
        <v>12</v>
      </c>
      <c r="AG7" s="122">
        <v>46280</v>
      </c>
      <c r="AH7" s="122">
        <v>46280</v>
      </c>
      <c r="AI7" s="201"/>
      <c r="AJ7" s="108" t="s">
        <v>1680</v>
      </c>
      <c r="AK7" s="110" t="s">
        <v>1681</v>
      </c>
    </row>
    <row r="8" spans="1:39" ht="44.1" customHeight="1" x14ac:dyDescent="0.25">
      <c r="A8" s="108"/>
      <c r="B8" s="108" t="s">
        <v>40</v>
      </c>
      <c r="C8" s="108"/>
      <c r="D8" s="207" t="s">
        <v>1682</v>
      </c>
      <c r="E8" s="208">
        <v>188.3</v>
      </c>
      <c r="F8" s="218">
        <v>190474.65</v>
      </c>
      <c r="G8" s="108" t="s">
        <v>27</v>
      </c>
      <c r="H8" s="110" t="s">
        <v>39</v>
      </c>
      <c r="J8" s="111">
        <v>11.75</v>
      </c>
      <c r="K8" s="112" t="s">
        <v>951</v>
      </c>
      <c r="L8" s="113" t="s">
        <v>963</v>
      </c>
      <c r="N8" s="112" t="s">
        <v>1683</v>
      </c>
      <c r="O8" s="114" t="s">
        <v>1678</v>
      </c>
      <c r="Q8" s="108" t="s">
        <v>952</v>
      </c>
      <c r="R8" s="115" t="s">
        <v>12</v>
      </c>
      <c r="T8" s="111">
        <v>1050</v>
      </c>
      <c r="U8" s="116" t="s">
        <v>12</v>
      </c>
      <c r="V8" s="111" t="s">
        <v>12</v>
      </c>
      <c r="W8" s="116" t="s">
        <v>12</v>
      </c>
      <c r="Y8" s="108" t="s">
        <v>1674</v>
      </c>
      <c r="Z8" s="108" t="s">
        <v>8</v>
      </c>
      <c r="AA8" s="122">
        <v>45722</v>
      </c>
      <c r="AB8" s="122">
        <v>46118</v>
      </c>
      <c r="AC8" s="122">
        <v>46140</v>
      </c>
      <c r="AD8" s="122" t="s">
        <v>1684</v>
      </c>
      <c r="AE8" s="108" t="s">
        <v>12</v>
      </c>
      <c r="AF8" s="108" t="s">
        <v>12</v>
      </c>
      <c r="AG8" s="122">
        <v>46262</v>
      </c>
      <c r="AH8" s="122">
        <v>46267</v>
      </c>
      <c r="AI8" s="108" t="s">
        <v>1685</v>
      </c>
      <c r="AJ8" s="108" t="s">
        <v>1680</v>
      </c>
      <c r="AK8" s="108" t="s">
        <v>95</v>
      </c>
    </row>
    <row r="9" spans="1:39" ht="44.1" customHeight="1" x14ac:dyDescent="0.25">
      <c r="A9" s="110" t="s">
        <v>1686</v>
      </c>
      <c r="B9" s="108" t="s">
        <v>41</v>
      </c>
      <c r="C9" s="108" t="s">
        <v>1687</v>
      </c>
      <c r="D9" s="110" t="s">
        <v>1688</v>
      </c>
      <c r="E9" s="108">
        <v>87.74</v>
      </c>
      <c r="F9" s="203">
        <v>168140.89131840027</v>
      </c>
      <c r="G9" s="108" t="s">
        <v>24</v>
      </c>
      <c r="H9" s="110" t="s">
        <v>42</v>
      </c>
      <c r="J9" s="111">
        <f>MID(B9,4,4)/100</f>
        <v>1.8</v>
      </c>
      <c r="K9" s="202" t="s">
        <v>1304</v>
      </c>
      <c r="L9" s="113" t="s">
        <v>1689</v>
      </c>
      <c r="N9" s="118" t="s">
        <v>12</v>
      </c>
      <c r="O9" s="114" t="s">
        <v>12</v>
      </c>
      <c r="P9" s="50"/>
      <c r="Q9" s="108" t="s">
        <v>12</v>
      </c>
      <c r="R9" s="115" t="s">
        <v>12</v>
      </c>
      <c r="S9" s="50"/>
      <c r="T9" s="111" t="s">
        <v>12</v>
      </c>
      <c r="U9" s="116" t="s">
        <v>12</v>
      </c>
      <c r="V9" s="111" t="s">
        <v>12</v>
      </c>
      <c r="W9" s="116" t="s">
        <v>12</v>
      </c>
      <c r="Y9" s="108" t="s">
        <v>1674</v>
      </c>
      <c r="Z9" s="108" t="s">
        <v>8</v>
      </c>
      <c r="AA9" s="122">
        <v>46093</v>
      </c>
      <c r="AB9" s="122">
        <v>46108</v>
      </c>
      <c r="AC9" s="122">
        <v>46155</v>
      </c>
      <c r="AD9" s="122" t="s">
        <v>1684</v>
      </c>
      <c r="AE9" s="122">
        <v>46231</v>
      </c>
      <c r="AF9" s="122">
        <v>46248</v>
      </c>
      <c r="AG9" s="122">
        <v>46174</v>
      </c>
      <c r="AH9" s="122">
        <v>46174</v>
      </c>
      <c r="AI9" s="122">
        <v>46285</v>
      </c>
      <c r="AJ9" s="108" t="s">
        <v>1690</v>
      </c>
      <c r="AK9" s="147" t="s">
        <v>96</v>
      </c>
    </row>
    <row r="10" spans="1:39" ht="44.1" customHeight="1" x14ac:dyDescent="0.25">
      <c r="A10" s="110" t="s">
        <v>1686</v>
      </c>
      <c r="B10" s="108" t="s">
        <v>44</v>
      </c>
      <c r="C10" s="108" t="s">
        <v>1687</v>
      </c>
      <c r="D10" s="110" t="s">
        <v>1691</v>
      </c>
      <c r="E10" s="108">
        <v>33.04</v>
      </c>
      <c r="F10" s="203">
        <f>76639.7953125005+90849.43</f>
        <v>167489.22531250049</v>
      </c>
      <c r="G10" s="108" t="s">
        <v>24</v>
      </c>
      <c r="H10" s="110" t="s">
        <v>45</v>
      </c>
      <c r="J10" s="111">
        <f>MID(B10,4,4)/100</f>
        <v>1.4</v>
      </c>
      <c r="K10" s="202" t="s">
        <v>1334</v>
      </c>
      <c r="L10" s="113" t="s">
        <v>1692</v>
      </c>
      <c r="N10" s="118" t="s">
        <v>12</v>
      </c>
      <c r="O10" s="114" t="s">
        <v>12</v>
      </c>
      <c r="P10" s="50"/>
      <c r="Q10" s="108" t="s">
        <v>12</v>
      </c>
      <c r="R10" s="115" t="s">
        <v>12</v>
      </c>
      <c r="S10" s="50"/>
      <c r="T10" s="111">
        <v>950</v>
      </c>
      <c r="U10" s="116" t="s">
        <v>12</v>
      </c>
      <c r="V10" s="111">
        <v>312</v>
      </c>
      <c r="W10" s="116">
        <v>302</v>
      </c>
      <c r="Y10" s="108" t="s">
        <v>1674</v>
      </c>
      <c r="Z10" s="108" t="s">
        <v>8</v>
      </c>
      <c r="AA10" s="122">
        <v>46269</v>
      </c>
      <c r="AB10" s="108" t="s">
        <v>1693</v>
      </c>
      <c r="AC10" s="108" t="s">
        <v>1693</v>
      </c>
      <c r="AD10" s="108" t="s">
        <v>1693</v>
      </c>
      <c r="AE10" s="108" t="s">
        <v>1693</v>
      </c>
      <c r="AF10" s="108" t="s">
        <v>1693</v>
      </c>
      <c r="AG10" s="108" t="s">
        <v>1693</v>
      </c>
      <c r="AH10" s="108" t="s">
        <v>1693</v>
      </c>
      <c r="AI10" s="108" t="s">
        <v>1693</v>
      </c>
      <c r="AJ10" s="108" t="s">
        <v>1693</v>
      </c>
      <c r="AK10" s="108" t="s">
        <v>1694</v>
      </c>
    </row>
    <row r="11" spans="1:39" ht="44.1" customHeight="1" x14ac:dyDescent="0.25">
      <c r="A11" s="108"/>
      <c r="B11" s="108" t="s">
        <v>35</v>
      </c>
      <c r="C11" s="108"/>
      <c r="D11" s="207" t="s">
        <v>964</v>
      </c>
      <c r="E11" s="108">
        <v>78.8</v>
      </c>
      <c r="F11" s="218">
        <v>223577.79</v>
      </c>
      <c r="G11" s="108" t="s">
        <v>27</v>
      </c>
      <c r="H11" s="110" t="s">
        <v>36</v>
      </c>
      <c r="J11" s="108">
        <v>8</v>
      </c>
      <c r="K11" s="112" t="s">
        <v>940</v>
      </c>
      <c r="L11" s="116" t="s">
        <v>963</v>
      </c>
      <c r="N11" s="120" t="s">
        <v>12</v>
      </c>
      <c r="O11" s="114" t="s">
        <v>12</v>
      </c>
      <c r="Q11" s="108" t="s">
        <v>12</v>
      </c>
      <c r="R11" s="115" t="s">
        <v>12</v>
      </c>
      <c r="T11" s="108">
        <v>1200</v>
      </c>
      <c r="U11" s="121" t="s">
        <v>1695</v>
      </c>
      <c r="V11" s="108" t="s">
        <v>1696</v>
      </c>
      <c r="W11" s="121" t="s">
        <v>1697</v>
      </c>
      <c r="Y11" s="108" t="s">
        <v>1674</v>
      </c>
      <c r="Z11" s="108" t="s">
        <v>8</v>
      </c>
      <c r="AA11" s="108" t="s">
        <v>12</v>
      </c>
      <c r="AB11" s="108" t="s">
        <v>12</v>
      </c>
      <c r="AC11" s="108" t="s">
        <v>12</v>
      </c>
      <c r="AD11" s="108" t="s">
        <v>1684</v>
      </c>
      <c r="AE11" s="108" t="s">
        <v>12</v>
      </c>
      <c r="AF11" s="108" t="s">
        <v>12</v>
      </c>
      <c r="AG11" s="108" t="s">
        <v>12</v>
      </c>
      <c r="AH11" s="122">
        <v>46153</v>
      </c>
      <c r="AI11" s="122">
        <v>46254</v>
      </c>
      <c r="AJ11" s="108" t="s">
        <v>1680</v>
      </c>
      <c r="AK11" s="108" t="s">
        <v>1698</v>
      </c>
    </row>
    <row r="12" spans="1:39" ht="44.1" customHeight="1" x14ac:dyDescent="0.25">
      <c r="A12" s="108"/>
      <c r="B12" s="108" t="s">
        <v>968</v>
      </c>
      <c r="C12" s="108"/>
      <c r="D12" s="207" t="s">
        <v>952</v>
      </c>
      <c r="E12" s="108">
        <v>76.400000000000006</v>
      </c>
      <c r="F12" s="218">
        <v>21403.13</v>
      </c>
      <c r="G12" s="108" t="s">
        <v>27</v>
      </c>
      <c r="H12" s="110" t="s">
        <v>39</v>
      </c>
      <c r="J12" s="108">
        <v>10</v>
      </c>
      <c r="K12" s="112" t="s">
        <v>963</v>
      </c>
      <c r="L12" s="116" t="s">
        <v>963</v>
      </c>
      <c r="N12" s="120" t="s">
        <v>1683</v>
      </c>
      <c r="O12" s="114" t="s">
        <v>1678</v>
      </c>
      <c r="Q12" s="108" t="s">
        <v>12</v>
      </c>
      <c r="R12" s="115" t="s">
        <v>12</v>
      </c>
      <c r="T12" s="108">
        <v>1050</v>
      </c>
      <c r="U12" s="116" t="s">
        <v>12</v>
      </c>
      <c r="V12" s="111" t="s">
        <v>12</v>
      </c>
      <c r="W12" s="116" t="s">
        <v>12</v>
      </c>
      <c r="Y12" s="122">
        <v>46130</v>
      </c>
      <c r="Z12" s="108" t="s">
        <v>8</v>
      </c>
      <c r="AA12" s="122">
        <v>46136</v>
      </c>
      <c r="AB12" s="122">
        <v>46166</v>
      </c>
      <c r="AC12" s="122">
        <v>46227</v>
      </c>
      <c r="AD12" s="108" t="s">
        <v>1679</v>
      </c>
      <c r="AE12" s="108" t="s">
        <v>12</v>
      </c>
      <c r="AF12" s="108" t="s">
        <v>12</v>
      </c>
      <c r="AG12" s="122">
        <v>46283</v>
      </c>
      <c r="AH12" s="122">
        <v>46289</v>
      </c>
      <c r="AI12" s="108"/>
      <c r="AJ12" s="108" t="s">
        <v>1680</v>
      </c>
      <c r="AK12" s="108" t="s">
        <v>1699</v>
      </c>
    </row>
    <row r="13" spans="1:39" ht="44.1" customHeight="1" x14ac:dyDescent="0.25">
      <c r="A13" s="108"/>
      <c r="B13" s="108" t="s">
        <v>979</v>
      </c>
      <c r="C13" s="108"/>
      <c r="D13" s="207" t="s">
        <v>1700</v>
      </c>
      <c r="E13" s="108">
        <v>67.69</v>
      </c>
      <c r="F13" s="218">
        <v>7443.6</v>
      </c>
      <c r="G13" s="108" t="s">
        <v>27</v>
      </c>
      <c r="H13" s="110" t="s">
        <v>39</v>
      </c>
      <c r="J13" s="111">
        <v>12.75</v>
      </c>
      <c r="K13" s="112" t="s">
        <v>940</v>
      </c>
      <c r="L13" s="113" t="s">
        <v>963</v>
      </c>
      <c r="N13" s="120" t="s">
        <v>1672</v>
      </c>
      <c r="O13" s="114" t="s">
        <v>1678</v>
      </c>
      <c r="Q13" s="108" t="s">
        <v>1526</v>
      </c>
      <c r="R13" s="115" t="s">
        <v>12</v>
      </c>
      <c r="T13" s="111">
        <v>1250</v>
      </c>
      <c r="U13" s="116" t="s">
        <v>12</v>
      </c>
      <c r="V13" s="111" t="s">
        <v>12</v>
      </c>
      <c r="W13" s="116" t="s">
        <v>12</v>
      </c>
      <c r="Y13" s="122">
        <v>46094</v>
      </c>
      <c r="Z13" s="108" t="s">
        <v>8</v>
      </c>
      <c r="AA13" s="122">
        <v>46136</v>
      </c>
      <c r="AB13" s="122">
        <v>46297</v>
      </c>
      <c r="AC13" s="122"/>
      <c r="AD13" s="108" t="s">
        <v>1701</v>
      </c>
      <c r="AE13" s="108" t="s">
        <v>12</v>
      </c>
      <c r="AF13" s="108" t="s">
        <v>12</v>
      </c>
      <c r="AG13" s="108"/>
      <c r="AH13" s="108"/>
      <c r="AI13" s="108"/>
      <c r="AJ13" s="108" t="s">
        <v>1702</v>
      </c>
      <c r="AK13" s="108" t="s">
        <v>1703</v>
      </c>
    </row>
    <row r="14" spans="1:39" ht="44.1" customHeight="1" x14ac:dyDescent="0.25">
      <c r="A14" s="108" t="s">
        <v>1686</v>
      </c>
      <c r="B14" s="108" t="s">
        <v>50</v>
      </c>
      <c r="C14" s="108" t="s">
        <v>1687</v>
      </c>
      <c r="D14" s="207" t="s">
        <v>1704</v>
      </c>
      <c r="E14" s="108">
        <v>59.67</v>
      </c>
      <c r="F14" s="218">
        <v>113701.83224399976</v>
      </c>
      <c r="G14" s="108" t="s">
        <v>24</v>
      </c>
      <c r="H14" s="110" t="s">
        <v>42</v>
      </c>
      <c r="J14" s="111">
        <f>MID(B14,4,4)/100</f>
        <v>1.8</v>
      </c>
      <c r="K14" s="112" t="s">
        <v>1314</v>
      </c>
      <c r="L14" s="113" t="s">
        <v>1689</v>
      </c>
      <c r="N14" s="118" t="s">
        <v>12</v>
      </c>
      <c r="O14" s="114" t="s">
        <v>12</v>
      </c>
      <c r="P14" s="50"/>
      <c r="Q14" s="108" t="s">
        <v>12</v>
      </c>
      <c r="R14" s="115" t="s">
        <v>12</v>
      </c>
      <c r="S14" s="50"/>
      <c r="T14" s="111" t="s">
        <v>12</v>
      </c>
      <c r="U14" s="116" t="s">
        <v>12</v>
      </c>
      <c r="V14" s="111" t="s">
        <v>12</v>
      </c>
      <c r="W14" s="116" t="s">
        <v>12</v>
      </c>
      <c r="Y14" s="108" t="s">
        <v>1674</v>
      </c>
      <c r="Z14" s="108" t="s">
        <v>8</v>
      </c>
      <c r="AA14" s="122">
        <v>46093</v>
      </c>
      <c r="AB14" s="122">
        <v>46108</v>
      </c>
      <c r="AC14" s="122">
        <v>46155</v>
      </c>
      <c r="AD14" s="108" t="s">
        <v>1684</v>
      </c>
      <c r="AE14" s="122">
        <v>46231</v>
      </c>
      <c r="AF14" s="122">
        <v>46248</v>
      </c>
      <c r="AG14" s="122">
        <v>46174</v>
      </c>
      <c r="AH14" s="122">
        <v>46174</v>
      </c>
      <c r="AI14" s="122">
        <v>46285</v>
      </c>
      <c r="AJ14" s="108" t="s">
        <v>1690</v>
      </c>
      <c r="AK14" s="147" t="s">
        <v>96</v>
      </c>
    </row>
    <row r="15" spans="1:39" ht="44.1" customHeight="1" x14ac:dyDescent="0.25">
      <c r="A15" s="108" t="s">
        <v>1686</v>
      </c>
      <c r="B15" s="108" t="s">
        <v>52</v>
      </c>
      <c r="C15" s="108" t="s">
        <v>1687</v>
      </c>
      <c r="D15" s="207" t="s">
        <v>1705</v>
      </c>
      <c r="E15" s="108">
        <v>36.520000000000003</v>
      </c>
      <c r="F15" s="218">
        <f>66510.6497055+47086.87</f>
        <v>113597.51970550002</v>
      </c>
      <c r="G15" s="108" t="s">
        <v>24</v>
      </c>
      <c r="H15" s="110" t="s">
        <v>51</v>
      </c>
      <c r="J15" s="111">
        <f>MID(B15,4,4)/100</f>
        <v>1.4</v>
      </c>
      <c r="K15" s="112" t="s">
        <v>1322</v>
      </c>
      <c r="L15" s="113" t="s">
        <v>1706</v>
      </c>
      <c r="N15" s="118" t="s">
        <v>12</v>
      </c>
      <c r="O15" s="114" t="s">
        <v>12</v>
      </c>
      <c r="P15" s="50"/>
      <c r="Q15" s="108" t="s">
        <v>12</v>
      </c>
      <c r="R15" s="115" t="s">
        <v>12</v>
      </c>
      <c r="S15" s="50"/>
      <c r="T15" s="111">
        <v>517</v>
      </c>
      <c r="U15" s="116" t="s">
        <v>12</v>
      </c>
      <c r="V15" s="111">
        <v>575</v>
      </c>
      <c r="W15" s="116">
        <v>565</v>
      </c>
      <c r="Y15" s="108" t="s">
        <v>1674</v>
      </c>
      <c r="Z15" s="108" t="s">
        <v>10</v>
      </c>
      <c r="AA15" s="122" t="s">
        <v>1693</v>
      </c>
      <c r="AB15" s="122" t="s">
        <v>1693</v>
      </c>
      <c r="AC15" s="122" t="s">
        <v>1693</v>
      </c>
      <c r="AD15" s="122" t="s">
        <v>1693</v>
      </c>
      <c r="AE15" s="122" t="s">
        <v>1693</v>
      </c>
      <c r="AF15" s="122" t="s">
        <v>1693</v>
      </c>
      <c r="AG15" s="122" t="s">
        <v>1693</v>
      </c>
      <c r="AH15" s="122" t="s">
        <v>1693</v>
      </c>
      <c r="AI15" s="122" t="s">
        <v>1693</v>
      </c>
      <c r="AJ15" s="122" t="s">
        <v>1693</v>
      </c>
      <c r="AK15" s="108" t="s">
        <v>1707</v>
      </c>
    </row>
    <row r="16" spans="1:39" ht="44.1" customHeight="1" x14ac:dyDescent="0.25">
      <c r="A16" s="110" t="s">
        <v>1686</v>
      </c>
      <c r="B16" s="108" t="s">
        <v>71</v>
      </c>
      <c r="C16" s="108" t="s">
        <v>1687</v>
      </c>
      <c r="D16" s="110" t="s">
        <v>1708</v>
      </c>
      <c r="E16" s="108">
        <v>25.64</v>
      </c>
      <c r="F16" s="203">
        <f>47874.1634078397+63041.48</f>
        <v>110915.6434078397</v>
      </c>
      <c r="G16" s="108" t="s">
        <v>24</v>
      </c>
      <c r="H16" s="110" t="s">
        <v>42</v>
      </c>
      <c r="J16" s="111">
        <f>MID(B16,4,4)/100</f>
        <v>1.8</v>
      </c>
      <c r="K16" s="112" t="s">
        <v>1314</v>
      </c>
      <c r="L16" s="204" t="s">
        <v>1709</v>
      </c>
      <c r="N16" s="118" t="s">
        <v>12</v>
      </c>
      <c r="O16" s="114" t="s">
        <v>12</v>
      </c>
      <c r="P16" s="50"/>
      <c r="Q16" s="108" t="s">
        <v>12</v>
      </c>
      <c r="R16" s="115" t="s">
        <v>12</v>
      </c>
      <c r="S16" s="50"/>
      <c r="T16" s="111">
        <v>466</v>
      </c>
      <c r="U16" s="116">
        <v>451</v>
      </c>
      <c r="V16" s="111">
        <v>185</v>
      </c>
      <c r="W16" s="116">
        <v>185</v>
      </c>
      <c r="Y16" s="108" t="s">
        <v>1674</v>
      </c>
      <c r="Z16" s="108" t="s">
        <v>8</v>
      </c>
      <c r="AA16" s="122">
        <v>46093</v>
      </c>
      <c r="AB16" s="122">
        <v>46118</v>
      </c>
      <c r="AC16" s="122">
        <v>46155</v>
      </c>
      <c r="AD16" s="108" t="s">
        <v>1684</v>
      </c>
      <c r="AE16" s="108" t="s">
        <v>1710</v>
      </c>
      <c r="AF16" s="108" t="s">
        <v>1710</v>
      </c>
      <c r="AG16" s="108"/>
      <c r="AH16" s="108"/>
      <c r="AI16" s="122"/>
      <c r="AJ16" s="147" t="s">
        <v>1711</v>
      </c>
      <c r="AK16" s="147" t="s">
        <v>1712</v>
      </c>
    </row>
    <row r="17" spans="1:38" ht="44.1" customHeight="1" x14ac:dyDescent="0.25">
      <c r="A17" s="108"/>
      <c r="B17" s="108" t="s">
        <v>47</v>
      </c>
      <c r="C17" s="108"/>
      <c r="D17" s="207" t="s">
        <v>863</v>
      </c>
      <c r="E17" s="108">
        <v>52.22</v>
      </c>
      <c r="F17" s="203">
        <v>117470.3</v>
      </c>
      <c r="G17" s="108" t="s">
        <v>27</v>
      </c>
      <c r="H17" s="110" t="s">
        <v>36</v>
      </c>
      <c r="J17" s="108">
        <v>9.75</v>
      </c>
      <c r="K17" s="112" t="s">
        <v>984</v>
      </c>
      <c r="L17" s="116" t="s">
        <v>963</v>
      </c>
      <c r="N17" s="120" t="s">
        <v>1673</v>
      </c>
      <c r="O17" s="114" t="s">
        <v>1713</v>
      </c>
      <c r="Q17" s="108" t="s">
        <v>12</v>
      </c>
      <c r="R17" s="115" t="s">
        <v>12</v>
      </c>
      <c r="T17" s="111" t="s">
        <v>12</v>
      </c>
      <c r="U17" s="116" t="s">
        <v>12</v>
      </c>
      <c r="V17" s="111" t="s">
        <v>12</v>
      </c>
      <c r="W17" s="116" t="s">
        <v>12</v>
      </c>
      <c r="Y17" s="108" t="s">
        <v>1674</v>
      </c>
      <c r="Z17" s="108" t="s">
        <v>8</v>
      </c>
      <c r="AA17" s="122">
        <v>46162</v>
      </c>
      <c r="AB17" s="122">
        <v>46193</v>
      </c>
      <c r="AC17" s="122">
        <v>46181</v>
      </c>
      <c r="AD17" s="122" t="s">
        <v>1684</v>
      </c>
      <c r="AE17" s="108" t="s">
        <v>1710</v>
      </c>
      <c r="AF17" s="108" t="s">
        <v>12</v>
      </c>
      <c r="AG17" s="122">
        <v>46240</v>
      </c>
      <c r="AH17" s="122">
        <v>46240</v>
      </c>
      <c r="AI17" s="201">
        <v>46357</v>
      </c>
      <c r="AJ17" s="108" t="s">
        <v>1690</v>
      </c>
      <c r="AK17" s="108" t="s">
        <v>1714</v>
      </c>
    </row>
    <row r="18" spans="1:38" ht="44.1" customHeight="1" x14ac:dyDescent="0.25">
      <c r="A18" s="108"/>
      <c r="B18" s="108" t="s">
        <v>990</v>
      </c>
      <c r="C18" s="108"/>
      <c r="D18" s="207" t="s">
        <v>991</v>
      </c>
      <c r="E18" s="108">
        <v>45.75</v>
      </c>
      <c r="F18" s="203">
        <v>0</v>
      </c>
      <c r="G18" s="108" t="s">
        <v>27</v>
      </c>
      <c r="H18" s="110" t="s">
        <v>36</v>
      </c>
      <c r="J18" s="108">
        <v>5.8</v>
      </c>
      <c r="K18" s="111" t="s">
        <v>12</v>
      </c>
      <c r="L18" s="116" t="s">
        <v>12</v>
      </c>
      <c r="N18" s="120" t="s">
        <v>12</v>
      </c>
      <c r="O18" s="114" t="s">
        <v>12</v>
      </c>
      <c r="Q18" s="108" t="s">
        <v>12</v>
      </c>
      <c r="R18" s="115" t="s">
        <v>12</v>
      </c>
      <c r="T18" s="108">
        <v>1500</v>
      </c>
      <c r="U18" s="116" t="s">
        <v>12</v>
      </c>
      <c r="V18" s="123" t="s">
        <v>1715</v>
      </c>
      <c r="W18" s="121" t="s">
        <v>1716</v>
      </c>
      <c r="Y18" s="108" t="s">
        <v>1674</v>
      </c>
      <c r="Z18" s="108" t="s">
        <v>12</v>
      </c>
      <c r="AA18" s="108" t="s">
        <v>12</v>
      </c>
      <c r="AB18" s="108" t="s">
        <v>12</v>
      </c>
      <c r="AC18" s="108" t="s">
        <v>12</v>
      </c>
      <c r="AD18" s="108" t="s">
        <v>1684</v>
      </c>
      <c r="AE18" s="108" t="s">
        <v>12</v>
      </c>
      <c r="AF18" s="108" t="s">
        <v>12</v>
      </c>
      <c r="AG18" s="108" t="s">
        <v>12</v>
      </c>
      <c r="AH18" s="108" t="s">
        <v>12</v>
      </c>
      <c r="AI18" s="108" t="s">
        <v>12</v>
      </c>
      <c r="AJ18" s="108" t="s">
        <v>1680</v>
      </c>
      <c r="AK18" s="108" t="s">
        <v>1717</v>
      </c>
    </row>
    <row r="19" spans="1:38" ht="44.1" customHeight="1" x14ac:dyDescent="0.25">
      <c r="A19" s="108"/>
      <c r="B19" s="108" t="s">
        <v>995</v>
      </c>
      <c r="C19" s="108"/>
      <c r="D19" s="207" t="s">
        <v>991</v>
      </c>
      <c r="E19" s="108">
        <v>44.43</v>
      </c>
      <c r="F19" s="203"/>
      <c r="G19" s="108" t="s">
        <v>27</v>
      </c>
      <c r="H19" s="110" t="s">
        <v>53</v>
      </c>
      <c r="J19" s="124">
        <v>6.8</v>
      </c>
      <c r="K19" s="112" t="s">
        <v>996</v>
      </c>
      <c r="L19" s="115" t="s">
        <v>12</v>
      </c>
      <c r="N19" s="120" t="s">
        <v>1672</v>
      </c>
      <c r="O19" s="114" t="s">
        <v>12</v>
      </c>
      <c r="Q19" s="108" t="s">
        <v>12</v>
      </c>
      <c r="R19" s="115" t="s">
        <v>12</v>
      </c>
      <c r="T19" s="111">
        <v>1500</v>
      </c>
      <c r="U19" s="116" t="s">
        <v>12</v>
      </c>
      <c r="V19" s="111" t="s">
        <v>1718</v>
      </c>
      <c r="W19" s="121" t="s">
        <v>1719</v>
      </c>
      <c r="Y19" s="108" t="s">
        <v>1674</v>
      </c>
      <c r="Z19" s="108" t="s">
        <v>12</v>
      </c>
      <c r="AA19" s="108" t="s">
        <v>12</v>
      </c>
      <c r="AB19" s="108" t="s">
        <v>12</v>
      </c>
      <c r="AC19" s="108" t="s">
        <v>12</v>
      </c>
      <c r="AD19" s="108" t="s">
        <v>1684</v>
      </c>
      <c r="AE19" s="108" t="s">
        <v>12</v>
      </c>
      <c r="AF19" s="108" t="s">
        <v>12</v>
      </c>
      <c r="AG19" s="108" t="s">
        <v>12</v>
      </c>
      <c r="AH19" s="108" t="s">
        <v>12</v>
      </c>
      <c r="AI19" s="108"/>
      <c r="AJ19" s="108" t="s">
        <v>1680</v>
      </c>
      <c r="AK19" s="108" t="s">
        <v>1717</v>
      </c>
    </row>
    <row r="20" spans="1:38" ht="44.1" customHeight="1" x14ac:dyDescent="0.25">
      <c r="A20" s="108"/>
      <c r="B20" s="108" t="s">
        <v>995</v>
      </c>
      <c r="C20" s="108"/>
      <c r="D20" s="207" t="s">
        <v>991</v>
      </c>
      <c r="E20" s="108">
        <v>44.43</v>
      </c>
      <c r="F20" s="203"/>
      <c r="G20" s="108" t="s">
        <v>27</v>
      </c>
      <c r="H20" s="110" t="s">
        <v>39</v>
      </c>
      <c r="J20" s="124">
        <v>6.8</v>
      </c>
      <c r="K20" s="112" t="s">
        <v>996</v>
      </c>
      <c r="L20" s="116" t="s">
        <v>1720</v>
      </c>
      <c r="N20" s="120" t="s">
        <v>1672</v>
      </c>
      <c r="O20" s="114" t="s">
        <v>1678</v>
      </c>
      <c r="Q20" s="108" t="s">
        <v>12</v>
      </c>
      <c r="R20" s="115" t="s">
        <v>12</v>
      </c>
      <c r="T20" s="111">
        <v>1500</v>
      </c>
      <c r="U20" s="116" t="s">
        <v>12</v>
      </c>
      <c r="V20" s="111" t="s">
        <v>12</v>
      </c>
      <c r="W20" s="116" t="s">
        <v>12</v>
      </c>
      <c r="Y20" s="108" t="s">
        <v>1674</v>
      </c>
      <c r="Z20" s="108" t="s">
        <v>8</v>
      </c>
      <c r="AA20" s="122">
        <v>46192</v>
      </c>
      <c r="AB20" s="122">
        <v>46232</v>
      </c>
      <c r="AC20" s="122">
        <v>46240</v>
      </c>
      <c r="AD20" s="122" t="s">
        <v>1679</v>
      </c>
      <c r="AE20" s="108"/>
      <c r="AF20" s="108"/>
      <c r="AG20" s="108"/>
      <c r="AH20" s="108"/>
      <c r="AI20" s="108"/>
      <c r="AJ20" s="108" t="s">
        <v>1721</v>
      </c>
      <c r="AK20" s="110" t="s">
        <v>1722</v>
      </c>
    </row>
    <row r="21" spans="1:38" ht="44.1" customHeight="1" x14ac:dyDescent="0.25">
      <c r="A21" s="108"/>
      <c r="B21" s="108" t="s">
        <v>73</v>
      </c>
      <c r="C21" s="108" t="s">
        <v>1723</v>
      </c>
      <c r="D21" s="209" t="s">
        <v>1724</v>
      </c>
      <c r="E21" s="108">
        <v>171.51</v>
      </c>
      <c r="F21" s="203">
        <v>96985.81</v>
      </c>
      <c r="G21" s="108" t="s">
        <v>24</v>
      </c>
      <c r="H21" s="110" t="s">
        <v>42</v>
      </c>
      <c r="J21" s="228" t="s">
        <v>12</v>
      </c>
      <c r="K21" s="229"/>
      <c r="L21" s="230"/>
      <c r="N21" s="120" t="s">
        <v>12</v>
      </c>
      <c r="O21" s="114" t="s">
        <v>12</v>
      </c>
      <c r="Q21" s="118" t="s">
        <v>12</v>
      </c>
      <c r="R21" s="114" t="s">
        <v>12</v>
      </c>
      <c r="T21" s="111">
        <v>1350</v>
      </c>
      <c r="U21" s="116">
        <v>1345</v>
      </c>
      <c r="V21" s="111">
        <v>315</v>
      </c>
      <c r="W21" s="116" t="s">
        <v>12</v>
      </c>
      <c r="Y21" s="108" t="s">
        <v>1674</v>
      </c>
      <c r="Z21" s="108" t="s">
        <v>8</v>
      </c>
      <c r="AA21" s="122">
        <v>46093</v>
      </c>
      <c r="AB21" s="122">
        <v>46237</v>
      </c>
      <c r="AC21" s="122">
        <v>46223</v>
      </c>
      <c r="AD21" s="122" t="s">
        <v>1679</v>
      </c>
      <c r="AE21" s="108" t="s">
        <v>1710</v>
      </c>
      <c r="AF21" s="108" t="s">
        <v>1710</v>
      </c>
      <c r="AG21" s="108"/>
      <c r="AH21" s="108"/>
      <c r="AI21" s="122">
        <v>46285</v>
      </c>
      <c r="AJ21" s="147" t="s">
        <v>1711</v>
      </c>
      <c r="AK21" s="110" t="s">
        <v>1725</v>
      </c>
      <c r="AL21" t="s">
        <v>1726</v>
      </c>
    </row>
    <row r="22" spans="1:38" ht="45" x14ac:dyDescent="0.25">
      <c r="A22" s="108"/>
      <c r="B22" s="108" t="s">
        <v>1328</v>
      </c>
      <c r="C22" s="108" t="s">
        <v>1727</v>
      </c>
      <c r="D22" s="108" t="s">
        <v>1728</v>
      </c>
      <c r="E22" s="108">
        <v>34.83</v>
      </c>
      <c r="F22" s="203">
        <f>13191.83+78959.6057250004</f>
        <v>92151.435725000396</v>
      </c>
      <c r="G22" s="108" t="s">
        <v>24</v>
      </c>
      <c r="H22" s="108" t="s">
        <v>42</v>
      </c>
      <c r="J22" s="205">
        <v>1.2</v>
      </c>
      <c r="K22" s="206" t="s">
        <v>1309</v>
      </c>
      <c r="L22" s="121" t="s">
        <v>1729</v>
      </c>
      <c r="N22" s="118" t="s">
        <v>1730</v>
      </c>
      <c r="O22" s="114" t="s">
        <v>1731</v>
      </c>
      <c r="Q22" s="108" t="s">
        <v>12</v>
      </c>
      <c r="R22" s="115" t="s">
        <v>12</v>
      </c>
      <c r="T22" s="111" t="s">
        <v>12</v>
      </c>
      <c r="U22" s="116" t="s">
        <v>12</v>
      </c>
      <c r="V22" s="111" t="s">
        <v>12</v>
      </c>
      <c r="W22" s="116" t="s">
        <v>12</v>
      </c>
      <c r="Y22" s="108" t="s">
        <v>1674</v>
      </c>
      <c r="Z22" s="108" t="s">
        <v>12</v>
      </c>
      <c r="AA22" s="122" t="s">
        <v>1693</v>
      </c>
      <c r="AB22" s="122" t="s">
        <v>1693</v>
      </c>
      <c r="AC22" s="122" t="s">
        <v>1693</v>
      </c>
      <c r="AD22" s="122" t="s">
        <v>1693</v>
      </c>
      <c r="AE22" s="122" t="s">
        <v>1693</v>
      </c>
      <c r="AF22" s="122" t="s">
        <v>1693</v>
      </c>
      <c r="AG22" s="122" t="s">
        <v>1693</v>
      </c>
      <c r="AH22" s="122" t="s">
        <v>1693</v>
      </c>
      <c r="AI22" s="122" t="s">
        <v>1693</v>
      </c>
      <c r="AJ22" s="122" t="s">
        <v>1693</v>
      </c>
      <c r="AK22" s="110" t="s">
        <v>1732</v>
      </c>
    </row>
    <row r="23" spans="1:38" ht="45" x14ac:dyDescent="0.25">
      <c r="A23" s="110" t="s">
        <v>1686</v>
      </c>
      <c r="B23" s="108" t="s">
        <v>1335</v>
      </c>
      <c r="C23" s="108" t="s">
        <v>1687</v>
      </c>
      <c r="D23" s="108" t="s">
        <v>1733</v>
      </c>
      <c r="E23" s="108">
        <v>24.12</v>
      </c>
      <c r="F23" s="203">
        <v>80839.72780537518</v>
      </c>
      <c r="G23" s="108" t="s">
        <v>24</v>
      </c>
      <c r="H23" s="108" t="s">
        <v>42</v>
      </c>
      <c r="J23" s="205">
        <f>MID(B23,4,4)/100</f>
        <v>0.7</v>
      </c>
      <c r="K23" s="206" t="s">
        <v>1336</v>
      </c>
      <c r="L23" s="121" t="s">
        <v>1734</v>
      </c>
      <c r="N23" s="118" t="s">
        <v>12</v>
      </c>
      <c r="O23" s="114" t="s">
        <v>12</v>
      </c>
      <c r="P23" s="50"/>
      <c r="Q23" s="108" t="s">
        <v>12</v>
      </c>
      <c r="R23" s="115" t="s">
        <v>12</v>
      </c>
      <c r="S23" s="50"/>
      <c r="T23" s="111" t="s">
        <v>12</v>
      </c>
      <c r="U23" s="116" t="s">
        <v>12</v>
      </c>
      <c r="V23" s="111" t="s">
        <v>12</v>
      </c>
      <c r="W23" s="116" t="s">
        <v>12</v>
      </c>
      <c r="Y23" s="108" t="s">
        <v>1674</v>
      </c>
      <c r="Z23" s="108" t="s">
        <v>12</v>
      </c>
      <c r="AA23" s="122" t="s">
        <v>1693</v>
      </c>
      <c r="AB23" s="122" t="s">
        <v>1693</v>
      </c>
      <c r="AC23" s="122" t="s">
        <v>1693</v>
      </c>
      <c r="AD23" s="122" t="s">
        <v>1693</v>
      </c>
      <c r="AE23" s="122" t="s">
        <v>1693</v>
      </c>
      <c r="AF23" s="122" t="s">
        <v>1693</v>
      </c>
      <c r="AG23" s="122" t="s">
        <v>1693</v>
      </c>
      <c r="AH23" s="122" t="s">
        <v>1693</v>
      </c>
      <c r="AI23" s="122" t="s">
        <v>1693</v>
      </c>
      <c r="AJ23" s="122" t="s">
        <v>1693</v>
      </c>
      <c r="AK23" s="110" t="s">
        <v>1732</v>
      </c>
    </row>
    <row r="24" spans="1:38" ht="44.1" customHeight="1" x14ac:dyDescent="0.25">
      <c r="A24" s="110" t="s">
        <v>1686</v>
      </c>
      <c r="B24" s="108" t="s">
        <v>74</v>
      </c>
      <c r="C24" s="108" t="s">
        <v>1687</v>
      </c>
      <c r="D24" s="207" t="s">
        <v>1735</v>
      </c>
      <c r="E24" s="108">
        <v>58.78</v>
      </c>
      <c r="F24" s="203">
        <v>77871.275812968903</v>
      </c>
      <c r="G24" s="108" t="s">
        <v>24</v>
      </c>
      <c r="H24" s="110" t="s">
        <v>42</v>
      </c>
      <c r="J24" s="205">
        <f>MID(B24,4,4)/100</f>
        <v>1.5</v>
      </c>
      <c r="K24" s="206" t="s">
        <v>1304</v>
      </c>
      <c r="L24" s="121" t="s">
        <v>1736</v>
      </c>
      <c r="N24" s="118" t="s">
        <v>12</v>
      </c>
      <c r="O24" s="114" t="s">
        <v>12</v>
      </c>
      <c r="P24" s="50"/>
      <c r="Q24" s="108" t="s">
        <v>12</v>
      </c>
      <c r="R24" s="115" t="s">
        <v>12</v>
      </c>
      <c r="S24" s="50"/>
      <c r="T24" s="108" t="s">
        <v>12</v>
      </c>
      <c r="U24" s="115" t="s">
        <v>12</v>
      </c>
      <c r="V24" s="108" t="s">
        <v>12</v>
      </c>
      <c r="W24" s="115" t="s">
        <v>12</v>
      </c>
      <c r="Y24" s="108" t="s">
        <v>1674</v>
      </c>
      <c r="Z24" s="108" t="s">
        <v>8</v>
      </c>
      <c r="AA24" s="122">
        <v>46093</v>
      </c>
      <c r="AB24" s="122">
        <v>46108</v>
      </c>
      <c r="AC24" s="122">
        <v>46155</v>
      </c>
      <c r="AD24" s="122" t="s">
        <v>1684</v>
      </c>
      <c r="AE24" s="122">
        <v>46231</v>
      </c>
      <c r="AF24" s="122">
        <v>46248</v>
      </c>
      <c r="AG24" s="122">
        <v>46174</v>
      </c>
      <c r="AH24" s="122">
        <v>46174</v>
      </c>
      <c r="AI24" s="122">
        <v>46285</v>
      </c>
      <c r="AJ24" s="108" t="s">
        <v>1690</v>
      </c>
      <c r="AK24" s="147" t="s">
        <v>96</v>
      </c>
    </row>
    <row r="25" spans="1:38" ht="45" x14ac:dyDescent="0.25">
      <c r="A25" s="110" t="s">
        <v>1686</v>
      </c>
      <c r="B25" s="108" t="s">
        <v>75</v>
      </c>
      <c r="C25" s="108" t="s">
        <v>1687</v>
      </c>
      <c r="D25" s="207" t="s">
        <v>1737</v>
      </c>
      <c r="E25" s="108">
        <v>21.47</v>
      </c>
      <c r="F25" s="203">
        <f>10393.72+31672.6645679009+34645.74</f>
        <v>76712.124567900901</v>
      </c>
      <c r="G25" s="108" t="s">
        <v>24</v>
      </c>
      <c r="H25" s="110" t="s">
        <v>42</v>
      </c>
      <c r="J25" s="205">
        <f>MID(B25,4,4)/100</f>
        <v>1.2</v>
      </c>
      <c r="K25" s="206" t="s">
        <v>1336</v>
      </c>
      <c r="L25" s="121" t="s">
        <v>1738</v>
      </c>
      <c r="N25" s="118" t="s">
        <v>1730</v>
      </c>
      <c r="O25" s="114" t="s">
        <v>1731</v>
      </c>
      <c r="P25" s="50"/>
      <c r="Q25" s="108" t="s">
        <v>12</v>
      </c>
      <c r="R25" s="115" t="s">
        <v>12</v>
      </c>
      <c r="S25" s="50"/>
      <c r="T25" s="108">
        <v>950</v>
      </c>
      <c r="U25" s="115">
        <v>930</v>
      </c>
      <c r="V25" s="108">
        <v>378</v>
      </c>
      <c r="W25" s="115">
        <v>378</v>
      </c>
      <c r="Y25" s="108" t="s">
        <v>1674</v>
      </c>
      <c r="Z25" s="108" t="s">
        <v>8</v>
      </c>
      <c r="AA25" s="122">
        <v>46184</v>
      </c>
      <c r="AB25" s="122">
        <v>46237</v>
      </c>
      <c r="AC25" s="147">
        <v>46223</v>
      </c>
      <c r="AD25" s="122" t="s">
        <v>1679</v>
      </c>
      <c r="AE25" s="108" t="s">
        <v>1710</v>
      </c>
      <c r="AF25" s="108" t="s">
        <v>1710</v>
      </c>
      <c r="AG25" s="108"/>
      <c r="AH25" s="108"/>
      <c r="AI25" s="108"/>
      <c r="AJ25" s="147" t="s">
        <v>1711</v>
      </c>
      <c r="AK25" s="110" t="s">
        <v>1739</v>
      </c>
      <c r="AL25" t="s">
        <v>1726</v>
      </c>
    </row>
    <row r="26" spans="1:38" ht="64.900000000000006" customHeight="1" x14ac:dyDescent="0.25">
      <c r="A26" s="110" t="s">
        <v>1686</v>
      </c>
      <c r="B26" s="108" t="s">
        <v>1342</v>
      </c>
      <c r="C26" s="108" t="s">
        <v>1687</v>
      </c>
      <c r="D26" s="108" t="s">
        <v>1740</v>
      </c>
      <c r="E26" s="108">
        <v>19.170000000000002</v>
      </c>
      <c r="F26" s="203">
        <v>43204.421619449888</v>
      </c>
      <c r="G26" s="108" t="s">
        <v>24</v>
      </c>
      <c r="H26" s="108" t="s">
        <v>42</v>
      </c>
      <c r="J26" s="205">
        <f>MID(B26,4,4)/100</f>
        <v>0.7</v>
      </c>
      <c r="K26" s="206" t="s">
        <v>1336</v>
      </c>
      <c r="L26" s="121" t="s">
        <v>1734</v>
      </c>
      <c r="N26" s="118" t="s">
        <v>12</v>
      </c>
      <c r="O26" s="114" t="s">
        <v>12</v>
      </c>
      <c r="P26" s="50"/>
      <c r="Q26" s="108" t="s">
        <v>12</v>
      </c>
      <c r="R26" s="115" t="s">
        <v>12</v>
      </c>
      <c r="S26" s="50"/>
      <c r="T26" s="111" t="s">
        <v>12</v>
      </c>
      <c r="U26" s="116" t="s">
        <v>12</v>
      </c>
      <c r="V26" s="111" t="s">
        <v>12</v>
      </c>
      <c r="W26" s="116" t="s">
        <v>12</v>
      </c>
      <c r="Y26" s="108" t="s">
        <v>1674</v>
      </c>
      <c r="Z26" s="108" t="s">
        <v>12</v>
      </c>
      <c r="AA26" s="122" t="s">
        <v>1693</v>
      </c>
      <c r="AB26" s="122" t="s">
        <v>1693</v>
      </c>
      <c r="AC26" s="122" t="s">
        <v>1693</v>
      </c>
      <c r="AD26" s="122" t="s">
        <v>1693</v>
      </c>
      <c r="AE26" s="122" t="s">
        <v>1693</v>
      </c>
      <c r="AF26" s="122" t="s">
        <v>1693</v>
      </c>
      <c r="AG26" s="122" t="s">
        <v>1693</v>
      </c>
      <c r="AH26" s="122" t="s">
        <v>1693</v>
      </c>
      <c r="AI26" s="122" t="s">
        <v>1693</v>
      </c>
      <c r="AJ26" s="122" t="s">
        <v>1693</v>
      </c>
      <c r="AK26" s="110" t="s">
        <v>1732</v>
      </c>
    </row>
    <row r="27" spans="1:38" ht="44.1" customHeight="1" x14ac:dyDescent="0.25">
      <c r="A27" s="110" t="s">
        <v>1686</v>
      </c>
      <c r="B27" s="108" t="s">
        <v>76</v>
      </c>
      <c r="C27" s="108" t="s">
        <v>1687</v>
      </c>
      <c r="D27" s="207" t="s">
        <v>1741</v>
      </c>
      <c r="E27" s="108">
        <v>21.47</v>
      </c>
      <c r="F27" s="203">
        <f>11347.81+31670.2095128998</f>
        <v>43018.019512899802</v>
      </c>
      <c r="G27" s="108" t="s">
        <v>24</v>
      </c>
      <c r="H27" s="110" t="s">
        <v>42</v>
      </c>
      <c r="J27" s="205">
        <f>MID(B27,4,4)/100</f>
        <v>1.2</v>
      </c>
      <c r="K27" s="206" t="s">
        <v>1336</v>
      </c>
      <c r="L27" s="121" t="s">
        <v>1738</v>
      </c>
      <c r="N27" s="118" t="s">
        <v>1730</v>
      </c>
      <c r="O27" s="114" t="s">
        <v>1731</v>
      </c>
      <c r="P27" s="50"/>
      <c r="Q27" s="108" t="s">
        <v>12</v>
      </c>
      <c r="R27" s="115" t="s">
        <v>12</v>
      </c>
      <c r="S27" s="50"/>
      <c r="T27" s="111" t="s">
        <v>12</v>
      </c>
      <c r="U27" s="116" t="s">
        <v>12</v>
      </c>
      <c r="V27" s="111" t="s">
        <v>12</v>
      </c>
      <c r="W27" s="116" t="s">
        <v>12</v>
      </c>
      <c r="Y27" s="108" t="s">
        <v>1674</v>
      </c>
      <c r="Z27" s="108" t="s">
        <v>8</v>
      </c>
      <c r="AA27" s="122">
        <v>46093</v>
      </c>
      <c r="AB27" s="122">
        <v>46108</v>
      </c>
      <c r="AC27" s="122">
        <v>46155</v>
      </c>
      <c r="AD27" s="122" t="s">
        <v>1684</v>
      </c>
      <c r="AE27" s="122">
        <v>46231</v>
      </c>
      <c r="AF27" s="122">
        <v>46248</v>
      </c>
      <c r="AG27" s="122">
        <v>46174</v>
      </c>
      <c r="AH27" s="122">
        <v>46174</v>
      </c>
      <c r="AI27" s="122">
        <v>46285</v>
      </c>
      <c r="AJ27" s="108" t="s">
        <v>1690</v>
      </c>
      <c r="AK27" s="147" t="s">
        <v>96</v>
      </c>
    </row>
    <row r="28" spans="1:38" ht="46.9" customHeight="1" x14ac:dyDescent="0.25">
      <c r="A28" s="110" t="s">
        <v>1742</v>
      </c>
      <c r="B28" s="108" t="s">
        <v>1347</v>
      </c>
      <c r="C28" s="108" t="s">
        <v>1743</v>
      </c>
      <c r="D28" s="108" t="s">
        <v>1332</v>
      </c>
      <c r="E28" s="108">
        <v>16.028320000000001</v>
      </c>
      <c r="F28" s="203">
        <v>42227.410696379688</v>
      </c>
      <c r="G28" s="108" t="s">
        <v>24</v>
      </c>
      <c r="H28" s="108" t="s">
        <v>42</v>
      </c>
      <c r="J28" s="205">
        <v>0.65</v>
      </c>
      <c r="K28" s="206" t="s">
        <v>215</v>
      </c>
      <c r="L28" s="121" t="s">
        <v>1744</v>
      </c>
      <c r="N28" s="118" t="s">
        <v>12</v>
      </c>
      <c r="O28" s="114" t="s">
        <v>12</v>
      </c>
      <c r="Q28" s="118" t="s">
        <v>12</v>
      </c>
      <c r="R28" s="114" t="s">
        <v>12</v>
      </c>
      <c r="T28" s="111" t="s">
        <v>12</v>
      </c>
      <c r="U28" s="116" t="s">
        <v>12</v>
      </c>
      <c r="V28" s="111" t="s">
        <v>12</v>
      </c>
      <c r="W28" s="116" t="s">
        <v>12</v>
      </c>
      <c r="Y28" s="108" t="s">
        <v>1674</v>
      </c>
      <c r="Z28" s="108" t="s">
        <v>8</v>
      </c>
      <c r="AA28" s="122" t="s">
        <v>1693</v>
      </c>
      <c r="AB28" s="122" t="s">
        <v>1693</v>
      </c>
      <c r="AC28" s="122" t="s">
        <v>1693</v>
      </c>
      <c r="AD28" s="122" t="s">
        <v>1693</v>
      </c>
      <c r="AE28" s="122" t="s">
        <v>1693</v>
      </c>
      <c r="AF28" s="122" t="s">
        <v>1693</v>
      </c>
      <c r="AG28" s="122" t="s">
        <v>1693</v>
      </c>
      <c r="AH28" s="122" t="s">
        <v>1693</v>
      </c>
      <c r="AI28" s="122" t="s">
        <v>1693</v>
      </c>
      <c r="AJ28" s="122" t="s">
        <v>1693</v>
      </c>
      <c r="AK28" s="110" t="s">
        <v>1693</v>
      </c>
    </row>
    <row r="29" spans="1:38" ht="44.1" customHeight="1" x14ac:dyDescent="0.25">
      <c r="A29" s="108"/>
      <c r="B29" s="108" t="s">
        <v>1331</v>
      </c>
      <c r="C29" s="108" t="s">
        <v>1745</v>
      </c>
      <c r="D29" s="209" t="s">
        <v>1332</v>
      </c>
      <c r="E29" s="108">
        <v>35.130000000000003</v>
      </c>
      <c r="F29" s="220">
        <v>35917.449999999997</v>
      </c>
      <c r="G29" s="108" t="s">
        <v>24</v>
      </c>
      <c r="H29" s="110" t="s">
        <v>42</v>
      </c>
      <c r="J29" s="111" t="s">
        <v>12</v>
      </c>
      <c r="K29" s="111" t="s">
        <v>12</v>
      </c>
      <c r="L29" s="116" t="s">
        <v>12</v>
      </c>
      <c r="N29" s="118" t="s">
        <v>1746</v>
      </c>
      <c r="O29" s="114" t="s">
        <v>1731</v>
      </c>
      <c r="Q29" s="108" t="s">
        <v>12</v>
      </c>
      <c r="R29" s="115" t="s">
        <v>12</v>
      </c>
      <c r="T29" s="111" t="s">
        <v>12</v>
      </c>
      <c r="U29" s="116" t="s">
        <v>12</v>
      </c>
      <c r="V29" s="111" t="s">
        <v>12</v>
      </c>
      <c r="W29" s="116" t="s">
        <v>12</v>
      </c>
      <c r="Y29" s="108" t="s">
        <v>1674</v>
      </c>
      <c r="Z29" s="108" t="s">
        <v>10</v>
      </c>
      <c r="AA29" s="122"/>
      <c r="AB29" s="122"/>
      <c r="AC29" s="108"/>
      <c r="AD29" s="108"/>
      <c r="AE29" s="108"/>
      <c r="AF29" s="108"/>
      <c r="AG29" s="108"/>
      <c r="AH29" s="108"/>
      <c r="AI29" s="108"/>
      <c r="AJ29" s="108" t="s">
        <v>1747</v>
      </c>
      <c r="AK29" s="108"/>
    </row>
    <row r="30" spans="1:38" ht="44.1" customHeight="1" x14ac:dyDescent="0.25">
      <c r="A30" s="188" t="s">
        <v>1748</v>
      </c>
      <c r="B30" s="108" t="s">
        <v>315</v>
      </c>
      <c r="C30" s="108"/>
      <c r="D30" s="207" t="s">
        <v>1749</v>
      </c>
      <c r="E30" s="108">
        <v>22.5</v>
      </c>
      <c r="F30" s="203">
        <v>99381.26</v>
      </c>
      <c r="G30" s="108" t="s">
        <v>34</v>
      </c>
      <c r="H30" s="110" t="s">
        <v>39</v>
      </c>
      <c r="J30" s="108">
        <v>1.5</v>
      </c>
      <c r="K30" s="111" t="s">
        <v>12</v>
      </c>
      <c r="L30" s="116" t="s">
        <v>12</v>
      </c>
      <c r="N30" s="120" t="s">
        <v>12</v>
      </c>
      <c r="O30" s="114" t="s">
        <v>12</v>
      </c>
      <c r="Q30" s="108" t="s">
        <v>12</v>
      </c>
      <c r="R30" s="115" t="s">
        <v>12</v>
      </c>
      <c r="T30" s="108">
        <v>1250</v>
      </c>
      <c r="U30" s="115">
        <v>1200</v>
      </c>
      <c r="V30" s="108">
        <v>210</v>
      </c>
      <c r="W30" s="115">
        <v>195</v>
      </c>
      <c r="Y30" s="108" t="s">
        <v>1674</v>
      </c>
      <c r="Z30" s="108" t="s">
        <v>8</v>
      </c>
      <c r="AA30" s="122">
        <v>46120</v>
      </c>
      <c r="AB30" s="122">
        <v>46141</v>
      </c>
      <c r="AC30" s="122">
        <v>46134</v>
      </c>
      <c r="AD30" s="122" t="s">
        <v>1684</v>
      </c>
      <c r="AE30" s="108" t="s">
        <v>12</v>
      </c>
      <c r="AF30" s="108" t="s">
        <v>12</v>
      </c>
      <c r="AG30" s="108" t="s">
        <v>1750</v>
      </c>
      <c r="AH30" s="122">
        <v>46247</v>
      </c>
      <c r="AI30" s="108" t="s">
        <v>1750</v>
      </c>
      <c r="AJ30" s="108" t="s">
        <v>1680</v>
      </c>
      <c r="AK30" s="108" t="s">
        <v>98</v>
      </c>
    </row>
    <row r="31" spans="1:38" ht="53.65" customHeight="1" x14ac:dyDescent="0.25">
      <c r="A31" s="188" t="s">
        <v>1686</v>
      </c>
      <c r="B31" s="108" t="s">
        <v>1324</v>
      </c>
      <c r="C31" s="108" t="s">
        <v>1687</v>
      </c>
      <c r="D31" s="207" t="s">
        <v>1751</v>
      </c>
      <c r="E31" s="108">
        <v>36.06</v>
      </c>
      <c r="F31" s="203">
        <v>28224.957600000023</v>
      </c>
      <c r="G31" s="108" t="s">
        <v>24</v>
      </c>
      <c r="H31" s="110" t="s">
        <v>42</v>
      </c>
      <c r="J31" s="108">
        <f>MID(B31,4,4)/100</f>
        <v>1.75</v>
      </c>
      <c r="K31" s="111" t="s">
        <v>1304</v>
      </c>
      <c r="L31" s="121" t="s">
        <v>1752</v>
      </c>
      <c r="N31" s="118" t="s">
        <v>12</v>
      </c>
      <c r="O31" s="114" t="s">
        <v>12</v>
      </c>
      <c r="P31" s="50"/>
      <c r="Q31" s="108" t="s">
        <v>12</v>
      </c>
      <c r="R31" s="115" t="s">
        <v>12</v>
      </c>
      <c r="S31" s="50"/>
      <c r="T31" s="111" t="s">
        <v>12</v>
      </c>
      <c r="U31" s="116" t="s">
        <v>12</v>
      </c>
      <c r="V31" s="111" t="s">
        <v>12</v>
      </c>
      <c r="W31" s="116" t="s">
        <v>12</v>
      </c>
      <c r="Y31" s="108" t="s">
        <v>1674</v>
      </c>
      <c r="Z31" s="108" t="s">
        <v>8</v>
      </c>
      <c r="AA31" s="122">
        <v>46184</v>
      </c>
      <c r="AB31" s="122">
        <v>46214</v>
      </c>
      <c r="AC31" s="122">
        <v>46227</v>
      </c>
      <c r="AD31" s="122" t="s">
        <v>1684</v>
      </c>
      <c r="AE31" s="122">
        <v>46231</v>
      </c>
      <c r="AF31" s="122">
        <v>46248</v>
      </c>
      <c r="AG31" s="122">
        <v>46235</v>
      </c>
      <c r="AH31" s="122">
        <v>46235</v>
      </c>
      <c r="AI31" s="122">
        <v>46346</v>
      </c>
      <c r="AJ31" s="108" t="s">
        <v>1690</v>
      </c>
      <c r="AK31" s="110" t="s">
        <v>1753</v>
      </c>
    </row>
    <row r="32" spans="1:38" ht="44.1" customHeight="1" x14ac:dyDescent="0.25">
      <c r="A32" s="189" t="s">
        <v>1742</v>
      </c>
      <c r="B32" s="108" t="s">
        <v>1353</v>
      </c>
      <c r="C32" s="108" t="s">
        <v>1743</v>
      </c>
      <c r="D32" s="207" t="s">
        <v>1355</v>
      </c>
      <c r="E32" s="108">
        <v>14.416587500000002</v>
      </c>
      <c r="F32" s="203">
        <v>34245.480172994976</v>
      </c>
      <c r="G32" s="108" t="s">
        <v>24</v>
      </c>
      <c r="H32" s="110" t="s">
        <v>53</v>
      </c>
      <c r="J32" s="108">
        <v>1</v>
      </c>
      <c r="K32" s="111" t="s">
        <v>1354</v>
      </c>
      <c r="L32" s="116" t="s">
        <v>1692</v>
      </c>
      <c r="N32" s="118" t="s">
        <v>12</v>
      </c>
      <c r="O32" s="114" t="s">
        <v>12</v>
      </c>
      <c r="Q32" s="118" t="s">
        <v>12</v>
      </c>
      <c r="R32" s="114" t="s">
        <v>12</v>
      </c>
      <c r="T32" s="111" t="s">
        <v>12</v>
      </c>
      <c r="U32" s="116" t="s">
        <v>12</v>
      </c>
      <c r="V32" s="111" t="s">
        <v>12</v>
      </c>
      <c r="W32" s="116" t="s">
        <v>12</v>
      </c>
      <c r="Y32" s="108" t="s">
        <v>1674</v>
      </c>
      <c r="Z32" s="108" t="s">
        <v>10</v>
      </c>
      <c r="AA32" s="108" t="s">
        <v>1693</v>
      </c>
      <c r="AB32" s="108" t="s">
        <v>1693</v>
      </c>
      <c r="AC32" s="108" t="s">
        <v>1693</v>
      </c>
      <c r="AD32" s="108" t="s">
        <v>1693</v>
      </c>
      <c r="AE32" s="108" t="s">
        <v>1693</v>
      </c>
      <c r="AF32" s="108" t="s">
        <v>1693</v>
      </c>
      <c r="AG32" s="108" t="s">
        <v>1693</v>
      </c>
      <c r="AH32" s="108" t="s">
        <v>1693</v>
      </c>
      <c r="AI32" s="108" t="s">
        <v>1693</v>
      </c>
      <c r="AJ32" s="108" t="s">
        <v>1693</v>
      </c>
      <c r="AK32" s="108" t="s">
        <v>1754</v>
      </c>
    </row>
    <row r="33" spans="1:40" ht="44.1" customHeight="1" x14ac:dyDescent="0.25">
      <c r="A33" s="189" t="s">
        <v>1755</v>
      </c>
      <c r="B33" s="108" t="s">
        <v>48</v>
      </c>
      <c r="C33" s="108"/>
      <c r="D33" s="207" t="s">
        <v>183</v>
      </c>
      <c r="E33" s="108">
        <v>20</v>
      </c>
      <c r="F33" s="203">
        <v>115000</v>
      </c>
      <c r="G33" s="108" t="s">
        <v>34</v>
      </c>
      <c r="H33" s="110" t="s">
        <v>1756</v>
      </c>
      <c r="J33" s="108">
        <v>5.75</v>
      </c>
      <c r="K33" s="111" t="s">
        <v>1757</v>
      </c>
      <c r="L33" s="116" t="s">
        <v>1758</v>
      </c>
      <c r="N33" s="120" t="s">
        <v>12</v>
      </c>
      <c r="O33" s="114" t="s">
        <v>12</v>
      </c>
      <c r="Q33" s="108" t="s">
        <v>12</v>
      </c>
      <c r="R33" s="115" t="s">
        <v>12</v>
      </c>
      <c r="T33" s="108">
        <v>1150</v>
      </c>
      <c r="U33" s="116" t="s">
        <v>12</v>
      </c>
      <c r="V33" s="111" t="s">
        <v>12</v>
      </c>
      <c r="W33" s="116" t="s">
        <v>12</v>
      </c>
      <c r="Y33" s="122">
        <v>46118</v>
      </c>
      <c r="Z33" s="108" t="s">
        <v>8</v>
      </c>
      <c r="AA33" s="122">
        <v>46120</v>
      </c>
      <c r="AB33" s="122">
        <v>46150</v>
      </c>
      <c r="AC33" s="122">
        <v>46127</v>
      </c>
      <c r="AD33" s="122" t="s">
        <v>1684</v>
      </c>
      <c r="AE33" s="108" t="s">
        <v>12</v>
      </c>
      <c r="AF33" s="108" t="s">
        <v>12</v>
      </c>
      <c r="AG33" s="122">
        <v>46266</v>
      </c>
      <c r="AH33" s="122">
        <v>46266</v>
      </c>
      <c r="AI33" s="108" t="s">
        <v>1750</v>
      </c>
      <c r="AJ33" s="108" t="s">
        <v>1680</v>
      </c>
      <c r="AK33" s="108" t="s">
        <v>98</v>
      </c>
    </row>
    <row r="34" spans="1:40" ht="44.1" customHeight="1" x14ac:dyDescent="0.25">
      <c r="A34" s="110" t="s">
        <v>1742</v>
      </c>
      <c r="B34" s="108" t="s">
        <v>1345</v>
      </c>
      <c r="C34" s="108" t="s">
        <v>1743</v>
      </c>
      <c r="D34" s="207" t="s">
        <v>1759</v>
      </c>
      <c r="E34" s="208">
        <v>16.496479999999998</v>
      </c>
      <c r="F34" s="203">
        <v>27611.064772199956</v>
      </c>
      <c r="G34" s="108" t="s">
        <v>24</v>
      </c>
      <c r="H34" s="110" t="s">
        <v>42</v>
      </c>
      <c r="J34" s="108">
        <v>0.8</v>
      </c>
      <c r="K34" s="111" t="s">
        <v>215</v>
      </c>
      <c r="L34" s="116" t="s">
        <v>1760</v>
      </c>
      <c r="N34" s="118" t="s">
        <v>12</v>
      </c>
      <c r="O34" s="114" t="s">
        <v>12</v>
      </c>
      <c r="Q34" s="118" t="s">
        <v>12</v>
      </c>
      <c r="R34" s="114" t="s">
        <v>12</v>
      </c>
      <c r="T34" s="111" t="s">
        <v>12</v>
      </c>
      <c r="U34" s="116" t="s">
        <v>12</v>
      </c>
      <c r="V34" s="111" t="s">
        <v>12</v>
      </c>
      <c r="W34" s="116" t="s">
        <v>12</v>
      </c>
      <c r="Y34" s="108" t="s">
        <v>1674</v>
      </c>
      <c r="Z34" s="108" t="s">
        <v>8</v>
      </c>
      <c r="AA34" s="122">
        <v>46093</v>
      </c>
      <c r="AB34" s="122">
        <v>46108</v>
      </c>
      <c r="AC34" s="122">
        <v>46155</v>
      </c>
      <c r="AD34" s="122" t="s">
        <v>1684</v>
      </c>
      <c r="AE34" s="122">
        <v>46231</v>
      </c>
      <c r="AF34" s="122">
        <v>46248</v>
      </c>
      <c r="AG34" s="122">
        <v>46174</v>
      </c>
      <c r="AH34" s="122">
        <v>46174</v>
      </c>
      <c r="AI34" s="122">
        <v>46285</v>
      </c>
      <c r="AJ34" s="108" t="s">
        <v>1690</v>
      </c>
      <c r="AK34" s="147" t="s">
        <v>96</v>
      </c>
    </row>
    <row r="35" spans="1:40" ht="44.1" customHeight="1" x14ac:dyDescent="0.25">
      <c r="A35" s="110" t="s">
        <v>1742</v>
      </c>
      <c r="B35" s="108" t="s">
        <v>1375</v>
      </c>
      <c r="C35" s="108" t="s">
        <v>1743</v>
      </c>
      <c r="D35" s="207" t="s">
        <v>1310</v>
      </c>
      <c r="E35" s="208">
        <v>10.200945000000001</v>
      </c>
      <c r="F35" s="220">
        <f>13937.7508231501+12721.88</f>
        <v>26659.630823150099</v>
      </c>
      <c r="G35" s="108" t="s">
        <v>24</v>
      </c>
      <c r="H35" s="110" t="s">
        <v>42</v>
      </c>
      <c r="J35" s="108">
        <v>1.2</v>
      </c>
      <c r="K35" s="111" t="s">
        <v>1376</v>
      </c>
      <c r="L35" s="116" t="s">
        <v>1761</v>
      </c>
      <c r="N35" s="118" t="s">
        <v>12</v>
      </c>
      <c r="O35" s="114" t="s">
        <v>12</v>
      </c>
      <c r="Q35" s="118" t="s">
        <v>12</v>
      </c>
      <c r="R35" s="114" t="s">
        <v>12</v>
      </c>
      <c r="T35" s="111">
        <v>525</v>
      </c>
      <c r="U35" s="116">
        <v>515</v>
      </c>
      <c r="V35" s="111">
        <v>140</v>
      </c>
      <c r="W35" s="116">
        <v>140</v>
      </c>
      <c r="Y35" s="108" t="s">
        <v>1674</v>
      </c>
      <c r="Z35" s="108" t="s">
        <v>8</v>
      </c>
      <c r="AA35" s="122">
        <v>46199</v>
      </c>
      <c r="AB35" s="108" t="s">
        <v>1693</v>
      </c>
      <c r="AC35" s="108" t="s">
        <v>1693</v>
      </c>
      <c r="AD35" s="108" t="s">
        <v>1693</v>
      </c>
      <c r="AE35" s="108" t="s">
        <v>1693</v>
      </c>
      <c r="AF35" s="108" t="s">
        <v>1693</v>
      </c>
      <c r="AG35" s="108" t="s">
        <v>1693</v>
      </c>
      <c r="AH35" s="108" t="s">
        <v>1693</v>
      </c>
      <c r="AI35" s="108" t="s">
        <v>1693</v>
      </c>
      <c r="AJ35" s="108" t="s">
        <v>1693</v>
      </c>
      <c r="AK35" s="108" t="s">
        <v>1693</v>
      </c>
    </row>
    <row r="36" spans="1:40" ht="44.1" customHeight="1" x14ac:dyDescent="0.25">
      <c r="A36" s="110" t="s">
        <v>1742</v>
      </c>
      <c r="B36" s="108" t="s">
        <v>1358</v>
      </c>
      <c r="C36" s="108" t="s">
        <v>1743</v>
      </c>
      <c r="D36" s="207" t="s">
        <v>1359</v>
      </c>
      <c r="E36" s="208">
        <v>13.940079999999998</v>
      </c>
      <c r="F36" s="220">
        <v>26601.63473167178</v>
      </c>
      <c r="G36" s="108" t="s">
        <v>24</v>
      </c>
      <c r="H36" s="110" t="s">
        <v>42</v>
      </c>
      <c r="J36" s="108">
        <v>0.7</v>
      </c>
      <c r="K36" s="111" t="s">
        <v>215</v>
      </c>
      <c r="L36" s="116" t="s">
        <v>1762</v>
      </c>
      <c r="N36" s="118" t="s">
        <v>12</v>
      </c>
      <c r="O36" s="114" t="s">
        <v>12</v>
      </c>
      <c r="Q36" s="118" t="s">
        <v>12</v>
      </c>
      <c r="R36" s="114" t="s">
        <v>12</v>
      </c>
      <c r="T36" s="111" t="s">
        <v>12</v>
      </c>
      <c r="U36" s="116" t="s">
        <v>12</v>
      </c>
      <c r="V36" s="111" t="s">
        <v>12</v>
      </c>
      <c r="W36" s="116" t="s">
        <v>12</v>
      </c>
      <c r="Y36" s="108" t="s">
        <v>1674</v>
      </c>
      <c r="Z36" s="108" t="s">
        <v>8</v>
      </c>
      <c r="AA36" s="122">
        <v>46199</v>
      </c>
      <c r="AB36" s="108" t="s">
        <v>1693</v>
      </c>
      <c r="AC36" s="108" t="s">
        <v>1693</v>
      </c>
      <c r="AD36" s="108" t="s">
        <v>1693</v>
      </c>
      <c r="AE36" s="108" t="s">
        <v>1693</v>
      </c>
      <c r="AF36" s="108" t="s">
        <v>1693</v>
      </c>
      <c r="AG36" s="108" t="s">
        <v>1693</v>
      </c>
      <c r="AH36" s="108" t="s">
        <v>1693</v>
      </c>
      <c r="AI36" s="108" t="s">
        <v>1693</v>
      </c>
      <c r="AJ36" s="108" t="s">
        <v>1693</v>
      </c>
      <c r="AK36" s="108" t="s">
        <v>1693</v>
      </c>
    </row>
    <row r="37" spans="1:40" ht="44.1" customHeight="1" x14ac:dyDescent="0.25">
      <c r="A37" s="110" t="s">
        <v>1742</v>
      </c>
      <c r="B37" s="108" t="s">
        <v>1372</v>
      </c>
      <c r="C37" s="108" t="s">
        <v>1743</v>
      </c>
      <c r="D37" s="207" t="s">
        <v>1373</v>
      </c>
      <c r="E37" s="208">
        <v>10.848305</v>
      </c>
      <c r="F37" s="203">
        <v>20698.992122215666</v>
      </c>
      <c r="G37" s="108" t="s">
        <v>24</v>
      </c>
      <c r="H37" s="110" t="s">
        <v>42</v>
      </c>
      <c r="J37" s="108">
        <v>1.65</v>
      </c>
      <c r="K37" s="111" t="s">
        <v>1763</v>
      </c>
      <c r="L37" s="116" t="s">
        <v>1764</v>
      </c>
      <c r="N37" s="118" t="s">
        <v>12</v>
      </c>
      <c r="O37" s="114" t="s">
        <v>12</v>
      </c>
      <c r="Q37" s="118" t="s">
        <v>12</v>
      </c>
      <c r="R37" s="114" t="s">
        <v>12</v>
      </c>
      <c r="T37" s="111" t="s">
        <v>12</v>
      </c>
      <c r="U37" s="116" t="s">
        <v>12</v>
      </c>
      <c r="V37" s="111" t="s">
        <v>12</v>
      </c>
      <c r="W37" s="116" t="s">
        <v>12</v>
      </c>
      <c r="Y37" s="108" t="s">
        <v>1674</v>
      </c>
      <c r="Z37" s="108" t="s">
        <v>8</v>
      </c>
      <c r="AA37" s="122">
        <v>46199</v>
      </c>
      <c r="AB37" s="122">
        <v>46245</v>
      </c>
      <c r="AC37" s="122">
        <v>46260</v>
      </c>
      <c r="AD37" s="122" t="s">
        <v>1684</v>
      </c>
      <c r="AE37" s="122">
        <v>46294</v>
      </c>
      <c r="AF37" s="122">
        <v>46294</v>
      </c>
      <c r="AG37" s="122">
        <v>46294</v>
      </c>
      <c r="AH37" s="122">
        <v>46311</v>
      </c>
      <c r="AI37" s="201">
        <v>46456</v>
      </c>
      <c r="AJ37" s="108" t="s">
        <v>1690</v>
      </c>
      <c r="AK37" s="108" t="s">
        <v>1765</v>
      </c>
    </row>
    <row r="38" spans="1:40" ht="44.1" customHeight="1" x14ac:dyDescent="0.25">
      <c r="A38" s="110" t="s">
        <v>1742</v>
      </c>
      <c r="B38" s="108" t="s">
        <v>1399</v>
      </c>
      <c r="C38" s="108" t="s">
        <v>1743</v>
      </c>
      <c r="D38" s="207" t="s">
        <v>1359</v>
      </c>
      <c r="E38" s="208">
        <v>5.0187400000000002</v>
      </c>
      <c r="F38" s="203">
        <v>25247.000838780237</v>
      </c>
      <c r="G38" s="108" t="s">
        <v>24</v>
      </c>
      <c r="H38" s="110" t="s">
        <v>51</v>
      </c>
      <c r="J38" s="108">
        <v>0.7</v>
      </c>
      <c r="K38" s="111" t="s">
        <v>215</v>
      </c>
      <c r="L38" s="116" t="s">
        <v>1762</v>
      </c>
      <c r="N38" s="118" t="s">
        <v>12</v>
      </c>
      <c r="O38" s="114" t="s">
        <v>12</v>
      </c>
      <c r="Q38" s="118" t="s">
        <v>12</v>
      </c>
      <c r="R38" s="114" t="s">
        <v>12</v>
      </c>
      <c r="T38" s="111" t="s">
        <v>12</v>
      </c>
      <c r="U38" s="116" t="s">
        <v>12</v>
      </c>
      <c r="V38" s="111" t="s">
        <v>12</v>
      </c>
      <c r="W38" s="116" t="s">
        <v>12</v>
      </c>
      <c r="Y38" s="108" t="s">
        <v>1674</v>
      </c>
      <c r="Z38" s="108" t="s">
        <v>10</v>
      </c>
      <c r="AA38" s="122">
        <v>46199</v>
      </c>
      <c r="AB38" s="108" t="s">
        <v>1693</v>
      </c>
      <c r="AC38" s="108" t="s">
        <v>1693</v>
      </c>
      <c r="AD38" s="108" t="s">
        <v>1693</v>
      </c>
      <c r="AE38" s="108" t="s">
        <v>1693</v>
      </c>
      <c r="AF38" s="108" t="s">
        <v>1693</v>
      </c>
      <c r="AG38" s="108" t="s">
        <v>1693</v>
      </c>
      <c r="AH38" s="108" t="s">
        <v>1693</v>
      </c>
      <c r="AI38" s="108" t="s">
        <v>1693</v>
      </c>
      <c r="AJ38" s="108" t="s">
        <v>1693</v>
      </c>
      <c r="AK38" s="108" t="s">
        <v>1693</v>
      </c>
    </row>
    <row r="39" spans="1:40" ht="44.1" customHeight="1" x14ac:dyDescent="0.25">
      <c r="A39" s="110" t="s">
        <v>1766</v>
      </c>
      <c r="B39" s="108" t="s">
        <v>1767</v>
      </c>
      <c r="C39" s="108" t="s">
        <v>1768</v>
      </c>
      <c r="D39" s="207" t="s">
        <v>785</v>
      </c>
      <c r="E39" s="208">
        <v>1.37</v>
      </c>
      <c r="F39" s="203">
        <v>24586.690002966105</v>
      </c>
      <c r="G39" s="108" t="s">
        <v>24</v>
      </c>
      <c r="H39" s="110" t="s">
        <v>177</v>
      </c>
      <c r="J39" s="108">
        <v>1</v>
      </c>
      <c r="K39" s="111" t="s">
        <v>1769</v>
      </c>
      <c r="L39" s="116" t="s">
        <v>1762</v>
      </c>
      <c r="N39" s="118" t="s">
        <v>12</v>
      </c>
      <c r="O39" s="114" t="s">
        <v>12</v>
      </c>
      <c r="Q39" s="118" t="s">
        <v>12</v>
      </c>
      <c r="R39" s="114" t="s">
        <v>12</v>
      </c>
      <c r="T39" s="111" t="s">
        <v>12</v>
      </c>
      <c r="U39" s="116" t="s">
        <v>12</v>
      </c>
      <c r="V39" s="111" t="s">
        <v>12</v>
      </c>
      <c r="W39" s="116" t="s">
        <v>12</v>
      </c>
      <c r="Y39" s="108" t="s">
        <v>1674</v>
      </c>
      <c r="Z39" s="108" t="s">
        <v>10</v>
      </c>
      <c r="AA39" s="122">
        <v>46199</v>
      </c>
      <c r="AB39" s="108" t="s">
        <v>1693</v>
      </c>
      <c r="AC39" s="108" t="s">
        <v>1693</v>
      </c>
      <c r="AD39" s="108" t="s">
        <v>1693</v>
      </c>
      <c r="AE39" s="108" t="s">
        <v>1693</v>
      </c>
      <c r="AF39" s="108" t="s">
        <v>1693</v>
      </c>
      <c r="AG39" s="108" t="s">
        <v>1693</v>
      </c>
      <c r="AH39" s="108" t="s">
        <v>1693</v>
      </c>
      <c r="AI39" s="108" t="s">
        <v>1693</v>
      </c>
      <c r="AJ39" s="108" t="s">
        <v>1693</v>
      </c>
      <c r="AK39" s="108" t="s">
        <v>1693</v>
      </c>
    </row>
    <row r="40" spans="1:40" ht="44.1" customHeight="1" x14ac:dyDescent="0.25">
      <c r="A40" s="189" t="s">
        <v>1770</v>
      </c>
      <c r="B40" s="108" t="s">
        <v>243</v>
      </c>
      <c r="C40" s="108"/>
      <c r="D40" s="207" t="s">
        <v>244</v>
      </c>
      <c r="E40" s="208">
        <v>15.5</v>
      </c>
      <c r="F40" s="203">
        <v>43285.04</v>
      </c>
      <c r="G40" s="108" t="s">
        <v>34</v>
      </c>
      <c r="H40" s="110" t="s">
        <v>39</v>
      </c>
      <c r="J40" s="108">
        <v>1.5</v>
      </c>
      <c r="K40" s="111" t="s">
        <v>12</v>
      </c>
      <c r="L40" s="116" t="s">
        <v>12</v>
      </c>
      <c r="N40" s="120" t="s">
        <v>12</v>
      </c>
      <c r="O40" s="114" t="s">
        <v>12</v>
      </c>
      <c r="Q40" s="108" t="s">
        <v>12</v>
      </c>
      <c r="R40" s="115" t="s">
        <v>12</v>
      </c>
      <c r="T40" s="108">
        <v>1000</v>
      </c>
      <c r="U40" s="115">
        <v>950</v>
      </c>
      <c r="V40" s="111" t="s">
        <v>12</v>
      </c>
      <c r="W40" s="116" t="s">
        <v>12</v>
      </c>
      <c r="Y40" s="108" t="s">
        <v>1674</v>
      </c>
      <c r="Z40" s="108" t="s">
        <v>8</v>
      </c>
      <c r="AA40" s="122">
        <v>46120</v>
      </c>
      <c r="AB40" s="122">
        <v>46141</v>
      </c>
      <c r="AC40" s="122">
        <v>46134</v>
      </c>
      <c r="AD40" s="122" t="s">
        <v>1684</v>
      </c>
      <c r="AE40" s="108" t="s">
        <v>12</v>
      </c>
      <c r="AF40" s="108" t="s">
        <v>12</v>
      </c>
      <c r="AG40" s="108" t="s">
        <v>1750</v>
      </c>
      <c r="AH40" s="122">
        <v>46247</v>
      </c>
      <c r="AI40" s="108" t="s">
        <v>1750</v>
      </c>
      <c r="AJ40" s="108" t="s">
        <v>1680</v>
      </c>
      <c r="AK40" s="108"/>
    </row>
    <row r="41" spans="1:40" ht="44.1" customHeight="1" x14ac:dyDescent="0.25">
      <c r="A41" s="110" t="s">
        <v>1766</v>
      </c>
      <c r="B41" s="108" t="s">
        <v>1409</v>
      </c>
      <c r="C41" s="108" t="s">
        <v>1768</v>
      </c>
      <c r="D41" s="207" t="s">
        <v>1410</v>
      </c>
      <c r="E41" s="208">
        <v>4.6100000000000003</v>
      </c>
      <c r="F41" s="203">
        <v>22999.954309605026</v>
      </c>
      <c r="G41" s="108" t="s">
        <v>24</v>
      </c>
      <c r="H41" s="110" t="s">
        <v>1575</v>
      </c>
      <c r="J41" s="108">
        <v>0.7</v>
      </c>
      <c r="K41" s="111" t="s">
        <v>1771</v>
      </c>
      <c r="L41" s="116" t="s">
        <v>1762</v>
      </c>
      <c r="N41" s="118" t="s">
        <v>12</v>
      </c>
      <c r="O41" s="114" t="s">
        <v>12</v>
      </c>
      <c r="Q41" s="118" t="s">
        <v>12</v>
      </c>
      <c r="R41" s="114" t="s">
        <v>12</v>
      </c>
      <c r="T41" s="111" t="s">
        <v>12</v>
      </c>
      <c r="U41" s="116" t="s">
        <v>12</v>
      </c>
      <c r="V41" s="111" t="s">
        <v>12</v>
      </c>
      <c r="W41" s="116" t="s">
        <v>12</v>
      </c>
      <c r="Y41" s="147">
        <v>46294</v>
      </c>
      <c r="Z41" s="108" t="s">
        <v>10</v>
      </c>
      <c r="AA41" s="122"/>
      <c r="AB41" s="122"/>
      <c r="AC41" s="108"/>
      <c r="AD41" s="108"/>
      <c r="AE41" s="108"/>
      <c r="AF41" s="108"/>
      <c r="AG41" s="108"/>
      <c r="AH41" s="108"/>
      <c r="AI41" s="108"/>
      <c r="AJ41" s="108" t="s">
        <v>1747</v>
      </c>
      <c r="AK41" s="108"/>
    </row>
    <row r="42" spans="1:40" ht="44.1" customHeight="1" x14ac:dyDescent="0.25">
      <c r="A42" s="110" t="s">
        <v>1766</v>
      </c>
      <c r="B42" s="108" t="s">
        <v>1418</v>
      </c>
      <c r="C42" s="108" t="s">
        <v>1768</v>
      </c>
      <c r="D42" s="207" t="s">
        <v>1387</v>
      </c>
      <c r="E42" s="208">
        <v>4.1399999999999997</v>
      </c>
      <c r="F42" s="203">
        <v>40079.58</v>
      </c>
      <c r="G42" s="108" t="s">
        <v>24</v>
      </c>
      <c r="H42" s="110" t="s">
        <v>1575</v>
      </c>
      <c r="J42" s="108">
        <v>1.4</v>
      </c>
      <c r="K42" s="111" t="s">
        <v>1427</v>
      </c>
      <c r="L42" s="116" t="s">
        <v>1706</v>
      </c>
      <c r="N42" s="118" t="s">
        <v>12</v>
      </c>
      <c r="O42" s="114" t="s">
        <v>12</v>
      </c>
      <c r="Q42" s="118" t="s">
        <v>12</v>
      </c>
      <c r="R42" s="114" t="s">
        <v>12</v>
      </c>
      <c r="T42" s="111" t="s">
        <v>12</v>
      </c>
      <c r="U42" s="116" t="s">
        <v>12</v>
      </c>
      <c r="V42" s="111" t="s">
        <v>12</v>
      </c>
      <c r="W42" s="116" t="s">
        <v>12</v>
      </c>
      <c r="Y42" s="147">
        <v>46294</v>
      </c>
      <c r="Z42" s="108" t="s">
        <v>10</v>
      </c>
      <c r="AA42" s="122"/>
      <c r="AB42" s="122"/>
      <c r="AC42" s="108"/>
      <c r="AD42" s="108"/>
      <c r="AE42" s="108"/>
      <c r="AF42" s="108"/>
      <c r="AG42" s="108"/>
      <c r="AH42" s="108"/>
      <c r="AI42" s="108"/>
      <c r="AJ42" s="108" t="s">
        <v>1747</v>
      </c>
      <c r="AK42" s="108"/>
    </row>
    <row r="43" spans="1:40" ht="44.1" customHeight="1" x14ac:dyDescent="0.25">
      <c r="A43" s="110" t="s">
        <v>1742</v>
      </c>
      <c r="B43" s="108" t="s">
        <v>1772</v>
      </c>
      <c r="C43" s="108" t="s">
        <v>1743</v>
      </c>
      <c r="D43" s="207" t="s">
        <v>1363</v>
      </c>
      <c r="E43" s="208">
        <v>13.9</v>
      </c>
      <c r="F43" s="220">
        <v>15706.677756106737</v>
      </c>
      <c r="G43" s="108" t="s">
        <v>24</v>
      </c>
      <c r="H43" s="110" t="s">
        <v>42</v>
      </c>
      <c r="J43" s="108">
        <v>1.5</v>
      </c>
      <c r="K43" s="111" t="s">
        <v>1376</v>
      </c>
      <c r="L43" s="116" t="s">
        <v>1761</v>
      </c>
      <c r="N43" s="118" t="s">
        <v>12</v>
      </c>
      <c r="O43" s="114" t="s">
        <v>12</v>
      </c>
      <c r="Q43" s="118" t="s">
        <v>12</v>
      </c>
      <c r="R43" s="114" t="s">
        <v>12</v>
      </c>
      <c r="T43" s="111" t="s">
        <v>12</v>
      </c>
      <c r="U43" s="116" t="s">
        <v>12</v>
      </c>
      <c r="V43" s="111" t="s">
        <v>12</v>
      </c>
      <c r="W43" s="116" t="s">
        <v>12</v>
      </c>
      <c r="Y43" s="108" t="s">
        <v>1674</v>
      </c>
      <c r="Z43" s="108" t="s">
        <v>8</v>
      </c>
      <c r="AA43" s="108" t="s">
        <v>1693</v>
      </c>
      <c r="AB43" s="108" t="s">
        <v>1693</v>
      </c>
      <c r="AC43" s="108" t="s">
        <v>1693</v>
      </c>
      <c r="AD43" s="108" t="s">
        <v>1693</v>
      </c>
      <c r="AE43" s="108" t="s">
        <v>1693</v>
      </c>
      <c r="AF43" s="108" t="s">
        <v>1693</v>
      </c>
      <c r="AG43" s="108" t="s">
        <v>1693</v>
      </c>
      <c r="AH43" s="108" t="s">
        <v>1693</v>
      </c>
      <c r="AI43" s="108" t="s">
        <v>1693</v>
      </c>
      <c r="AJ43" s="108" t="s">
        <v>1693</v>
      </c>
      <c r="AK43" s="108"/>
    </row>
    <row r="44" spans="1:40" ht="44.1" customHeight="1" x14ac:dyDescent="0.25">
      <c r="A44" s="110" t="s">
        <v>1766</v>
      </c>
      <c r="B44" s="108" t="s">
        <v>1423</v>
      </c>
      <c r="C44" s="108" t="s">
        <v>1768</v>
      </c>
      <c r="D44" s="207" t="s">
        <v>1424</v>
      </c>
      <c r="E44" s="208">
        <v>4</v>
      </c>
      <c r="F44" s="203">
        <v>18761.627807047204</v>
      </c>
      <c r="G44" s="108" t="s">
        <v>24</v>
      </c>
      <c r="H44" s="110" t="s">
        <v>1575</v>
      </c>
      <c r="J44" s="108">
        <v>1</v>
      </c>
      <c r="K44" s="111" t="s">
        <v>1376</v>
      </c>
      <c r="L44" s="116" t="s">
        <v>1761</v>
      </c>
      <c r="N44" s="118" t="s">
        <v>12</v>
      </c>
      <c r="O44" s="114" t="s">
        <v>12</v>
      </c>
      <c r="Q44" s="118" t="s">
        <v>12</v>
      </c>
      <c r="R44" s="114" t="s">
        <v>12</v>
      </c>
      <c r="T44" s="111" t="s">
        <v>12</v>
      </c>
      <c r="U44" s="116" t="s">
        <v>12</v>
      </c>
      <c r="V44" s="111" t="s">
        <v>12</v>
      </c>
      <c r="W44" s="116" t="s">
        <v>12</v>
      </c>
      <c r="Y44" s="147">
        <v>46294</v>
      </c>
      <c r="Z44" s="108" t="s">
        <v>10</v>
      </c>
      <c r="AA44" s="122"/>
      <c r="AB44" s="122"/>
      <c r="AC44" s="108"/>
      <c r="AD44" s="108"/>
      <c r="AE44" s="108"/>
      <c r="AF44" s="108"/>
      <c r="AG44" s="108"/>
      <c r="AH44" s="108"/>
      <c r="AI44" s="108"/>
      <c r="AJ44" s="108" t="s">
        <v>1747</v>
      </c>
      <c r="AK44" s="108"/>
    </row>
    <row r="45" spans="1:40" ht="44.1" customHeight="1" x14ac:dyDescent="0.25">
      <c r="A45" s="110" t="s">
        <v>1742</v>
      </c>
      <c r="B45" s="108" t="s">
        <v>574</v>
      </c>
      <c r="C45" s="108" t="s">
        <v>1743</v>
      </c>
      <c r="D45" s="209" t="s">
        <v>1773</v>
      </c>
      <c r="E45" s="108">
        <v>15.71</v>
      </c>
      <c r="F45" s="203">
        <f>5418.58+11198.892152448</f>
        <v>16617.472152447997</v>
      </c>
      <c r="G45" s="108" t="s">
        <v>24</v>
      </c>
      <c r="H45" s="110" t="s">
        <v>53</v>
      </c>
      <c r="J45" s="111">
        <v>1.5</v>
      </c>
      <c r="K45" s="111" t="s">
        <v>1314</v>
      </c>
      <c r="L45" s="116" t="s">
        <v>1764</v>
      </c>
      <c r="N45" s="118" t="s">
        <v>1746</v>
      </c>
      <c r="O45" s="114" t="s">
        <v>1731</v>
      </c>
      <c r="Q45" s="108" t="s">
        <v>12</v>
      </c>
      <c r="R45" s="115" t="s">
        <v>12</v>
      </c>
      <c r="T45" s="111" t="s">
        <v>12</v>
      </c>
      <c r="U45" s="116" t="s">
        <v>12</v>
      </c>
      <c r="V45" s="111" t="s">
        <v>12</v>
      </c>
      <c r="W45" s="116" t="s">
        <v>12</v>
      </c>
      <c r="Y45" s="108" t="s">
        <v>1674</v>
      </c>
      <c r="Z45" s="108" t="s">
        <v>10</v>
      </c>
      <c r="AA45" s="108" t="s">
        <v>1693</v>
      </c>
      <c r="AB45" s="108" t="s">
        <v>1693</v>
      </c>
      <c r="AC45" s="108" t="s">
        <v>1693</v>
      </c>
      <c r="AD45" s="108" t="s">
        <v>1693</v>
      </c>
      <c r="AE45" s="108" t="s">
        <v>1693</v>
      </c>
      <c r="AF45" s="108" t="s">
        <v>1693</v>
      </c>
      <c r="AG45" s="108" t="s">
        <v>1693</v>
      </c>
      <c r="AH45" s="108" t="s">
        <v>1693</v>
      </c>
      <c r="AI45" s="108" t="s">
        <v>1693</v>
      </c>
      <c r="AJ45" s="212" t="s">
        <v>1693</v>
      </c>
      <c r="AK45" s="108" t="s">
        <v>1694</v>
      </c>
    </row>
    <row r="46" spans="1:40" s="190" customFormat="1" ht="44.1" customHeight="1" x14ac:dyDescent="0.25">
      <c r="A46" s="108"/>
      <c r="B46" s="108" t="s">
        <v>1360</v>
      </c>
      <c r="C46" s="108" t="s">
        <v>1745</v>
      </c>
      <c r="D46" s="108" t="s">
        <v>1774</v>
      </c>
      <c r="E46" s="108">
        <v>12.53</v>
      </c>
      <c r="F46" s="221">
        <v>15224.98</v>
      </c>
      <c r="G46" s="108" t="s">
        <v>24</v>
      </c>
      <c r="H46" s="108" t="s">
        <v>42</v>
      </c>
      <c r="I46"/>
      <c r="J46" s="111" t="s">
        <v>12</v>
      </c>
      <c r="K46" s="111" t="s">
        <v>12</v>
      </c>
      <c r="L46" s="116" t="s">
        <v>12</v>
      </c>
      <c r="M46"/>
      <c r="N46" s="118"/>
      <c r="O46" s="114"/>
      <c r="P46"/>
      <c r="Q46" t="s">
        <v>12</v>
      </c>
      <c r="R46" s="111" t="s">
        <v>12</v>
      </c>
      <c r="S46" s="214"/>
      <c r="T46" s="111" t="s">
        <v>12</v>
      </c>
      <c r="U46" s="116" t="s">
        <v>12</v>
      </c>
      <c r="V46" s="50" t="s">
        <v>12</v>
      </c>
      <c r="W46" s="108" t="s">
        <v>12</v>
      </c>
      <c r="X46" s="108"/>
      <c r="Y46" s="122" t="s">
        <v>1674</v>
      </c>
      <c r="Z46" s="122" t="s">
        <v>8</v>
      </c>
      <c r="AA46" s="122">
        <v>46199</v>
      </c>
      <c r="AB46" s="108" t="s">
        <v>1693</v>
      </c>
      <c r="AC46" s="108" t="s">
        <v>1693</v>
      </c>
      <c r="AD46" s="108" t="s">
        <v>1693</v>
      </c>
      <c r="AE46" s="108" t="s">
        <v>1693</v>
      </c>
      <c r="AF46" s="108" t="s">
        <v>1693</v>
      </c>
      <c r="AG46" s="108" t="s">
        <v>1693</v>
      </c>
      <c r="AH46" s="108" t="s">
        <v>1693</v>
      </c>
      <c r="AI46" s="108" t="s">
        <v>1693</v>
      </c>
      <c r="AJ46" s="108" t="s">
        <v>1693</v>
      </c>
      <c r="AK46" s="148"/>
      <c r="AL46"/>
      <c r="AM46"/>
      <c r="AN46"/>
    </row>
    <row r="47" spans="1:40" ht="44.1" customHeight="1" x14ac:dyDescent="0.25">
      <c r="A47" s="110" t="s">
        <v>1742</v>
      </c>
      <c r="B47" s="108" t="s">
        <v>926</v>
      </c>
      <c r="C47" s="108" t="s">
        <v>1743</v>
      </c>
      <c r="D47" s="207" t="s">
        <v>1397</v>
      </c>
      <c r="E47" s="208">
        <v>5.6520000000000001</v>
      </c>
      <c r="F47" s="220">
        <v>10239.625233337503</v>
      </c>
      <c r="G47" s="108" t="s">
        <v>24</v>
      </c>
      <c r="H47" s="110" t="s">
        <v>42</v>
      </c>
      <c r="J47" s="111">
        <v>0.75</v>
      </c>
      <c r="K47" s="111" t="s">
        <v>1775</v>
      </c>
      <c r="L47" s="116" t="s">
        <v>1762</v>
      </c>
      <c r="N47" s="118" t="s">
        <v>12</v>
      </c>
      <c r="O47" s="114" t="s">
        <v>12</v>
      </c>
      <c r="Q47" s="118" t="s">
        <v>12</v>
      </c>
      <c r="R47" s="114" t="s">
        <v>12</v>
      </c>
      <c r="T47" s="111" t="s">
        <v>12</v>
      </c>
      <c r="U47" s="116" t="s">
        <v>12</v>
      </c>
      <c r="V47" s="111" t="s">
        <v>12</v>
      </c>
      <c r="W47" s="116" t="s">
        <v>12</v>
      </c>
      <c r="Y47" s="108" t="s">
        <v>1674</v>
      </c>
      <c r="Z47" s="108" t="s">
        <v>8</v>
      </c>
      <c r="AA47" s="122">
        <v>46199</v>
      </c>
      <c r="AB47" s="122">
        <v>46245</v>
      </c>
      <c r="AC47" s="108" t="s">
        <v>1693</v>
      </c>
      <c r="AD47" s="108" t="s">
        <v>1693</v>
      </c>
      <c r="AE47" s="108" t="s">
        <v>1693</v>
      </c>
      <c r="AF47" s="108" t="s">
        <v>1693</v>
      </c>
      <c r="AG47" s="108" t="s">
        <v>1693</v>
      </c>
      <c r="AH47" s="108" t="s">
        <v>1693</v>
      </c>
      <c r="AI47" s="108" t="s">
        <v>1693</v>
      </c>
      <c r="AJ47" s="213" t="s">
        <v>1693</v>
      </c>
      <c r="AK47" s="108"/>
    </row>
    <row r="48" spans="1:40" ht="44.1" customHeight="1" x14ac:dyDescent="0.25">
      <c r="A48" s="110" t="s">
        <v>1766</v>
      </c>
      <c r="B48" s="108" t="s">
        <v>1404</v>
      </c>
      <c r="C48" s="108" t="s">
        <v>1768</v>
      </c>
      <c r="D48" s="209" t="s">
        <v>1776</v>
      </c>
      <c r="E48" s="108">
        <v>5.69</v>
      </c>
      <c r="F48" s="203">
        <f>14582.7877499304+3700</f>
        <v>18282.787749930401</v>
      </c>
      <c r="G48" s="108" t="s">
        <v>24</v>
      </c>
      <c r="H48" s="110" t="s">
        <v>1575</v>
      </c>
      <c r="J48" s="108">
        <v>1.2</v>
      </c>
      <c r="K48" s="111" t="s">
        <v>1376</v>
      </c>
      <c r="L48" s="116" t="s">
        <v>1761</v>
      </c>
      <c r="N48" s="118" t="s">
        <v>12</v>
      </c>
      <c r="O48" s="114" t="s">
        <v>12</v>
      </c>
      <c r="Q48" s="118" t="s">
        <v>12</v>
      </c>
      <c r="R48" s="114" t="s">
        <v>12</v>
      </c>
      <c r="T48" s="111" t="s">
        <v>12</v>
      </c>
      <c r="U48" s="116" t="s">
        <v>12</v>
      </c>
      <c r="V48" s="111" t="s">
        <v>12</v>
      </c>
      <c r="W48" s="116" t="s">
        <v>12</v>
      </c>
      <c r="Y48" s="147">
        <v>46294</v>
      </c>
      <c r="Z48" s="108" t="s">
        <v>10</v>
      </c>
      <c r="AA48" s="122"/>
      <c r="AB48" s="122"/>
      <c r="AC48" s="108"/>
      <c r="AD48" s="108"/>
      <c r="AE48" s="108"/>
      <c r="AF48" s="108"/>
      <c r="AG48" s="108"/>
      <c r="AH48" s="108"/>
      <c r="AI48" s="108"/>
      <c r="AJ48" s="108" t="s">
        <v>1747</v>
      </c>
      <c r="AK48" s="108"/>
    </row>
    <row r="49" spans="1:37" ht="44.1" customHeight="1" x14ac:dyDescent="0.25">
      <c r="A49" s="110" t="s">
        <v>1766</v>
      </c>
      <c r="B49" s="108" t="s">
        <v>1380</v>
      </c>
      <c r="C49" s="108" t="s">
        <v>1768</v>
      </c>
      <c r="D49" s="207" t="s">
        <v>1363</v>
      </c>
      <c r="E49" s="208">
        <v>8.6300000000000008</v>
      </c>
      <c r="F49" s="220">
        <v>12633.085718253134</v>
      </c>
      <c r="G49" s="108" t="s">
        <v>24</v>
      </c>
      <c r="H49" s="110" t="s">
        <v>1575</v>
      </c>
      <c r="J49" s="111">
        <v>1.5</v>
      </c>
      <c r="K49" s="111" t="s">
        <v>1769</v>
      </c>
      <c r="L49" s="116" t="s">
        <v>1762</v>
      </c>
      <c r="N49" s="118" t="s">
        <v>12</v>
      </c>
      <c r="O49" s="114" t="s">
        <v>12</v>
      </c>
      <c r="Q49" s="118" t="s">
        <v>12</v>
      </c>
      <c r="R49" s="114" t="s">
        <v>12</v>
      </c>
      <c r="T49" s="111" t="s">
        <v>12</v>
      </c>
      <c r="U49" s="116" t="s">
        <v>12</v>
      </c>
      <c r="V49" s="111" t="s">
        <v>12</v>
      </c>
      <c r="W49" s="116" t="s">
        <v>12</v>
      </c>
      <c r="Y49" s="108" t="s">
        <v>1674</v>
      </c>
      <c r="Z49" s="108" t="s">
        <v>8</v>
      </c>
      <c r="AA49" s="122">
        <v>46217</v>
      </c>
      <c r="AB49" s="122">
        <v>46245</v>
      </c>
      <c r="AC49" s="108" t="s">
        <v>1693</v>
      </c>
      <c r="AD49" s="108" t="s">
        <v>1693</v>
      </c>
      <c r="AE49" s="108" t="s">
        <v>1693</v>
      </c>
      <c r="AF49" s="108" t="s">
        <v>1693</v>
      </c>
      <c r="AG49" s="108" t="s">
        <v>1693</v>
      </c>
      <c r="AH49" s="108" t="s">
        <v>1693</v>
      </c>
      <c r="AI49" s="108" t="s">
        <v>1693</v>
      </c>
      <c r="AJ49" s="108" t="s">
        <v>1693</v>
      </c>
      <c r="AK49" s="108"/>
    </row>
    <row r="50" spans="1:37" ht="44.1" customHeight="1" x14ac:dyDescent="0.25">
      <c r="A50" s="110" t="s">
        <v>1766</v>
      </c>
      <c r="B50" s="108" t="s">
        <v>1425</v>
      </c>
      <c r="C50" s="108" t="s">
        <v>1768</v>
      </c>
      <c r="D50" s="209" t="s">
        <v>633</v>
      </c>
      <c r="E50" s="108">
        <v>4</v>
      </c>
      <c r="F50" s="203">
        <v>12157.462698176198</v>
      </c>
      <c r="G50" s="108" t="s">
        <v>24</v>
      </c>
      <c r="H50" s="110" t="s">
        <v>1575</v>
      </c>
      <c r="J50" s="108">
        <v>1.2</v>
      </c>
      <c r="K50" s="111" t="s">
        <v>215</v>
      </c>
      <c r="L50" s="116" t="s">
        <v>1762</v>
      </c>
      <c r="N50" s="118" t="s">
        <v>12</v>
      </c>
      <c r="O50" s="114" t="s">
        <v>12</v>
      </c>
      <c r="Q50" s="118" t="s">
        <v>12</v>
      </c>
      <c r="R50" s="114" t="s">
        <v>12</v>
      </c>
      <c r="T50" s="111" t="s">
        <v>12</v>
      </c>
      <c r="U50" s="116" t="s">
        <v>12</v>
      </c>
      <c r="V50" s="111" t="s">
        <v>12</v>
      </c>
      <c r="W50" s="116" t="s">
        <v>12</v>
      </c>
      <c r="Y50" s="147">
        <v>46294</v>
      </c>
      <c r="Z50" s="108" t="s">
        <v>10</v>
      </c>
      <c r="AA50" s="122"/>
      <c r="AB50" s="122"/>
      <c r="AC50" s="108"/>
      <c r="AD50" s="108"/>
      <c r="AE50" s="108"/>
      <c r="AF50" s="108"/>
      <c r="AG50" s="108"/>
      <c r="AH50" s="108"/>
      <c r="AI50" s="108"/>
      <c r="AJ50" s="108" t="s">
        <v>1747</v>
      </c>
      <c r="AK50" s="108"/>
    </row>
    <row r="51" spans="1:37" ht="44.1" customHeight="1" x14ac:dyDescent="0.25">
      <c r="A51" s="110" t="s">
        <v>1766</v>
      </c>
      <c r="B51" s="108" t="s">
        <v>1435</v>
      </c>
      <c r="C51" s="108" t="s">
        <v>1768</v>
      </c>
      <c r="D51" s="209" t="s">
        <v>1424</v>
      </c>
      <c r="E51" s="108">
        <v>2.74</v>
      </c>
      <c r="F51" s="203">
        <v>12062.94014484057</v>
      </c>
      <c r="G51" s="108" t="s">
        <v>24</v>
      </c>
      <c r="H51" s="110" t="s">
        <v>1575</v>
      </c>
      <c r="J51" s="108">
        <v>1</v>
      </c>
      <c r="K51" s="111" t="s">
        <v>1376</v>
      </c>
      <c r="L51" s="116" t="s">
        <v>1761</v>
      </c>
      <c r="N51" s="118" t="s">
        <v>12</v>
      </c>
      <c r="O51" s="114" t="s">
        <v>12</v>
      </c>
      <c r="Q51" s="118" t="s">
        <v>12</v>
      </c>
      <c r="R51" s="114" t="s">
        <v>12</v>
      </c>
      <c r="T51" s="111" t="s">
        <v>12</v>
      </c>
      <c r="U51" s="116" t="s">
        <v>12</v>
      </c>
      <c r="V51" s="111" t="s">
        <v>12</v>
      </c>
      <c r="W51" s="116" t="s">
        <v>12</v>
      </c>
      <c r="Y51" s="147">
        <v>46294</v>
      </c>
      <c r="Z51" s="108" t="s">
        <v>10</v>
      </c>
      <c r="AA51" s="122"/>
      <c r="AB51" s="122"/>
      <c r="AC51" s="108"/>
      <c r="AD51" s="108"/>
      <c r="AE51" s="108"/>
      <c r="AF51" s="108"/>
      <c r="AG51" s="108"/>
      <c r="AH51" s="108"/>
      <c r="AI51" s="108"/>
      <c r="AJ51" s="108" t="s">
        <v>1747</v>
      </c>
      <c r="AK51" s="108"/>
    </row>
    <row r="52" spans="1:37" ht="44.1" customHeight="1" x14ac:dyDescent="0.25">
      <c r="A52" s="110" t="s">
        <v>1766</v>
      </c>
      <c r="B52" s="108" t="s">
        <v>1422</v>
      </c>
      <c r="C52" s="108" t="s">
        <v>1768</v>
      </c>
      <c r="D52" s="209" t="s">
        <v>1363</v>
      </c>
      <c r="E52" s="108">
        <v>4.5999999999999996</v>
      </c>
      <c r="F52" s="203">
        <v>11841.607961308147</v>
      </c>
      <c r="G52" s="108" t="s">
        <v>24</v>
      </c>
      <c r="H52" s="110" t="s">
        <v>1575</v>
      </c>
      <c r="J52" s="108">
        <v>1.5</v>
      </c>
      <c r="K52" s="111" t="s">
        <v>1376</v>
      </c>
      <c r="L52" s="116" t="s">
        <v>1761</v>
      </c>
      <c r="N52" s="118" t="s">
        <v>12</v>
      </c>
      <c r="O52" s="114" t="s">
        <v>12</v>
      </c>
      <c r="Q52" s="118" t="s">
        <v>12</v>
      </c>
      <c r="R52" s="114" t="s">
        <v>12</v>
      </c>
      <c r="T52" s="111" t="s">
        <v>12</v>
      </c>
      <c r="U52" s="116" t="s">
        <v>12</v>
      </c>
      <c r="V52" s="111" t="s">
        <v>12</v>
      </c>
      <c r="W52" s="116" t="s">
        <v>12</v>
      </c>
      <c r="Y52" s="147">
        <v>46294</v>
      </c>
      <c r="Z52" s="108" t="s">
        <v>10</v>
      </c>
      <c r="AA52" s="122"/>
      <c r="AB52" s="122"/>
      <c r="AC52" s="108"/>
      <c r="AD52" s="108"/>
      <c r="AE52" s="108"/>
      <c r="AF52" s="108"/>
      <c r="AG52" s="108"/>
      <c r="AH52" s="108"/>
      <c r="AI52" s="108"/>
      <c r="AJ52" s="108" t="s">
        <v>1747</v>
      </c>
      <c r="AK52" s="108"/>
    </row>
    <row r="53" spans="1:37" ht="44.1" customHeight="1" x14ac:dyDescent="0.25">
      <c r="A53" s="110" t="s">
        <v>1742</v>
      </c>
      <c r="B53" s="108" t="s">
        <v>1390</v>
      </c>
      <c r="C53" s="108" t="s">
        <v>1743</v>
      </c>
      <c r="D53" s="207" t="s">
        <v>1392</v>
      </c>
      <c r="E53" s="208">
        <v>6.4512</v>
      </c>
      <c r="F53" s="203">
        <v>9529.5824094649397</v>
      </c>
      <c r="G53" s="108" t="s">
        <v>24</v>
      </c>
      <c r="H53" s="110" t="s">
        <v>42</v>
      </c>
      <c r="J53" s="111">
        <v>2.5</v>
      </c>
      <c r="K53" s="111" t="s">
        <v>1777</v>
      </c>
      <c r="L53" s="116" t="s">
        <v>1778</v>
      </c>
      <c r="N53" s="118" t="s">
        <v>12</v>
      </c>
      <c r="O53" s="114" t="s">
        <v>12</v>
      </c>
      <c r="Q53" s="118" t="s">
        <v>12</v>
      </c>
      <c r="R53" s="114" t="s">
        <v>12</v>
      </c>
      <c r="T53" s="111" t="s">
        <v>12</v>
      </c>
      <c r="U53" s="116" t="s">
        <v>12</v>
      </c>
      <c r="V53" s="111" t="s">
        <v>12</v>
      </c>
      <c r="W53" s="116" t="s">
        <v>12</v>
      </c>
      <c r="Y53" s="108" t="s">
        <v>1674</v>
      </c>
      <c r="Z53" s="108" t="s">
        <v>8</v>
      </c>
      <c r="AA53" s="122">
        <v>46199</v>
      </c>
      <c r="AB53" s="122">
        <v>46245</v>
      </c>
      <c r="AC53" s="122">
        <v>46260</v>
      </c>
      <c r="AD53" s="122" t="s">
        <v>1684</v>
      </c>
      <c r="AE53" s="122">
        <v>46294</v>
      </c>
      <c r="AF53" s="122">
        <v>46294</v>
      </c>
      <c r="AG53" s="122">
        <v>46294</v>
      </c>
      <c r="AH53" s="122">
        <v>46311</v>
      </c>
      <c r="AI53" s="201">
        <v>46456</v>
      </c>
      <c r="AJ53" s="108" t="s">
        <v>1690</v>
      </c>
      <c r="AK53" s="108" t="s">
        <v>1765</v>
      </c>
    </row>
    <row r="54" spans="1:37" ht="44.1" customHeight="1" x14ac:dyDescent="0.25">
      <c r="A54" s="110" t="s">
        <v>1742</v>
      </c>
      <c r="B54" s="108" t="s">
        <v>1779</v>
      </c>
      <c r="C54" s="108" t="s">
        <v>1743</v>
      </c>
      <c r="D54" s="207" t="s">
        <v>1370</v>
      </c>
      <c r="E54" s="208">
        <v>11.65</v>
      </c>
      <c r="F54" s="203">
        <v>10196.017828738581</v>
      </c>
      <c r="G54" s="108" t="s">
        <v>24</v>
      </c>
      <c r="H54" s="110" t="s">
        <v>1780</v>
      </c>
      <c r="J54" s="111">
        <v>4</v>
      </c>
      <c r="K54" s="111" t="s">
        <v>1781</v>
      </c>
      <c r="L54" s="116" t="s">
        <v>1782</v>
      </c>
      <c r="N54" s="118" t="s">
        <v>12</v>
      </c>
      <c r="O54" s="114" t="s">
        <v>12</v>
      </c>
      <c r="Q54" s="118" t="s">
        <v>12</v>
      </c>
      <c r="R54" s="114" t="s">
        <v>12</v>
      </c>
      <c r="T54" s="111" t="s">
        <v>12</v>
      </c>
      <c r="U54" s="116" t="s">
        <v>12</v>
      </c>
      <c r="V54" s="111" t="s">
        <v>12</v>
      </c>
      <c r="W54" s="116" t="s">
        <v>12</v>
      </c>
      <c r="Y54" s="108" t="s">
        <v>1674</v>
      </c>
      <c r="Z54" s="108" t="s">
        <v>8</v>
      </c>
      <c r="AA54" s="122">
        <v>46199</v>
      </c>
      <c r="AB54" s="122" t="s">
        <v>1693</v>
      </c>
      <c r="AC54" s="122" t="s">
        <v>1693</v>
      </c>
      <c r="AD54" s="122" t="s">
        <v>1693</v>
      </c>
      <c r="AE54" s="122" t="s">
        <v>1693</v>
      </c>
      <c r="AF54" s="122" t="s">
        <v>1693</v>
      </c>
      <c r="AG54" s="122" t="s">
        <v>1693</v>
      </c>
      <c r="AH54" s="122" t="s">
        <v>1693</v>
      </c>
      <c r="AI54" s="122" t="s">
        <v>1693</v>
      </c>
      <c r="AJ54" s="122" t="s">
        <v>1693</v>
      </c>
      <c r="AK54" s="108" t="s">
        <v>1783</v>
      </c>
    </row>
    <row r="55" spans="1:37" ht="44.1" customHeight="1" x14ac:dyDescent="0.25">
      <c r="A55" s="110" t="s">
        <v>1766</v>
      </c>
      <c r="B55" s="108" t="s">
        <v>1467</v>
      </c>
      <c r="C55" s="108" t="s">
        <v>1768</v>
      </c>
      <c r="D55" s="207" t="s">
        <v>1468</v>
      </c>
      <c r="E55" s="208">
        <v>0.66</v>
      </c>
      <c r="F55" s="203">
        <v>9673.2695159100913</v>
      </c>
      <c r="G55" s="108" t="s">
        <v>24</v>
      </c>
      <c r="H55" s="110" t="s">
        <v>1575</v>
      </c>
      <c r="J55" s="111">
        <v>1.2</v>
      </c>
      <c r="K55" s="111" t="s">
        <v>1376</v>
      </c>
      <c r="L55" s="116" t="s">
        <v>1761</v>
      </c>
      <c r="N55" s="118" t="s">
        <v>12</v>
      </c>
      <c r="O55" s="114" t="s">
        <v>12</v>
      </c>
      <c r="Q55" s="118" t="s">
        <v>12</v>
      </c>
      <c r="R55" s="114" t="s">
        <v>12</v>
      </c>
      <c r="T55" s="111" t="s">
        <v>12</v>
      </c>
      <c r="U55" s="116" t="s">
        <v>12</v>
      </c>
      <c r="V55" s="111" t="s">
        <v>12</v>
      </c>
      <c r="W55" s="116" t="s">
        <v>12</v>
      </c>
      <c r="Y55" s="147">
        <v>46294</v>
      </c>
      <c r="Z55" s="108" t="s">
        <v>10</v>
      </c>
      <c r="AA55" s="122"/>
      <c r="AB55" s="122"/>
      <c r="AC55" s="108"/>
      <c r="AD55" s="108"/>
      <c r="AE55" s="108"/>
      <c r="AF55" s="108"/>
      <c r="AG55" s="108"/>
      <c r="AH55" s="108"/>
      <c r="AI55" s="108"/>
      <c r="AJ55" s="108" t="s">
        <v>1747</v>
      </c>
      <c r="AK55" s="108"/>
    </row>
    <row r="56" spans="1:37" ht="44.1" customHeight="1" x14ac:dyDescent="0.25">
      <c r="A56" s="110" t="s">
        <v>1766</v>
      </c>
      <c r="B56" s="108" t="s">
        <v>1430</v>
      </c>
      <c r="C56" s="108" t="s">
        <v>1768</v>
      </c>
      <c r="D56" s="207" t="s">
        <v>1363</v>
      </c>
      <c r="E56" s="208">
        <v>2.89</v>
      </c>
      <c r="F56" s="203">
        <f>5800+9606.03732269998</f>
        <v>15406.03732269998</v>
      </c>
      <c r="G56" s="108" t="s">
        <v>24</v>
      </c>
      <c r="H56" s="110" t="s">
        <v>1575</v>
      </c>
      <c r="J56" s="111">
        <v>1</v>
      </c>
      <c r="K56" s="111" t="s">
        <v>215</v>
      </c>
      <c r="L56" s="116" t="s">
        <v>1762</v>
      </c>
      <c r="N56" s="118" t="s">
        <v>12</v>
      </c>
      <c r="O56" s="114" t="s">
        <v>12</v>
      </c>
      <c r="Q56" s="118" t="s">
        <v>12</v>
      </c>
      <c r="R56" s="114" t="s">
        <v>12</v>
      </c>
      <c r="T56" s="111" t="s">
        <v>12</v>
      </c>
      <c r="U56" s="116" t="s">
        <v>12</v>
      </c>
      <c r="V56" s="111" t="s">
        <v>12</v>
      </c>
      <c r="W56" s="116" t="s">
        <v>12</v>
      </c>
      <c r="Y56" s="147">
        <v>46294</v>
      </c>
      <c r="Z56" s="108" t="s">
        <v>10</v>
      </c>
      <c r="AA56" s="122"/>
      <c r="AB56" s="122"/>
      <c r="AC56" s="108"/>
      <c r="AD56" s="108"/>
      <c r="AE56" s="108"/>
      <c r="AF56" s="108"/>
      <c r="AG56" s="108"/>
      <c r="AH56" s="108"/>
      <c r="AI56" s="108"/>
      <c r="AJ56" s="108" t="s">
        <v>1747</v>
      </c>
      <c r="AK56" s="108"/>
    </row>
    <row r="57" spans="1:37" ht="44.1" customHeight="1" x14ac:dyDescent="0.25">
      <c r="A57" s="110" t="s">
        <v>1742</v>
      </c>
      <c r="B57" s="108" t="s">
        <v>1401</v>
      </c>
      <c r="C57" s="108" t="s">
        <v>1743</v>
      </c>
      <c r="D57" s="207" t="s">
        <v>1402</v>
      </c>
      <c r="E57" s="208">
        <v>5.1935000000000002</v>
      </c>
      <c r="F57" s="220">
        <v>8902.0294336259212</v>
      </c>
      <c r="G57" s="108" t="s">
        <v>24</v>
      </c>
      <c r="H57" s="110" t="s">
        <v>42</v>
      </c>
      <c r="J57" s="111">
        <v>0.8</v>
      </c>
      <c r="K57" s="111" t="s">
        <v>1784</v>
      </c>
      <c r="L57" s="116" t="s">
        <v>1762</v>
      </c>
      <c r="N57" s="118" t="s">
        <v>12</v>
      </c>
      <c r="O57" s="114" t="s">
        <v>12</v>
      </c>
      <c r="Q57" s="118" t="s">
        <v>12</v>
      </c>
      <c r="R57" s="114" t="s">
        <v>12</v>
      </c>
      <c r="T57" s="111" t="s">
        <v>12</v>
      </c>
      <c r="U57" s="116" t="s">
        <v>12</v>
      </c>
      <c r="V57" s="111" t="s">
        <v>12</v>
      </c>
      <c r="W57" s="116" t="s">
        <v>12</v>
      </c>
      <c r="Y57" s="108" t="s">
        <v>1674</v>
      </c>
      <c r="Z57" s="108" t="s">
        <v>8</v>
      </c>
      <c r="AA57" s="122">
        <v>46199</v>
      </c>
      <c r="AB57" s="122">
        <v>46245</v>
      </c>
      <c r="AC57" s="108" t="s">
        <v>1693</v>
      </c>
      <c r="AD57" s="108" t="s">
        <v>1693</v>
      </c>
      <c r="AE57" s="108" t="s">
        <v>1693</v>
      </c>
      <c r="AF57" s="108" t="s">
        <v>1693</v>
      </c>
      <c r="AG57" s="108" t="s">
        <v>1693</v>
      </c>
      <c r="AH57" s="108" t="s">
        <v>1693</v>
      </c>
      <c r="AI57" s="108" t="s">
        <v>1693</v>
      </c>
      <c r="AJ57" s="108" t="s">
        <v>1693</v>
      </c>
      <c r="AK57" s="108"/>
    </row>
    <row r="58" spans="1:37" ht="44.1" customHeight="1" x14ac:dyDescent="0.25">
      <c r="A58" s="110" t="s">
        <v>1766</v>
      </c>
      <c r="B58" s="108" t="s">
        <v>1386</v>
      </c>
      <c r="C58" s="108" t="s">
        <v>1768</v>
      </c>
      <c r="D58" s="108" t="s">
        <v>1387</v>
      </c>
      <c r="E58" s="108">
        <v>6.84</v>
      </c>
      <c r="F58" s="203">
        <v>8977.6446340546463</v>
      </c>
      <c r="G58" s="108" t="s">
        <v>24</v>
      </c>
      <c r="H58" s="108" t="s">
        <v>1575</v>
      </c>
      <c r="J58" s="108">
        <v>3</v>
      </c>
      <c r="K58" s="111" t="s">
        <v>1366</v>
      </c>
      <c r="L58" s="116" t="s">
        <v>1764</v>
      </c>
      <c r="N58" s="118" t="s">
        <v>12</v>
      </c>
      <c r="O58" s="114" t="s">
        <v>12</v>
      </c>
      <c r="Q58" s="118" t="s">
        <v>12</v>
      </c>
      <c r="R58" s="114" t="s">
        <v>12</v>
      </c>
      <c r="T58" s="111" t="s">
        <v>12</v>
      </c>
      <c r="U58" s="116" t="s">
        <v>12</v>
      </c>
      <c r="V58" s="111" t="s">
        <v>12</v>
      </c>
      <c r="W58" s="116" t="s">
        <v>12</v>
      </c>
      <c r="Y58" s="147">
        <v>46294</v>
      </c>
      <c r="Z58" s="108" t="s">
        <v>10</v>
      </c>
      <c r="AA58" s="122"/>
      <c r="AB58" s="122"/>
      <c r="AC58" s="108"/>
      <c r="AD58" s="108"/>
      <c r="AE58" s="108"/>
      <c r="AF58" s="108"/>
      <c r="AG58" s="108"/>
      <c r="AH58" s="108"/>
      <c r="AI58" s="108"/>
      <c r="AJ58" s="108" t="s">
        <v>1747</v>
      </c>
      <c r="AK58" s="108"/>
    </row>
    <row r="59" spans="1:37" ht="44.1" customHeight="1" x14ac:dyDescent="0.25">
      <c r="A59" s="110" t="s">
        <v>1742</v>
      </c>
      <c r="B59" s="108" t="s">
        <v>1365</v>
      </c>
      <c r="C59" s="108" t="s">
        <v>1743</v>
      </c>
      <c r="D59" s="207" t="s">
        <v>1367</v>
      </c>
      <c r="E59" s="208">
        <v>12.333375</v>
      </c>
      <c r="F59" s="203">
        <v>8426.3931185615984</v>
      </c>
      <c r="G59" s="108" t="s">
        <v>24</v>
      </c>
      <c r="H59" s="110" t="s">
        <v>42</v>
      </c>
      <c r="J59" s="111">
        <v>1.8</v>
      </c>
      <c r="K59" s="111" t="s">
        <v>1785</v>
      </c>
      <c r="L59" s="116" t="s">
        <v>1764</v>
      </c>
      <c r="N59" s="118" t="s">
        <v>12</v>
      </c>
      <c r="O59" s="114" t="s">
        <v>12</v>
      </c>
      <c r="Q59" s="118" t="s">
        <v>12</v>
      </c>
      <c r="R59" s="114" t="s">
        <v>12</v>
      </c>
      <c r="T59" s="111" t="s">
        <v>12</v>
      </c>
      <c r="U59" s="116" t="s">
        <v>12</v>
      </c>
      <c r="V59" s="111" t="s">
        <v>12</v>
      </c>
      <c r="W59" s="116" t="s">
        <v>12</v>
      </c>
      <c r="Y59" s="108" t="s">
        <v>1674</v>
      </c>
      <c r="Z59" s="108" t="s">
        <v>8</v>
      </c>
      <c r="AA59" s="122">
        <v>46199</v>
      </c>
      <c r="AB59" s="122">
        <v>46245</v>
      </c>
      <c r="AC59" s="122">
        <v>46260</v>
      </c>
      <c r="AD59" s="122" t="s">
        <v>1684</v>
      </c>
      <c r="AE59" s="122">
        <v>46294</v>
      </c>
      <c r="AF59" s="122">
        <v>46294</v>
      </c>
      <c r="AG59" s="122">
        <v>46294</v>
      </c>
      <c r="AH59" s="122">
        <v>46311</v>
      </c>
      <c r="AI59" s="201">
        <v>46456</v>
      </c>
      <c r="AJ59" s="108" t="s">
        <v>1690</v>
      </c>
      <c r="AK59" s="108" t="s">
        <v>1765</v>
      </c>
    </row>
    <row r="60" spans="1:37" ht="44.1" customHeight="1" x14ac:dyDescent="0.25">
      <c r="A60" s="110" t="s">
        <v>1742</v>
      </c>
      <c r="B60" s="108" t="s">
        <v>1458</v>
      </c>
      <c r="C60" s="108" t="s">
        <v>1743</v>
      </c>
      <c r="D60" s="207" t="s">
        <v>1459</v>
      </c>
      <c r="E60" s="208">
        <v>1.0164</v>
      </c>
      <c r="F60" s="203">
        <v>7591.6560892095195</v>
      </c>
      <c r="G60" s="108" t="s">
        <v>24</v>
      </c>
      <c r="H60" s="110" t="s">
        <v>42</v>
      </c>
      <c r="J60" s="111">
        <v>1.5</v>
      </c>
      <c r="K60" s="111" t="s">
        <v>1427</v>
      </c>
      <c r="L60" s="116" t="s">
        <v>1764</v>
      </c>
      <c r="N60" s="118" t="s">
        <v>12</v>
      </c>
      <c r="O60" s="114" t="s">
        <v>12</v>
      </c>
      <c r="Q60" s="118" t="s">
        <v>12</v>
      </c>
      <c r="R60" s="114" t="s">
        <v>12</v>
      </c>
      <c r="T60" s="111" t="s">
        <v>12</v>
      </c>
      <c r="U60" s="116" t="s">
        <v>12</v>
      </c>
      <c r="V60" s="111" t="s">
        <v>12</v>
      </c>
      <c r="W60" s="116" t="s">
        <v>12</v>
      </c>
      <c r="Y60" s="108" t="s">
        <v>1674</v>
      </c>
      <c r="Z60" s="108" t="s">
        <v>8</v>
      </c>
      <c r="AA60" s="122">
        <v>46199</v>
      </c>
      <c r="AB60" s="122">
        <v>46245</v>
      </c>
      <c r="AC60" s="122">
        <v>46260</v>
      </c>
      <c r="AD60" s="122" t="s">
        <v>1684</v>
      </c>
      <c r="AE60" s="122">
        <v>46294</v>
      </c>
      <c r="AF60" s="122">
        <v>46294</v>
      </c>
      <c r="AG60" s="122">
        <v>46294</v>
      </c>
      <c r="AH60" s="122">
        <v>46311</v>
      </c>
      <c r="AI60" s="201">
        <v>46456</v>
      </c>
      <c r="AJ60" s="108" t="s">
        <v>1690</v>
      </c>
      <c r="AK60" s="108" t="s">
        <v>1765</v>
      </c>
    </row>
    <row r="61" spans="1:37" ht="44.1" customHeight="1" x14ac:dyDescent="0.25">
      <c r="A61" s="189" t="s">
        <v>1786</v>
      </c>
      <c r="B61" s="108" t="s">
        <v>430</v>
      </c>
      <c r="C61" s="108"/>
      <c r="D61" s="207" t="s">
        <v>1787</v>
      </c>
      <c r="E61" s="108">
        <v>5.6</v>
      </c>
      <c r="F61" s="203">
        <v>13137.64</v>
      </c>
      <c r="G61" s="108" t="s">
        <v>34</v>
      </c>
      <c r="H61" s="110" t="s">
        <v>45</v>
      </c>
      <c r="J61" s="108">
        <v>3</v>
      </c>
      <c r="K61" s="111" t="s">
        <v>1788</v>
      </c>
      <c r="L61" s="116" t="s">
        <v>12</v>
      </c>
      <c r="N61" s="118" t="s">
        <v>12</v>
      </c>
      <c r="O61" s="114" t="s">
        <v>12</v>
      </c>
      <c r="Q61" s="108" t="s">
        <v>12</v>
      </c>
      <c r="R61" s="115" t="s">
        <v>12</v>
      </c>
      <c r="T61" s="111">
        <v>1150</v>
      </c>
      <c r="U61" s="116">
        <v>1000</v>
      </c>
      <c r="V61" s="111">
        <v>1520</v>
      </c>
      <c r="W61" s="116" t="s">
        <v>12</v>
      </c>
      <c r="Y61" s="122">
        <v>46038</v>
      </c>
      <c r="Z61" s="108" t="s">
        <v>8</v>
      </c>
      <c r="AA61" s="122">
        <v>46038</v>
      </c>
      <c r="AB61" s="122">
        <v>46069</v>
      </c>
      <c r="AC61" s="122">
        <v>46071</v>
      </c>
      <c r="AD61" s="108" t="s">
        <v>1693</v>
      </c>
      <c r="AE61" s="108" t="s">
        <v>1693</v>
      </c>
      <c r="AF61" s="108" t="s">
        <v>1693</v>
      </c>
      <c r="AG61" s="108" t="s">
        <v>1693</v>
      </c>
      <c r="AH61" s="108" t="s">
        <v>1693</v>
      </c>
      <c r="AI61" s="108" t="s">
        <v>1693</v>
      </c>
      <c r="AJ61" s="108" t="s">
        <v>1693</v>
      </c>
      <c r="AK61" s="108" t="s">
        <v>1789</v>
      </c>
    </row>
    <row r="62" spans="1:37" ht="44.1" customHeight="1" x14ac:dyDescent="0.25">
      <c r="A62" s="110" t="s">
        <v>1742</v>
      </c>
      <c r="B62" s="108" t="s">
        <v>1439</v>
      </c>
      <c r="C62" s="108" t="s">
        <v>1743</v>
      </c>
      <c r="D62" s="207" t="s">
        <v>1790</v>
      </c>
      <c r="E62" s="208">
        <v>2.2283600000000003</v>
      </c>
      <c r="F62" s="203">
        <v>8029.7351111249855</v>
      </c>
      <c r="G62" s="108" t="s">
        <v>24</v>
      </c>
      <c r="H62" s="110" t="s">
        <v>51</v>
      </c>
      <c r="J62" s="111">
        <v>1.5</v>
      </c>
      <c r="K62" s="111" t="s">
        <v>1427</v>
      </c>
      <c r="L62" s="116" t="s">
        <v>1706</v>
      </c>
      <c r="N62" s="118" t="s">
        <v>12</v>
      </c>
      <c r="O62" s="114" t="s">
        <v>12</v>
      </c>
      <c r="Q62" s="118" t="s">
        <v>12</v>
      </c>
      <c r="R62" s="114" t="s">
        <v>12</v>
      </c>
      <c r="T62" s="111" t="s">
        <v>12</v>
      </c>
      <c r="U62" s="116" t="s">
        <v>12</v>
      </c>
      <c r="V62" s="111" t="s">
        <v>12</v>
      </c>
      <c r="W62" s="116" t="s">
        <v>12</v>
      </c>
      <c r="Y62" s="108" t="s">
        <v>1674</v>
      </c>
      <c r="Z62" s="108" t="s">
        <v>10</v>
      </c>
      <c r="AA62" s="122">
        <v>46199</v>
      </c>
      <c r="AB62" s="108" t="s">
        <v>1693</v>
      </c>
      <c r="AC62" s="108" t="s">
        <v>1693</v>
      </c>
      <c r="AD62" s="108" t="s">
        <v>1693</v>
      </c>
      <c r="AE62" s="108" t="s">
        <v>1693</v>
      </c>
      <c r="AF62" s="108" t="s">
        <v>1693</v>
      </c>
      <c r="AG62" s="108" t="s">
        <v>1693</v>
      </c>
      <c r="AH62" s="108" t="s">
        <v>1693</v>
      </c>
      <c r="AI62" s="108" t="s">
        <v>1693</v>
      </c>
      <c r="AJ62" s="108" t="s">
        <v>1693</v>
      </c>
      <c r="AK62" s="108" t="s">
        <v>1791</v>
      </c>
    </row>
    <row r="63" spans="1:37" ht="44.1" customHeight="1" x14ac:dyDescent="0.25">
      <c r="A63" s="110" t="s">
        <v>1766</v>
      </c>
      <c r="B63" s="108" t="s">
        <v>1388</v>
      </c>
      <c r="C63" s="108" t="s">
        <v>1768</v>
      </c>
      <c r="D63" s="207" t="s">
        <v>1363</v>
      </c>
      <c r="E63" s="208">
        <v>4.16</v>
      </c>
      <c r="F63" s="203">
        <v>7989.1897730873443</v>
      </c>
      <c r="G63" s="108" t="s">
        <v>24</v>
      </c>
      <c r="H63" s="110" t="s">
        <v>1575</v>
      </c>
      <c r="J63" s="111">
        <v>1.2</v>
      </c>
      <c r="K63" s="111" t="s">
        <v>215</v>
      </c>
      <c r="L63" s="116" t="s">
        <v>1762</v>
      </c>
      <c r="N63" s="118" t="s">
        <v>12</v>
      </c>
      <c r="O63" s="114" t="s">
        <v>12</v>
      </c>
      <c r="Q63" s="118" t="s">
        <v>12</v>
      </c>
      <c r="R63" s="114" t="s">
        <v>12</v>
      </c>
      <c r="T63" s="111" t="s">
        <v>12</v>
      </c>
      <c r="U63" s="116" t="s">
        <v>12</v>
      </c>
      <c r="V63" s="111" t="s">
        <v>12</v>
      </c>
      <c r="W63" s="116" t="s">
        <v>12</v>
      </c>
      <c r="Y63" s="147">
        <v>46294</v>
      </c>
      <c r="Z63" s="108" t="s">
        <v>10</v>
      </c>
      <c r="AA63" s="122"/>
      <c r="AB63" s="122"/>
      <c r="AC63" s="108"/>
      <c r="AD63" s="108"/>
      <c r="AE63" s="108"/>
      <c r="AF63" s="108"/>
      <c r="AG63" s="108"/>
      <c r="AH63" s="108"/>
      <c r="AI63" s="108"/>
      <c r="AJ63" s="108" t="s">
        <v>1747</v>
      </c>
      <c r="AK63" s="108"/>
    </row>
    <row r="64" spans="1:37" ht="44.1" customHeight="1" x14ac:dyDescent="0.25">
      <c r="A64" s="110" t="s">
        <v>1742</v>
      </c>
      <c r="B64" s="108" t="s">
        <v>1444</v>
      </c>
      <c r="C64" s="108" t="s">
        <v>1743</v>
      </c>
      <c r="D64" s="207" t="s">
        <v>1792</v>
      </c>
      <c r="E64" s="208">
        <v>2.1937499999999996</v>
      </c>
      <c r="F64" s="220">
        <v>7375.3943988375131</v>
      </c>
      <c r="G64" s="108" t="s">
        <v>24</v>
      </c>
      <c r="H64" s="110" t="s">
        <v>42</v>
      </c>
      <c r="J64" s="111">
        <v>1.2</v>
      </c>
      <c r="K64" s="111" t="s">
        <v>1785</v>
      </c>
      <c r="L64" s="116" t="s">
        <v>1762</v>
      </c>
      <c r="N64" s="118" t="s">
        <v>12</v>
      </c>
      <c r="O64" s="114" t="s">
        <v>12</v>
      </c>
      <c r="Q64" s="118" t="s">
        <v>12</v>
      </c>
      <c r="R64" s="114" t="s">
        <v>12</v>
      </c>
      <c r="T64" s="111" t="s">
        <v>12</v>
      </c>
      <c r="U64" s="116" t="s">
        <v>12</v>
      </c>
      <c r="V64" s="111" t="s">
        <v>12</v>
      </c>
      <c r="W64" s="116" t="s">
        <v>12</v>
      </c>
      <c r="Y64" s="108" t="s">
        <v>1674</v>
      </c>
      <c r="Z64" s="108" t="s">
        <v>8</v>
      </c>
      <c r="AA64" s="122">
        <v>46199</v>
      </c>
      <c r="AB64" s="108" t="s">
        <v>1693</v>
      </c>
      <c r="AC64" s="108" t="s">
        <v>1693</v>
      </c>
      <c r="AD64" s="108" t="s">
        <v>1693</v>
      </c>
      <c r="AE64" s="108" t="s">
        <v>1693</v>
      </c>
      <c r="AF64" s="108" t="s">
        <v>1693</v>
      </c>
      <c r="AG64" s="108" t="s">
        <v>1693</v>
      </c>
      <c r="AH64" s="108" t="s">
        <v>1693</v>
      </c>
      <c r="AI64" s="108" t="s">
        <v>1693</v>
      </c>
      <c r="AJ64" s="108" t="s">
        <v>1693</v>
      </c>
      <c r="AK64" s="108"/>
    </row>
    <row r="65" spans="1:37" ht="44.1" customHeight="1" x14ac:dyDescent="0.25">
      <c r="A65" s="110" t="s">
        <v>1742</v>
      </c>
      <c r="B65" s="108" t="s">
        <v>1419</v>
      </c>
      <c r="C65" s="108" t="s">
        <v>1743</v>
      </c>
      <c r="D65" s="207" t="s">
        <v>1420</v>
      </c>
      <c r="E65" s="208">
        <v>3.8872200000000001</v>
      </c>
      <c r="F65" s="203">
        <v>6848.7510031367929</v>
      </c>
      <c r="G65" s="108" t="s">
        <v>24</v>
      </c>
      <c r="H65" s="110" t="s">
        <v>42</v>
      </c>
      <c r="J65" s="111">
        <v>1.6</v>
      </c>
      <c r="K65" s="111" t="s">
        <v>1793</v>
      </c>
      <c r="L65" s="116" t="s">
        <v>1764</v>
      </c>
      <c r="N65" s="118" t="s">
        <v>12</v>
      </c>
      <c r="O65" s="114" t="s">
        <v>12</v>
      </c>
      <c r="Q65" s="118" t="s">
        <v>12</v>
      </c>
      <c r="R65" s="114" t="s">
        <v>12</v>
      </c>
      <c r="T65" s="111" t="s">
        <v>12</v>
      </c>
      <c r="U65" s="116" t="s">
        <v>12</v>
      </c>
      <c r="V65" s="111" t="s">
        <v>12</v>
      </c>
      <c r="W65" s="116" t="s">
        <v>12</v>
      </c>
      <c r="Y65" s="108" t="s">
        <v>1674</v>
      </c>
      <c r="Z65" s="108" t="s">
        <v>8</v>
      </c>
      <c r="AA65" s="122">
        <v>46199</v>
      </c>
      <c r="AB65" s="122">
        <v>46245</v>
      </c>
      <c r="AC65" s="122">
        <v>46260</v>
      </c>
      <c r="AD65" s="122" t="s">
        <v>1684</v>
      </c>
      <c r="AE65" s="122">
        <v>46294</v>
      </c>
      <c r="AF65" s="122">
        <v>46294</v>
      </c>
      <c r="AG65" s="122">
        <v>46294</v>
      </c>
      <c r="AH65" s="122">
        <v>46311</v>
      </c>
      <c r="AI65" s="201">
        <v>46456</v>
      </c>
      <c r="AJ65" s="108" t="s">
        <v>1690</v>
      </c>
      <c r="AK65" s="108" t="s">
        <v>1765</v>
      </c>
    </row>
    <row r="66" spans="1:37" ht="44.1" customHeight="1" x14ac:dyDescent="0.25">
      <c r="A66" s="110" t="s">
        <v>1742</v>
      </c>
      <c r="B66" s="108" t="s">
        <v>1411</v>
      </c>
      <c r="C66" s="108" t="s">
        <v>1743</v>
      </c>
      <c r="D66" s="207" t="s">
        <v>1412</v>
      </c>
      <c r="E66" s="208">
        <v>4.2117500000000003</v>
      </c>
      <c r="F66" s="203">
        <v>6584.071068839311</v>
      </c>
      <c r="G66" s="108" t="s">
        <v>24</v>
      </c>
      <c r="H66" s="110" t="s">
        <v>42</v>
      </c>
      <c r="J66" s="111">
        <v>1.5</v>
      </c>
      <c r="K66" s="111" t="s">
        <v>1427</v>
      </c>
      <c r="L66" s="116" t="s">
        <v>1764</v>
      </c>
      <c r="N66" s="118" t="s">
        <v>12</v>
      </c>
      <c r="O66" s="114" t="s">
        <v>12</v>
      </c>
      <c r="Q66" s="118" t="s">
        <v>12</v>
      </c>
      <c r="R66" s="114" t="s">
        <v>12</v>
      </c>
      <c r="T66" s="111" t="s">
        <v>12</v>
      </c>
      <c r="U66" s="116" t="s">
        <v>12</v>
      </c>
      <c r="V66" s="111" t="s">
        <v>12</v>
      </c>
      <c r="W66" s="116" t="s">
        <v>12</v>
      </c>
      <c r="Y66" s="108" t="s">
        <v>1674</v>
      </c>
      <c r="Z66" s="108" t="s">
        <v>8</v>
      </c>
      <c r="AA66" s="122">
        <v>46199</v>
      </c>
      <c r="AB66" s="122">
        <v>46245</v>
      </c>
      <c r="AC66" s="122">
        <v>46260</v>
      </c>
      <c r="AD66" s="122" t="s">
        <v>1684</v>
      </c>
      <c r="AE66" s="122">
        <v>46294</v>
      </c>
      <c r="AF66" s="122">
        <v>46294</v>
      </c>
      <c r="AG66" s="122">
        <v>46294</v>
      </c>
      <c r="AH66" s="122">
        <v>46311</v>
      </c>
      <c r="AI66" s="201">
        <v>46456</v>
      </c>
      <c r="AJ66" s="108" t="s">
        <v>1690</v>
      </c>
      <c r="AK66" s="108" t="s">
        <v>1765</v>
      </c>
    </row>
    <row r="67" spans="1:37" ht="44.1" customHeight="1" x14ac:dyDescent="0.25">
      <c r="A67" s="110" t="s">
        <v>1742</v>
      </c>
      <c r="B67" s="108" t="s">
        <v>1383</v>
      </c>
      <c r="C67" s="108" t="s">
        <v>1743</v>
      </c>
      <c r="D67" s="207" t="s">
        <v>1794</v>
      </c>
      <c r="E67" s="208">
        <v>6.5935199999999998</v>
      </c>
      <c r="F67" s="203">
        <v>6829.6049839277157</v>
      </c>
      <c r="G67" s="108" t="s">
        <v>24</v>
      </c>
      <c r="H67" s="110" t="s">
        <v>51</v>
      </c>
      <c r="J67" s="111">
        <v>1.2</v>
      </c>
      <c r="K67" s="111" t="s">
        <v>1376</v>
      </c>
      <c r="L67" s="116" t="s">
        <v>1761</v>
      </c>
      <c r="N67" s="118" t="s">
        <v>12</v>
      </c>
      <c r="O67" s="114" t="s">
        <v>12</v>
      </c>
      <c r="Q67" s="118" t="s">
        <v>12</v>
      </c>
      <c r="R67" s="114" t="s">
        <v>12</v>
      </c>
      <c r="T67" s="111" t="s">
        <v>12</v>
      </c>
      <c r="U67" s="116" t="s">
        <v>12</v>
      </c>
      <c r="V67" s="111" t="s">
        <v>12</v>
      </c>
      <c r="W67" s="116" t="s">
        <v>12</v>
      </c>
      <c r="Y67" s="108" t="s">
        <v>1674</v>
      </c>
      <c r="Z67" s="108" t="s">
        <v>10</v>
      </c>
      <c r="AA67" s="122">
        <v>46199</v>
      </c>
      <c r="AB67" s="108" t="s">
        <v>1693</v>
      </c>
      <c r="AC67" s="108" t="s">
        <v>1693</v>
      </c>
      <c r="AD67" s="108" t="s">
        <v>1693</v>
      </c>
      <c r="AE67" s="108" t="s">
        <v>1693</v>
      </c>
      <c r="AF67" s="108" t="s">
        <v>1693</v>
      </c>
      <c r="AG67" s="108" t="s">
        <v>1693</v>
      </c>
      <c r="AH67" s="108" t="s">
        <v>1693</v>
      </c>
      <c r="AI67" s="108" t="s">
        <v>1693</v>
      </c>
      <c r="AJ67" s="108" t="s">
        <v>1693</v>
      </c>
      <c r="AK67" s="108" t="s">
        <v>1791</v>
      </c>
    </row>
    <row r="68" spans="1:37" ht="44.1" customHeight="1" x14ac:dyDescent="0.25">
      <c r="A68" s="110" t="s">
        <v>1742</v>
      </c>
      <c r="B68" s="108" t="s">
        <v>1395</v>
      </c>
      <c r="C68" s="108" t="s">
        <v>1743</v>
      </c>
      <c r="D68" s="207" t="s">
        <v>1396</v>
      </c>
      <c r="E68" s="208">
        <v>5.9535</v>
      </c>
      <c r="F68" s="203">
        <v>6369.1097869769919</v>
      </c>
      <c r="G68" s="108" t="s">
        <v>24</v>
      </c>
      <c r="H68" s="110" t="s">
        <v>42</v>
      </c>
      <c r="J68" s="111">
        <v>2.5</v>
      </c>
      <c r="K68" s="111" t="s">
        <v>1391</v>
      </c>
      <c r="L68" s="116" t="s">
        <v>1795</v>
      </c>
      <c r="N68" s="118" t="s">
        <v>12</v>
      </c>
      <c r="O68" s="114" t="s">
        <v>12</v>
      </c>
      <c r="Q68" s="118" t="s">
        <v>12</v>
      </c>
      <c r="R68" s="114" t="s">
        <v>12</v>
      </c>
      <c r="T68" s="111" t="s">
        <v>12</v>
      </c>
      <c r="U68" s="116" t="s">
        <v>12</v>
      </c>
      <c r="V68" s="111" t="s">
        <v>12</v>
      </c>
      <c r="W68" s="116" t="s">
        <v>12</v>
      </c>
      <c r="Y68" s="108" t="s">
        <v>1674</v>
      </c>
      <c r="Z68" s="108" t="s">
        <v>8</v>
      </c>
      <c r="AA68" s="122">
        <v>46199</v>
      </c>
      <c r="AB68" s="122">
        <v>46245</v>
      </c>
      <c r="AC68" s="122">
        <v>46260</v>
      </c>
      <c r="AD68" s="122" t="s">
        <v>1684</v>
      </c>
      <c r="AE68" s="122">
        <v>46294</v>
      </c>
      <c r="AF68" s="122">
        <v>46294</v>
      </c>
      <c r="AG68" s="122">
        <v>46294</v>
      </c>
      <c r="AH68" s="122">
        <v>46311</v>
      </c>
      <c r="AI68" s="201">
        <v>46456</v>
      </c>
      <c r="AJ68" s="108" t="s">
        <v>1690</v>
      </c>
      <c r="AK68" s="108" t="s">
        <v>1765</v>
      </c>
    </row>
    <row r="69" spans="1:37" ht="44.1" customHeight="1" x14ac:dyDescent="0.25">
      <c r="A69" s="110" t="s">
        <v>1742</v>
      </c>
      <c r="B69" s="108" t="s">
        <v>1416</v>
      </c>
      <c r="C69" s="108" t="s">
        <v>1743</v>
      </c>
      <c r="D69" s="207" t="s">
        <v>1412</v>
      </c>
      <c r="E69" s="208">
        <v>3.9763875000000004</v>
      </c>
      <c r="F69" s="220">
        <v>6302.4478452360854</v>
      </c>
      <c r="G69" s="108" t="s">
        <v>24</v>
      </c>
      <c r="H69" s="110" t="s">
        <v>42</v>
      </c>
      <c r="J69" s="111">
        <v>1.5</v>
      </c>
      <c r="K69" s="111" t="s">
        <v>1366</v>
      </c>
      <c r="L69" s="116" t="s">
        <v>1764</v>
      </c>
      <c r="N69" s="118" t="s">
        <v>12</v>
      </c>
      <c r="O69" s="114" t="s">
        <v>12</v>
      </c>
      <c r="Q69" s="118" t="s">
        <v>12</v>
      </c>
      <c r="R69" s="114" t="s">
        <v>12</v>
      </c>
      <c r="T69" s="111" t="s">
        <v>12</v>
      </c>
      <c r="U69" s="116" t="s">
        <v>12</v>
      </c>
      <c r="V69" s="111" t="s">
        <v>12</v>
      </c>
      <c r="W69" s="116" t="s">
        <v>12</v>
      </c>
      <c r="Y69" s="108" t="s">
        <v>1674</v>
      </c>
      <c r="Z69" s="108" t="s">
        <v>8</v>
      </c>
      <c r="AA69" s="122">
        <v>46199</v>
      </c>
      <c r="AB69" s="108" t="s">
        <v>1693</v>
      </c>
      <c r="AC69" s="108" t="s">
        <v>1693</v>
      </c>
      <c r="AD69" s="108" t="s">
        <v>1693</v>
      </c>
      <c r="AE69" s="108" t="s">
        <v>1693</v>
      </c>
      <c r="AF69" s="108" t="s">
        <v>1693</v>
      </c>
      <c r="AG69" s="108" t="s">
        <v>1693</v>
      </c>
      <c r="AH69" s="108" t="s">
        <v>1693</v>
      </c>
      <c r="AI69" s="108" t="s">
        <v>1693</v>
      </c>
      <c r="AJ69" s="108" t="s">
        <v>1693</v>
      </c>
      <c r="AK69" s="108"/>
    </row>
    <row r="70" spans="1:37" ht="44.1" customHeight="1" x14ac:dyDescent="0.25">
      <c r="A70" s="110" t="s">
        <v>1742</v>
      </c>
      <c r="B70" s="108" t="s">
        <v>1447</v>
      </c>
      <c r="C70" s="108" t="s">
        <v>1743</v>
      </c>
      <c r="D70" s="207" t="s">
        <v>1448</v>
      </c>
      <c r="E70" s="208">
        <v>1.95</v>
      </c>
      <c r="F70" s="220">
        <v>6109.2115281288543</v>
      </c>
      <c r="G70" s="108" t="s">
        <v>24</v>
      </c>
      <c r="H70" s="110" t="s">
        <v>42</v>
      </c>
      <c r="J70" s="111">
        <v>0.7</v>
      </c>
      <c r="K70" s="111" t="s">
        <v>215</v>
      </c>
      <c r="L70" s="116" t="s">
        <v>1762</v>
      </c>
      <c r="N70" s="118" t="s">
        <v>12</v>
      </c>
      <c r="O70" s="114" t="s">
        <v>12</v>
      </c>
      <c r="Q70" s="118" t="s">
        <v>12</v>
      </c>
      <c r="R70" s="114" t="s">
        <v>12</v>
      </c>
      <c r="T70" s="111" t="s">
        <v>12</v>
      </c>
      <c r="U70" s="116" t="s">
        <v>12</v>
      </c>
      <c r="V70" s="111" t="s">
        <v>12</v>
      </c>
      <c r="W70" s="116" t="s">
        <v>12</v>
      </c>
      <c r="Y70" s="108" t="s">
        <v>1674</v>
      </c>
      <c r="Z70" s="108" t="s">
        <v>8</v>
      </c>
      <c r="AA70" s="122">
        <v>46199</v>
      </c>
      <c r="AB70" s="108" t="s">
        <v>1693</v>
      </c>
      <c r="AC70" s="108" t="s">
        <v>1693</v>
      </c>
      <c r="AD70" s="108" t="s">
        <v>1693</v>
      </c>
      <c r="AE70" s="108" t="s">
        <v>1693</v>
      </c>
      <c r="AF70" s="108" t="s">
        <v>1693</v>
      </c>
      <c r="AG70" s="108" t="s">
        <v>1693</v>
      </c>
      <c r="AH70" s="108" t="s">
        <v>1693</v>
      </c>
      <c r="AI70" s="108" t="s">
        <v>1693</v>
      </c>
      <c r="AJ70" s="108" t="s">
        <v>1693</v>
      </c>
      <c r="AK70" s="108"/>
    </row>
    <row r="71" spans="1:37" ht="44.1" customHeight="1" x14ac:dyDescent="0.25">
      <c r="A71" s="110" t="s">
        <v>1766</v>
      </c>
      <c r="B71" s="108" t="s">
        <v>1480</v>
      </c>
      <c r="C71" s="108" t="s">
        <v>1768</v>
      </c>
      <c r="D71" s="207" t="s">
        <v>1481</v>
      </c>
      <c r="E71" s="208">
        <v>0.05</v>
      </c>
      <c r="F71" s="203">
        <v>6241.7428491599348</v>
      </c>
      <c r="G71" s="108" t="s">
        <v>24</v>
      </c>
      <c r="H71" s="110" t="s">
        <v>1575</v>
      </c>
      <c r="J71" s="111">
        <v>0.6</v>
      </c>
      <c r="K71" s="111" t="s">
        <v>1769</v>
      </c>
      <c r="L71" s="116" t="s">
        <v>1762</v>
      </c>
      <c r="N71" s="118" t="s">
        <v>12</v>
      </c>
      <c r="O71" s="114" t="s">
        <v>12</v>
      </c>
      <c r="Q71" s="118" t="s">
        <v>12</v>
      </c>
      <c r="R71" s="114" t="s">
        <v>12</v>
      </c>
      <c r="T71" s="111" t="s">
        <v>12</v>
      </c>
      <c r="U71" s="116" t="s">
        <v>12</v>
      </c>
      <c r="V71" s="111" t="s">
        <v>12</v>
      </c>
      <c r="W71" s="116" t="s">
        <v>12</v>
      </c>
      <c r="Y71" s="147">
        <v>46294</v>
      </c>
      <c r="Z71" s="108" t="s">
        <v>10</v>
      </c>
      <c r="AA71" s="110"/>
      <c r="AB71" s="108"/>
      <c r="AC71" s="108"/>
      <c r="AD71" s="108"/>
      <c r="AE71" s="108"/>
      <c r="AF71" s="108"/>
      <c r="AG71" s="108"/>
      <c r="AH71" s="108"/>
      <c r="AI71" s="108"/>
      <c r="AJ71" s="108" t="s">
        <v>1747</v>
      </c>
      <c r="AK71" s="108"/>
    </row>
    <row r="72" spans="1:37" ht="44.1" customHeight="1" x14ac:dyDescent="0.25">
      <c r="A72" s="110" t="s">
        <v>1766</v>
      </c>
      <c r="B72" s="108" t="s">
        <v>1378</v>
      </c>
      <c r="C72" s="108" t="s">
        <v>1768</v>
      </c>
      <c r="D72" s="207" t="s">
        <v>916</v>
      </c>
      <c r="E72" s="208">
        <v>7.6096000000000004</v>
      </c>
      <c r="F72" s="220">
        <v>5364.2951771850076</v>
      </c>
      <c r="G72" s="108" t="s">
        <v>24</v>
      </c>
      <c r="H72" s="110" t="s">
        <v>42</v>
      </c>
      <c r="J72" s="111">
        <v>1.2</v>
      </c>
      <c r="K72" s="111" t="s">
        <v>215</v>
      </c>
      <c r="L72" s="116" t="s">
        <v>1762</v>
      </c>
      <c r="N72" s="118" t="s">
        <v>12</v>
      </c>
      <c r="O72" s="114" t="s">
        <v>12</v>
      </c>
      <c r="Q72" s="118" t="s">
        <v>12</v>
      </c>
      <c r="R72" s="114" t="s">
        <v>12</v>
      </c>
      <c r="T72" s="111" t="s">
        <v>12</v>
      </c>
      <c r="U72" s="116" t="s">
        <v>12</v>
      </c>
      <c r="V72" s="111" t="s">
        <v>12</v>
      </c>
      <c r="W72" s="116" t="s">
        <v>12</v>
      </c>
      <c r="Y72" s="108" t="s">
        <v>1674</v>
      </c>
      <c r="Z72" s="108" t="s">
        <v>8</v>
      </c>
      <c r="AA72" s="122">
        <v>46199</v>
      </c>
      <c r="AB72" s="108" t="s">
        <v>1693</v>
      </c>
      <c r="AC72" s="108" t="s">
        <v>1693</v>
      </c>
      <c r="AD72" s="108" t="s">
        <v>1693</v>
      </c>
      <c r="AE72" s="108" t="s">
        <v>1693</v>
      </c>
      <c r="AF72" s="108" t="s">
        <v>1693</v>
      </c>
      <c r="AG72" s="108" t="s">
        <v>1693</v>
      </c>
      <c r="AH72" s="108" t="s">
        <v>1693</v>
      </c>
      <c r="AI72" s="108" t="s">
        <v>1693</v>
      </c>
      <c r="AJ72" s="108" t="s">
        <v>1693</v>
      </c>
      <c r="AK72" s="108"/>
    </row>
    <row r="73" spans="1:37" ht="44.1" customHeight="1" x14ac:dyDescent="0.25">
      <c r="A73" s="110" t="s">
        <v>1742</v>
      </c>
      <c r="B73" s="108" t="s">
        <v>1394</v>
      </c>
      <c r="C73" s="108" t="s">
        <v>1743</v>
      </c>
      <c r="D73" s="207" t="s">
        <v>1384</v>
      </c>
      <c r="E73" s="208">
        <v>5.7246000000000006</v>
      </c>
      <c r="F73" s="203">
        <v>6072.2602971029992</v>
      </c>
      <c r="G73" s="108" t="s">
        <v>24</v>
      </c>
      <c r="H73" s="110" t="s">
        <v>51</v>
      </c>
      <c r="J73" s="111">
        <v>1.2</v>
      </c>
      <c r="K73" s="111" t="s">
        <v>1376</v>
      </c>
      <c r="L73" s="116" t="s">
        <v>1761</v>
      </c>
      <c r="N73" s="118" t="s">
        <v>12</v>
      </c>
      <c r="O73" s="114" t="s">
        <v>12</v>
      </c>
      <c r="Q73" s="118" t="s">
        <v>12</v>
      </c>
      <c r="R73" s="114" t="s">
        <v>12</v>
      </c>
      <c r="T73" s="111" t="s">
        <v>12</v>
      </c>
      <c r="U73" s="116" t="s">
        <v>12</v>
      </c>
      <c r="V73" s="111" t="s">
        <v>12</v>
      </c>
      <c r="W73" s="116" t="s">
        <v>12</v>
      </c>
      <c r="Y73" s="108" t="s">
        <v>1674</v>
      </c>
      <c r="Z73" s="108" t="s">
        <v>10</v>
      </c>
      <c r="AA73" s="122">
        <v>46199</v>
      </c>
      <c r="AB73" s="108" t="s">
        <v>1693</v>
      </c>
      <c r="AC73" s="108" t="s">
        <v>1693</v>
      </c>
      <c r="AD73" s="108" t="s">
        <v>1693</v>
      </c>
      <c r="AE73" s="108" t="s">
        <v>1693</v>
      </c>
      <c r="AF73" s="108" t="s">
        <v>1693</v>
      </c>
      <c r="AG73" s="108" t="s">
        <v>1693</v>
      </c>
      <c r="AH73" s="108" t="s">
        <v>1693</v>
      </c>
      <c r="AI73" s="108" t="s">
        <v>1693</v>
      </c>
      <c r="AJ73" s="108" t="s">
        <v>1693</v>
      </c>
      <c r="AK73" s="108" t="s">
        <v>1791</v>
      </c>
    </row>
    <row r="74" spans="1:37" ht="44.1" customHeight="1" x14ac:dyDescent="0.25">
      <c r="A74" s="110" t="s">
        <v>1766</v>
      </c>
      <c r="B74" s="108" t="s">
        <v>1474</v>
      </c>
      <c r="C74" s="108" t="s">
        <v>1768</v>
      </c>
      <c r="D74" s="207" t="s">
        <v>1796</v>
      </c>
      <c r="E74" s="208">
        <v>0.36</v>
      </c>
      <c r="F74" s="220">
        <v>4056.9783891524821</v>
      </c>
      <c r="G74" s="108" t="s">
        <v>24</v>
      </c>
      <c r="H74" s="110" t="s">
        <v>42</v>
      </c>
      <c r="J74" s="111">
        <v>0.7</v>
      </c>
      <c r="K74" s="111" t="s">
        <v>215</v>
      </c>
      <c r="L74" s="116" t="s">
        <v>1762</v>
      </c>
      <c r="N74" s="118" t="s">
        <v>12</v>
      </c>
      <c r="O74" s="114" t="s">
        <v>12</v>
      </c>
      <c r="Q74" s="118" t="s">
        <v>12</v>
      </c>
      <c r="R74" s="114" t="s">
        <v>12</v>
      </c>
      <c r="T74" s="111" t="s">
        <v>12</v>
      </c>
      <c r="U74" s="116" t="s">
        <v>12</v>
      </c>
      <c r="V74" s="111" t="s">
        <v>12</v>
      </c>
      <c r="W74" s="116" t="s">
        <v>12</v>
      </c>
      <c r="Y74" s="108" t="s">
        <v>1674</v>
      </c>
      <c r="Z74" s="108" t="s">
        <v>8</v>
      </c>
      <c r="AA74" s="122">
        <v>46199</v>
      </c>
      <c r="AB74" s="108" t="s">
        <v>1693</v>
      </c>
      <c r="AC74" s="108" t="s">
        <v>1693</v>
      </c>
      <c r="AD74" s="108" t="s">
        <v>1693</v>
      </c>
      <c r="AE74" s="108" t="s">
        <v>1693</v>
      </c>
      <c r="AF74" s="108" t="s">
        <v>1693</v>
      </c>
      <c r="AG74" s="108" t="s">
        <v>1693</v>
      </c>
      <c r="AH74" s="108" t="s">
        <v>1693</v>
      </c>
      <c r="AI74" s="108" t="s">
        <v>1693</v>
      </c>
      <c r="AJ74" s="108" t="s">
        <v>1693</v>
      </c>
      <c r="AK74" s="108"/>
    </row>
    <row r="75" spans="1:37" ht="44.1" customHeight="1" x14ac:dyDescent="0.25">
      <c r="A75" s="110" t="s">
        <v>1766</v>
      </c>
      <c r="B75" s="108" t="s">
        <v>784</v>
      </c>
      <c r="C75" s="108" t="s">
        <v>1768</v>
      </c>
      <c r="D75" s="207" t="s">
        <v>785</v>
      </c>
      <c r="E75" s="208">
        <v>1.37</v>
      </c>
      <c r="F75" s="203">
        <v>5301.6760721925139</v>
      </c>
      <c r="G75" s="108" t="s">
        <v>24</v>
      </c>
      <c r="H75" s="110" t="s">
        <v>1575</v>
      </c>
      <c r="J75" s="111">
        <v>0.8</v>
      </c>
      <c r="K75" s="111" t="s">
        <v>215</v>
      </c>
      <c r="L75" s="116" t="s">
        <v>1762</v>
      </c>
      <c r="N75" s="118" t="s">
        <v>12</v>
      </c>
      <c r="O75" s="114" t="s">
        <v>12</v>
      </c>
      <c r="Q75" s="118" t="s">
        <v>12</v>
      </c>
      <c r="R75" s="114" t="s">
        <v>12</v>
      </c>
      <c r="T75" s="111" t="s">
        <v>12</v>
      </c>
      <c r="U75" s="116" t="s">
        <v>12</v>
      </c>
      <c r="V75" s="111" t="s">
        <v>12</v>
      </c>
      <c r="W75" s="116" t="s">
        <v>12</v>
      </c>
      <c r="Y75" s="147">
        <v>46294</v>
      </c>
      <c r="Z75" s="108" t="s">
        <v>10</v>
      </c>
      <c r="AA75" s="110"/>
      <c r="AB75" s="108"/>
      <c r="AC75" s="108"/>
      <c r="AD75" s="108"/>
      <c r="AE75" s="108"/>
      <c r="AF75" s="108"/>
      <c r="AG75" s="108"/>
      <c r="AH75" s="108"/>
      <c r="AI75" s="108"/>
      <c r="AJ75" s="108" t="s">
        <v>1747</v>
      </c>
      <c r="AK75" s="108"/>
    </row>
    <row r="76" spans="1:37" ht="44.1" customHeight="1" x14ac:dyDescent="0.25">
      <c r="A76" s="110" t="s">
        <v>1766</v>
      </c>
      <c r="B76" s="108" t="s">
        <v>1470</v>
      </c>
      <c r="C76" s="108" t="s">
        <v>1768</v>
      </c>
      <c r="D76" s="207" t="s">
        <v>1471</v>
      </c>
      <c r="E76" s="208">
        <v>0.63</v>
      </c>
      <c r="F76" s="203">
        <v>4306.029936390004</v>
      </c>
      <c r="G76" s="108" t="s">
        <v>24</v>
      </c>
      <c r="H76" s="110" t="s">
        <v>1575</v>
      </c>
      <c r="J76" s="111">
        <v>0.6</v>
      </c>
      <c r="K76" s="111" t="s">
        <v>1769</v>
      </c>
      <c r="L76" s="116" t="s">
        <v>1762</v>
      </c>
      <c r="N76" s="118" t="s">
        <v>12</v>
      </c>
      <c r="O76" s="114" t="s">
        <v>12</v>
      </c>
      <c r="Q76" s="118" t="s">
        <v>12</v>
      </c>
      <c r="R76" s="114" t="s">
        <v>12</v>
      </c>
      <c r="T76" s="111" t="s">
        <v>12</v>
      </c>
      <c r="U76" s="116" t="s">
        <v>12</v>
      </c>
      <c r="V76" s="111" t="s">
        <v>12</v>
      </c>
      <c r="W76" s="116" t="s">
        <v>12</v>
      </c>
      <c r="Y76" s="147">
        <v>46294</v>
      </c>
      <c r="Z76" s="108" t="s">
        <v>10</v>
      </c>
      <c r="AA76" s="110"/>
      <c r="AB76" s="108"/>
      <c r="AC76" s="108"/>
      <c r="AD76" s="108"/>
      <c r="AE76" s="108"/>
      <c r="AF76" s="108"/>
      <c r="AG76" s="108"/>
      <c r="AH76" s="108"/>
      <c r="AI76" s="108"/>
      <c r="AJ76" s="108" t="s">
        <v>1747</v>
      </c>
      <c r="AK76" s="108"/>
    </row>
    <row r="77" spans="1:37" ht="44.1" customHeight="1" x14ac:dyDescent="0.25">
      <c r="A77" s="110" t="s">
        <v>1766</v>
      </c>
      <c r="B77" s="108" t="s">
        <v>1407</v>
      </c>
      <c r="C77" s="108" t="s">
        <v>1768</v>
      </c>
      <c r="D77" s="207" t="s">
        <v>1396</v>
      </c>
      <c r="E77" s="208">
        <v>4.1760000000000002</v>
      </c>
      <c r="F77" s="203">
        <v>3984.5269882341654</v>
      </c>
      <c r="G77" s="108" t="s">
        <v>24</v>
      </c>
      <c r="H77" s="110" t="s">
        <v>42</v>
      </c>
      <c r="J77" s="111">
        <v>2.5</v>
      </c>
      <c r="K77" s="108">
        <v>0.105</v>
      </c>
      <c r="L77" s="116" t="s">
        <v>1797</v>
      </c>
      <c r="N77" s="118" t="s">
        <v>12</v>
      </c>
      <c r="O77" s="114" t="s">
        <v>12</v>
      </c>
      <c r="Q77" s="118" t="s">
        <v>12</v>
      </c>
      <c r="R77" s="114" t="s">
        <v>12</v>
      </c>
      <c r="T77" s="111" t="s">
        <v>12</v>
      </c>
      <c r="U77" s="116" t="s">
        <v>12</v>
      </c>
      <c r="V77" s="111" t="s">
        <v>12</v>
      </c>
      <c r="W77" s="116" t="s">
        <v>12</v>
      </c>
      <c r="Y77" s="108" t="s">
        <v>1674</v>
      </c>
      <c r="Z77" s="108" t="s">
        <v>8</v>
      </c>
      <c r="AA77" s="122">
        <v>46199</v>
      </c>
      <c r="AB77" s="122">
        <v>46245</v>
      </c>
      <c r="AC77" s="122">
        <v>46260</v>
      </c>
      <c r="AD77" s="122" t="s">
        <v>1684</v>
      </c>
      <c r="AE77" s="122">
        <v>46294</v>
      </c>
      <c r="AF77" s="122">
        <v>46294</v>
      </c>
      <c r="AG77" s="122">
        <v>46294</v>
      </c>
      <c r="AH77" s="122">
        <v>46311</v>
      </c>
      <c r="AI77" s="201">
        <v>46456</v>
      </c>
      <c r="AJ77" s="108" t="s">
        <v>1690</v>
      </c>
      <c r="AK77" s="108" t="s">
        <v>1765</v>
      </c>
    </row>
    <row r="78" spans="1:37" ht="44.1" customHeight="1" x14ac:dyDescent="0.25">
      <c r="A78" s="110" t="s">
        <v>1766</v>
      </c>
      <c r="B78" s="108" t="s">
        <v>1456</v>
      </c>
      <c r="C78" s="108" t="s">
        <v>1768</v>
      </c>
      <c r="D78" s="207" t="s">
        <v>1457</v>
      </c>
      <c r="E78" s="208">
        <v>1.1088</v>
      </c>
      <c r="F78" s="220">
        <v>3844.3218347519828</v>
      </c>
      <c r="G78" s="108" t="s">
        <v>24</v>
      </c>
      <c r="H78" s="110" t="s">
        <v>42</v>
      </c>
      <c r="J78" s="111">
        <v>0.65</v>
      </c>
      <c r="K78" s="111" t="s">
        <v>215</v>
      </c>
      <c r="L78" s="116" t="s">
        <v>1762</v>
      </c>
      <c r="N78" s="118" t="s">
        <v>12</v>
      </c>
      <c r="O78" s="114" t="s">
        <v>12</v>
      </c>
      <c r="Q78" s="118" t="s">
        <v>12</v>
      </c>
      <c r="R78" s="114" t="s">
        <v>12</v>
      </c>
      <c r="T78" s="111" t="s">
        <v>12</v>
      </c>
      <c r="U78" s="116" t="s">
        <v>12</v>
      </c>
      <c r="V78" s="111" t="s">
        <v>12</v>
      </c>
      <c r="W78" s="116" t="s">
        <v>12</v>
      </c>
      <c r="Y78" s="108" t="s">
        <v>1674</v>
      </c>
      <c r="Z78" s="108" t="s">
        <v>8</v>
      </c>
      <c r="AA78" s="122">
        <v>46199</v>
      </c>
      <c r="AB78" s="108" t="s">
        <v>1693</v>
      </c>
      <c r="AC78" s="108" t="s">
        <v>1693</v>
      </c>
      <c r="AD78" s="108" t="s">
        <v>1693</v>
      </c>
      <c r="AE78" s="108" t="s">
        <v>1693</v>
      </c>
      <c r="AF78" s="108" t="s">
        <v>1693</v>
      </c>
      <c r="AG78" s="108" t="s">
        <v>1693</v>
      </c>
      <c r="AH78" s="108" t="s">
        <v>1693</v>
      </c>
      <c r="AI78" s="108" t="s">
        <v>1693</v>
      </c>
      <c r="AJ78" s="108" t="s">
        <v>1693</v>
      </c>
      <c r="AK78" s="108"/>
    </row>
    <row r="79" spans="1:37" ht="44.1" customHeight="1" x14ac:dyDescent="0.25">
      <c r="A79" s="110" t="s">
        <v>1766</v>
      </c>
      <c r="B79" s="108" t="s">
        <v>1432</v>
      </c>
      <c r="C79" s="108" t="s">
        <v>1768</v>
      </c>
      <c r="D79" s="207" t="s">
        <v>1433</v>
      </c>
      <c r="E79" s="208">
        <v>2.59335</v>
      </c>
      <c r="F79" s="220">
        <v>3720.6159635235795</v>
      </c>
      <c r="G79" s="108" t="s">
        <v>24</v>
      </c>
      <c r="H79" s="110" t="s">
        <v>42</v>
      </c>
      <c r="J79" s="111">
        <v>0.6</v>
      </c>
      <c r="K79" s="111" t="s">
        <v>215</v>
      </c>
      <c r="L79" s="116" t="s">
        <v>1762</v>
      </c>
      <c r="N79" s="118" t="s">
        <v>12</v>
      </c>
      <c r="O79" s="114" t="s">
        <v>12</v>
      </c>
      <c r="Q79" s="118" t="s">
        <v>12</v>
      </c>
      <c r="R79" s="114" t="s">
        <v>12</v>
      </c>
      <c r="T79" s="111" t="s">
        <v>12</v>
      </c>
      <c r="U79" s="116" t="s">
        <v>12</v>
      </c>
      <c r="V79" s="111" t="s">
        <v>12</v>
      </c>
      <c r="W79" s="116" t="s">
        <v>12</v>
      </c>
      <c r="Y79" s="108" t="s">
        <v>1674</v>
      </c>
      <c r="Z79" s="108" t="s">
        <v>8</v>
      </c>
      <c r="AA79" s="122">
        <v>46199</v>
      </c>
      <c r="AB79" s="108" t="s">
        <v>1693</v>
      </c>
      <c r="AC79" s="108" t="s">
        <v>1693</v>
      </c>
      <c r="AD79" s="108" t="s">
        <v>1693</v>
      </c>
      <c r="AE79" s="108" t="s">
        <v>1693</v>
      </c>
      <c r="AF79" s="108" t="s">
        <v>1693</v>
      </c>
      <c r="AG79" s="108" t="s">
        <v>1693</v>
      </c>
      <c r="AH79" s="108" t="s">
        <v>1693</v>
      </c>
      <c r="AI79" s="108" t="s">
        <v>1693</v>
      </c>
      <c r="AJ79" s="108" t="s">
        <v>1693</v>
      </c>
      <c r="AK79" s="108"/>
    </row>
    <row r="80" spans="1:37" ht="44.1" customHeight="1" x14ac:dyDescent="0.25">
      <c r="A80" s="110" t="s">
        <v>1766</v>
      </c>
      <c r="B80" s="108" t="s">
        <v>1414</v>
      </c>
      <c r="C80" s="108" t="s">
        <v>1768</v>
      </c>
      <c r="D80" s="207" t="s">
        <v>1759</v>
      </c>
      <c r="E80" s="208">
        <v>3.6971999999999996</v>
      </c>
      <c r="F80" s="220">
        <v>3330.9095118012024</v>
      </c>
      <c r="G80" s="108" t="s">
        <v>24</v>
      </c>
      <c r="H80" s="110" t="s">
        <v>42</v>
      </c>
      <c r="J80" s="111">
        <v>0.8</v>
      </c>
      <c r="K80" s="111" t="s">
        <v>215</v>
      </c>
      <c r="L80" s="116" t="s">
        <v>1762</v>
      </c>
      <c r="N80" s="118" t="s">
        <v>12</v>
      </c>
      <c r="O80" s="114" t="s">
        <v>12</v>
      </c>
      <c r="Q80" s="118" t="s">
        <v>12</v>
      </c>
      <c r="R80" s="114" t="s">
        <v>12</v>
      </c>
      <c r="T80" s="111" t="s">
        <v>12</v>
      </c>
      <c r="U80" s="116" t="s">
        <v>12</v>
      </c>
      <c r="V80" s="111" t="s">
        <v>12</v>
      </c>
      <c r="W80" s="116" t="s">
        <v>12</v>
      </c>
      <c r="Y80" s="108" t="s">
        <v>1674</v>
      </c>
      <c r="Z80" s="108" t="s">
        <v>8</v>
      </c>
      <c r="AA80" s="122">
        <v>46199</v>
      </c>
      <c r="AB80" s="108" t="s">
        <v>1693</v>
      </c>
      <c r="AC80" s="108" t="s">
        <v>1693</v>
      </c>
      <c r="AD80" s="108" t="s">
        <v>1693</v>
      </c>
      <c r="AE80" s="108" t="s">
        <v>1693</v>
      </c>
      <c r="AF80" s="108" t="s">
        <v>1693</v>
      </c>
      <c r="AG80" s="108" t="s">
        <v>1693</v>
      </c>
      <c r="AH80" s="108" t="s">
        <v>1693</v>
      </c>
      <c r="AI80" s="108" t="s">
        <v>1693</v>
      </c>
      <c r="AJ80" s="108" t="s">
        <v>1693</v>
      </c>
      <c r="AK80" s="108"/>
    </row>
    <row r="81" spans="1:37" ht="44.1" customHeight="1" x14ac:dyDescent="0.25">
      <c r="A81" s="110" t="s">
        <v>1766</v>
      </c>
      <c r="B81" s="108" t="s">
        <v>1463</v>
      </c>
      <c r="C81" s="108" t="s">
        <v>1768</v>
      </c>
      <c r="D81" s="207" t="s">
        <v>1464</v>
      </c>
      <c r="E81" s="208">
        <v>0.77905849999999999</v>
      </c>
      <c r="F81" s="203">
        <v>3516.7974475724823</v>
      </c>
      <c r="G81" s="108" t="s">
        <v>24</v>
      </c>
      <c r="H81" s="110" t="s">
        <v>45</v>
      </c>
      <c r="J81" s="111">
        <v>1.2</v>
      </c>
      <c r="K81" s="111" t="s">
        <v>1427</v>
      </c>
      <c r="L81" s="116" t="s">
        <v>1706</v>
      </c>
      <c r="N81" s="118" t="s">
        <v>12</v>
      </c>
      <c r="O81" s="114" t="s">
        <v>12</v>
      </c>
      <c r="Q81" s="118" t="s">
        <v>12</v>
      </c>
      <c r="R81" s="114" t="s">
        <v>12</v>
      </c>
      <c r="T81" s="111" t="s">
        <v>12</v>
      </c>
      <c r="U81" s="116" t="s">
        <v>12</v>
      </c>
      <c r="V81" s="111" t="s">
        <v>12</v>
      </c>
      <c r="W81" s="116" t="s">
        <v>12</v>
      </c>
      <c r="Y81" s="108" t="s">
        <v>1674</v>
      </c>
      <c r="Z81" s="108" t="s">
        <v>8</v>
      </c>
      <c r="AA81" s="122">
        <v>46199</v>
      </c>
      <c r="AB81" s="108" t="s">
        <v>1693</v>
      </c>
      <c r="AC81" s="108" t="s">
        <v>1693</v>
      </c>
      <c r="AD81" s="108" t="s">
        <v>1693</v>
      </c>
      <c r="AE81" s="108" t="s">
        <v>1693</v>
      </c>
      <c r="AF81" s="108" t="s">
        <v>1693</v>
      </c>
      <c r="AG81" s="108" t="s">
        <v>1693</v>
      </c>
      <c r="AH81" s="108" t="s">
        <v>1693</v>
      </c>
      <c r="AI81" s="108" t="s">
        <v>1693</v>
      </c>
      <c r="AJ81" s="108" t="s">
        <v>1693</v>
      </c>
      <c r="AK81" s="108" t="s">
        <v>1783</v>
      </c>
    </row>
    <row r="82" spans="1:37" ht="44.1" customHeight="1" x14ac:dyDescent="0.25">
      <c r="A82" s="110" t="s">
        <v>1766</v>
      </c>
      <c r="B82" s="108" t="s">
        <v>1450</v>
      </c>
      <c r="C82" s="108" t="s">
        <v>1768</v>
      </c>
      <c r="D82" s="207" t="s">
        <v>1451</v>
      </c>
      <c r="E82" s="208">
        <v>1.26</v>
      </c>
      <c r="F82" s="203">
        <v>3471.1709000692636</v>
      </c>
      <c r="G82" s="108" t="s">
        <v>24</v>
      </c>
      <c r="H82" s="110" t="s">
        <v>51</v>
      </c>
      <c r="J82" s="111">
        <v>0.8</v>
      </c>
      <c r="K82" s="111" t="s">
        <v>215</v>
      </c>
      <c r="L82" s="116" t="s">
        <v>1762</v>
      </c>
      <c r="N82" s="118" t="s">
        <v>12</v>
      </c>
      <c r="O82" s="114" t="s">
        <v>12</v>
      </c>
      <c r="Q82" s="118" t="s">
        <v>12</v>
      </c>
      <c r="R82" s="114" t="s">
        <v>12</v>
      </c>
      <c r="T82" s="111" t="s">
        <v>12</v>
      </c>
      <c r="U82" s="116" t="s">
        <v>12</v>
      </c>
      <c r="V82" s="111" t="s">
        <v>12</v>
      </c>
      <c r="W82" s="116" t="s">
        <v>12</v>
      </c>
      <c r="Y82" s="108" t="s">
        <v>1674</v>
      </c>
      <c r="Z82" s="108" t="s">
        <v>10</v>
      </c>
      <c r="AA82" s="122">
        <v>46199</v>
      </c>
      <c r="AB82" s="108" t="s">
        <v>1693</v>
      </c>
      <c r="AC82" s="108" t="s">
        <v>1693</v>
      </c>
      <c r="AD82" s="108" t="s">
        <v>1693</v>
      </c>
      <c r="AE82" s="108" t="s">
        <v>1693</v>
      </c>
      <c r="AF82" s="108" t="s">
        <v>1693</v>
      </c>
      <c r="AG82" s="108" t="s">
        <v>1693</v>
      </c>
      <c r="AH82" s="108" t="s">
        <v>1693</v>
      </c>
      <c r="AI82" s="108" t="s">
        <v>1693</v>
      </c>
      <c r="AJ82" s="108" t="s">
        <v>1693</v>
      </c>
      <c r="AK82" s="108" t="s">
        <v>1791</v>
      </c>
    </row>
    <row r="83" spans="1:37" ht="44.1" customHeight="1" x14ac:dyDescent="0.25">
      <c r="A83" s="110" t="s">
        <v>1766</v>
      </c>
      <c r="B83" s="108" t="s">
        <v>1436</v>
      </c>
      <c r="C83" s="108" t="s">
        <v>1768</v>
      </c>
      <c r="D83" s="207" t="s">
        <v>1437</v>
      </c>
      <c r="E83" s="208">
        <v>2.543625</v>
      </c>
      <c r="F83" s="220">
        <v>3305.7042804576236</v>
      </c>
      <c r="G83" s="108" t="s">
        <v>24</v>
      </c>
      <c r="H83" s="110" t="s">
        <v>42</v>
      </c>
      <c r="J83" s="111">
        <v>1.2</v>
      </c>
      <c r="K83" s="111" t="s">
        <v>215</v>
      </c>
      <c r="L83" s="116" t="s">
        <v>1762</v>
      </c>
      <c r="N83" s="118" t="s">
        <v>12</v>
      </c>
      <c r="O83" s="114" t="s">
        <v>12</v>
      </c>
      <c r="Q83" s="118" t="s">
        <v>12</v>
      </c>
      <c r="R83" s="114" t="s">
        <v>12</v>
      </c>
      <c r="T83" s="111" t="s">
        <v>12</v>
      </c>
      <c r="U83" s="116" t="s">
        <v>12</v>
      </c>
      <c r="V83" s="111" t="s">
        <v>12</v>
      </c>
      <c r="W83" s="116" t="s">
        <v>12</v>
      </c>
      <c r="Y83" s="108" t="s">
        <v>1674</v>
      </c>
      <c r="Z83" s="108" t="s">
        <v>8</v>
      </c>
      <c r="AA83" s="122">
        <v>46199</v>
      </c>
      <c r="AB83" s="108" t="s">
        <v>1693</v>
      </c>
      <c r="AC83" s="108" t="s">
        <v>1693</v>
      </c>
      <c r="AD83" s="108" t="s">
        <v>1693</v>
      </c>
      <c r="AE83" s="108" t="s">
        <v>1693</v>
      </c>
      <c r="AF83" s="108" t="s">
        <v>1693</v>
      </c>
      <c r="AG83" s="108" t="s">
        <v>1693</v>
      </c>
      <c r="AH83" s="108" t="s">
        <v>1693</v>
      </c>
      <c r="AI83" s="108" t="s">
        <v>1693</v>
      </c>
      <c r="AJ83" s="108" t="s">
        <v>1693</v>
      </c>
      <c r="AK83" s="108"/>
    </row>
    <row r="84" spans="1:37" ht="44.1" customHeight="1" x14ac:dyDescent="0.25">
      <c r="A84" s="110" t="s">
        <v>1766</v>
      </c>
      <c r="B84" s="108" t="s">
        <v>1442</v>
      </c>
      <c r="C84" s="108" t="s">
        <v>1768</v>
      </c>
      <c r="D84" s="207" t="s">
        <v>916</v>
      </c>
      <c r="E84" s="208">
        <v>2.1473969999999998</v>
      </c>
      <c r="F84" s="220">
        <v>2833.8699876542555</v>
      </c>
      <c r="G84" s="108" t="s">
        <v>24</v>
      </c>
      <c r="H84" s="110" t="s">
        <v>42</v>
      </c>
      <c r="J84" s="111">
        <v>1.2</v>
      </c>
      <c r="K84" s="111" t="s">
        <v>215</v>
      </c>
      <c r="L84" s="116" t="s">
        <v>1762</v>
      </c>
      <c r="N84" s="118" t="s">
        <v>12</v>
      </c>
      <c r="O84" s="114" t="s">
        <v>12</v>
      </c>
      <c r="Q84" s="118" t="s">
        <v>12</v>
      </c>
      <c r="R84" s="114" t="s">
        <v>12</v>
      </c>
      <c r="T84" s="111" t="s">
        <v>12</v>
      </c>
      <c r="U84" s="116" t="s">
        <v>12</v>
      </c>
      <c r="V84" s="111" t="s">
        <v>12</v>
      </c>
      <c r="W84" s="116" t="s">
        <v>12</v>
      </c>
      <c r="Y84" s="108" t="s">
        <v>1674</v>
      </c>
      <c r="Z84" s="108" t="s">
        <v>8</v>
      </c>
      <c r="AA84" s="122">
        <v>46199</v>
      </c>
      <c r="AB84" s="108" t="s">
        <v>1693</v>
      </c>
      <c r="AC84" s="108" t="s">
        <v>1693</v>
      </c>
      <c r="AD84" s="108" t="s">
        <v>1693</v>
      </c>
      <c r="AE84" s="108" t="s">
        <v>1693</v>
      </c>
      <c r="AF84" s="108" t="s">
        <v>1693</v>
      </c>
      <c r="AG84" s="108" t="s">
        <v>1693</v>
      </c>
      <c r="AH84" s="108" t="s">
        <v>1693</v>
      </c>
      <c r="AI84" s="108" t="s">
        <v>1693</v>
      </c>
      <c r="AJ84" s="108" t="s">
        <v>1693</v>
      </c>
      <c r="AK84" s="108"/>
    </row>
    <row r="85" spans="1:37" ht="44.1" customHeight="1" x14ac:dyDescent="0.25">
      <c r="A85" s="110" t="s">
        <v>1766</v>
      </c>
      <c r="B85" s="108" t="s">
        <v>1426</v>
      </c>
      <c r="C85" s="108" t="s">
        <v>1768</v>
      </c>
      <c r="D85" s="207" t="s">
        <v>1428</v>
      </c>
      <c r="E85" s="208">
        <v>3.29175</v>
      </c>
      <c r="F85" s="203">
        <v>2328.8325914285183</v>
      </c>
      <c r="G85" s="108" t="s">
        <v>24</v>
      </c>
      <c r="H85" s="110" t="s">
        <v>42</v>
      </c>
      <c r="J85" s="111">
        <v>1.8</v>
      </c>
      <c r="K85" s="111" t="s">
        <v>1427</v>
      </c>
      <c r="L85" s="116" t="s">
        <v>1706</v>
      </c>
      <c r="N85" s="118" t="s">
        <v>12</v>
      </c>
      <c r="O85" s="114" t="s">
        <v>12</v>
      </c>
      <c r="Q85" s="118" t="s">
        <v>12</v>
      </c>
      <c r="R85" s="114" t="s">
        <v>12</v>
      </c>
      <c r="T85" s="111" t="s">
        <v>12</v>
      </c>
      <c r="U85" s="116" t="s">
        <v>12</v>
      </c>
      <c r="V85" s="111" t="s">
        <v>12</v>
      </c>
      <c r="W85" s="116" t="s">
        <v>12</v>
      </c>
      <c r="Y85" s="108" t="s">
        <v>1674</v>
      </c>
      <c r="Z85" s="108" t="s">
        <v>8</v>
      </c>
      <c r="AA85" s="122">
        <v>46199</v>
      </c>
      <c r="AB85" s="122">
        <v>46245</v>
      </c>
      <c r="AC85" s="122">
        <v>46260</v>
      </c>
      <c r="AD85" s="122" t="s">
        <v>1684</v>
      </c>
      <c r="AE85" s="122">
        <v>46294</v>
      </c>
      <c r="AF85" s="122">
        <v>46294</v>
      </c>
      <c r="AG85" s="122">
        <v>46294</v>
      </c>
      <c r="AH85" s="122">
        <v>46311</v>
      </c>
      <c r="AI85" s="201">
        <v>46456</v>
      </c>
      <c r="AJ85" s="108" t="s">
        <v>1690</v>
      </c>
      <c r="AK85" s="108" t="s">
        <v>1765</v>
      </c>
    </row>
    <row r="86" spans="1:37" ht="44.1" customHeight="1" x14ac:dyDescent="0.25">
      <c r="A86" s="110" t="s">
        <v>1766</v>
      </c>
      <c r="B86" s="108" t="s">
        <v>1438</v>
      </c>
      <c r="C86" s="108" t="s">
        <v>1768</v>
      </c>
      <c r="D86" s="207" t="s">
        <v>1798</v>
      </c>
      <c r="E86" s="208">
        <v>2.5599999999999996</v>
      </c>
      <c r="F86" s="203">
        <v>1225.2361158324156</v>
      </c>
      <c r="G86" s="108" t="s">
        <v>24</v>
      </c>
      <c r="H86" s="110" t="s">
        <v>42</v>
      </c>
      <c r="J86" s="111">
        <v>2</v>
      </c>
      <c r="K86" s="111" t="s">
        <v>1366</v>
      </c>
      <c r="L86" s="116" t="s">
        <v>1764</v>
      </c>
      <c r="N86" s="118" t="s">
        <v>12</v>
      </c>
      <c r="O86" s="114" t="s">
        <v>12</v>
      </c>
      <c r="Q86" s="118" t="s">
        <v>12</v>
      </c>
      <c r="R86" s="114" t="s">
        <v>12</v>
      </c>
      <c r="T86" s="111" t="s">
        <v>12</v>
      </c>
      <c r="U86" s="116" t="s">
        <v>12</v>
      </c>
      <c r="V86" s="111" t="s">
        <v>12</v>
      </c>
      <c r="W86" s="116" t="s">
        <v>12</v>
      </c>
      <c r="Y86" s="108" t="s">
        <v>1674</v>
      </c>
      <c r="Z86" s="108" t="s">
        <v>8</v>
      </c>
      <c r="AA86" s="122">
        <v>46199</v>
      </c>
      <c r="AB86" s="122">
        <v>46245</v>
      </c>
      <c r="AC86" s="122">
        <v>46260</v>
      </c>
      <c r="AD86" s="122" t="s">
        <v>1684</v>
      </c>
      <c r="AE86" s="122">
        <v>46294</v>
      </c>
      <c r="AF86" s="122">
        <v>46294</v>
      </c>
      <c r="AG86" s="122">
        <v>46294</v>
      </c>
      <c r="AH86" s="122">
        <v>46311</v>
      </c>
      <c r="AI86" s="201">
        <v>46456</v>
      </c>
      <c r="AJ86" s="108" t="s">
        <v>1690</v>
      </c>
      <c r="AK86" s="108" t="s">
        <v>1765</v>
      </c>
    </row>
    <row r="87" spans="1:37" ht="44.1" customHeight="1" x14ac:dyDescent="0.25">
      <c r="A87" s="110" t="s">
        <v>1766</v>
      </c>
      <c r="B87" s="108" t="s">
        <v>1454</v>
      </c>
      <c r="C87" s="108" t="s">
        <v>1768</v>
      </c>
      <c r="D87" s="207" t="s">
        <v>1455</v>
      </c>
      <c r="E87" s="208">
        <v>1.2</v>
      </c>
      <c r="F87" s="203">
        <v>1802.5760172419969</v>
      </c>
      <c r="G87" s="108" t="s">
        <v>24</v>
      </c>
      <c r="H87" s="110" t="s">
        <v>1575</v>
      </c>
      <c r="J87" s="111">
        <v>1</v>
      </c>
      <c r="K87" s="111" t="s">
        <v>215</v>
      </c>
      <c r="L87" s="116" t="s">
        <v>1762</v>
      </c>
      <c r="N87" s="118" t="s">
        <v>12</v>
      </c>
      <c r="O87" s="114" t="s">
        <v>12</v>
      </c>
      <c r="Q87" s="118" t="s">
        <v>12</v>
      </c>
      <c r="R87" s="114" t="s">
        <v>12</v>
      </c>
      <c r="T87" s="111" t="s">
        <v>12</v>
      </c>
      <c r="U87" s="116" t="s">
        <v>12</v>
      </c>
      <c r="V87" s="111" t="s">
        <v>12</v>
      </c>
      <c r="W87" s="116" t="s">
        <v>12</v>
      </c>
      <c r="Y87" s="147">
        <v>46294</v>
      </c>
      <c r="Z87" s="108" t="s">
        <v>10</v>
      </c>
      <c r="AA87" s="110"/>
      <c r="AB87" s="108"/>
      <c r="AC87" s="108"/>
      <c r="AD87" s="108"/>
      <c r="AE87" s="108"/>
      <c r="AF87" s="108"/>
      <c r="AG87" s="108"/>
      <c r="AH87" s="108"/>
      <c r="AI87" s="108"/>
      <c r="AJ87" s="108" t="s">
        <v>1747</v>
      </c>
      <c r="AK87" s="108"/>
    </row>
    <row r="88" spans="1:37" ht="44.1" customHeight="1" x14ac:dyDescent="0.25">
      <c r="A88" s="110" t="s">
        <v>1766</v>
      </c>
      <c r="B88" s="108" t="s">
        <v>1461</v>
      </c>
      <c r="C88" s="108" t="s">
        <v>1768</v>
      </c>
      <c r="D88" s="207" t="s">
        <v>1799</v>
      </c>
      <c r="E88" s="208">
        <v>0.84000000000000008</v>
      </c>
      <c r="F88" s="203">
        <v>1532.677728582004</v>
      </c>
      <c r="G88" s="108" t="s">
        <v>24</v>
      </c>
      <c r="H88" s="110" t="s">
        <v>51</v>
      </c>
      <c r="J88" s="111">
        <v>1.5</v>
      </c>
      <c r="K88" s="111" t="s">
        <v>1427</v>
      </c>
      <c r="L88" s="116" t="s">
        <v>1706</v>
      </c>
      <c r="N88" s="118" t="s">
        <v>12</v>
      </c>
      <c r="O88" s="114" t="s">
        <v>12</v>
      </c>
      <c r="Q88" s="118" t="s">
        <v>12</v>
      </c>
      <c r="R88" s="114" t="s">
        <v>12</v>
      </c>
      <c r="T88" s="111" t="s">
        <v>12</v>
      </c>
      <c r="U88" s="116" t="s">
        <v>12</v>
      </c>
      <c r="V88" s="111" t="s">
        <v>12</v>
      </c>
      <c r="W88" s="116" t="s">
        <v>12</v>
      </c>
      <c r="Y88" s="108" t="s">
        <v>1674</v>
      </c>
      <c r="Z88" s="108" t="s">
        <v>10</v>
      </c>
      <c r="AA88" s="122">
        <v>46199</v>
      </c>
      <c r="AB88" s="108" t="s">
        <v>1693</v>
      </c>
      <c r="AC88" s="108" t="s">
        <v>1693</v>
      </c>
      <c r="AD88" s="108" t="s">
        <v>1693</v>
      </c>
      <c r="AE88" s="108" t="s">
        <v>1693</v>
      </c>
      <c r="AF88" s="108" t="s">
        <v>1693</v>
      </c>
      <c r="AG88" s="108" t="s">
        <v>1693</v>
      </c>
      <c r="AH88" s="108" t="s">
        <v>1693</v>
      </c>
      <c r="AI88" s="108" t="s">
        <v>1693</v>
      </c>
      <c r="AJ88" s="108" t="s">
        <v>1693</v>
      </c>
      <c r="AK88" s="108" t="s">
        <v>1791</v>
      </c>
    </row>
    <row r="89" spans="1:37" ht="44.1" customHeight="1" x14ac:dyDescent="0.25">
      <c r="A89" s="110" t="s">
        <v>1766</v>
      </c>
      <c r="B89" s="108" t="s">
        <v>1482</v>
      </c>
      <c r="C89" s="108" t="s">
        <v>1768</v>
      </c>
      <c r="D89" s="207" t="s">
        <v>1800</v>
      </c>
      <c r="E89" s="208">
        <v>0.02</v>
      </c>
      <c r="F89" s="203">
        <v>1307.9087699461895</v>
      </c>
      <c r="G89" s="108" t="s">
        <v>24</v>
      </c>
      <c r="H89" s="110" t="s">
        <v>1575</v>
      </c>
      <c r="J89" s="111">
        <v>1</v>
      </c>
      <c r="K89" s="111" t="s">
        <v>215</v>
      </c>
      <c r="L89" s="116" t="s">
        <v>1762</v>
      </c>
      <c r="N89" s="118" t="s">
        <v>12</v>
      </c>
      <c r="O89" s="114" t="s">
        <v>12</v>
      </c>
      <c r="Q89" s="118" t="s">
        <v>12</v>
      </c>
      <c r="R89" s="114" t="s">
        <v>12</v>
      </c>
      <c r="T89" s="111" t="s">
        <v>12</v>
      </c>
      <c r="U89" s="116" t="s">
        <v>12</v>
      </c>
      <c r="V89" s="111" t="s">
        <v>12</v>
      </c>
      <c r="W89" s="116" t="s">
        <v>12</v>
      </c>
      <c r="Y89" s="147">
        <v>46294</v>
      </c>
      <c r="Z89" s="108" t="s">
        <v>10</v>
      </c>
      <c r="AA89" s="110"/>
      <c r="AB89" s="108"/>
      <c r="AC89" s="108"/>
      <c r="AD89" s="108"/>
      <c r="AE89" s="108"/>
      <c r="AF89" s="108"/>
      <c r="AG89" s="108"/>
      <c r="AH89" s="108"/>
      <c r="AI89" s="108"/>
      <c r="AJ89" s="108" t="s">
        <v>1747</v>
      </c>
      <c r="AK89" s="108"/>
    </row>
    <row r="90" spans="1:37" ht="44.1" customHeight="1" x14ac:dyDescent="0.25">
      <c r="A90" s="110" t="s">
        <v>1766</v>
      </c>
      <c r="B90" s="108" t="s">
        <v>1465</v>
      </c>
      <c r="C90" s="108" t="s">
        <v>1768</v>
      </c>
      <c r="D90" s="207" t="s">
        <v>1466</v>
      </c>
      <c r="E90" s="208">
        <v>0.60875999999999997</v>
      </c>
      <c r="F90" s="220">
        <v>664.60043776376756</v>
      </c>
      <c r="G90" s="108" t="s">
        <v>24</v>
      </c>
      <c r="H90" s="110" t="s">
        <v>42</v>
      </c>
      <c r="J90" s="111">
        <v>2</v>
      </c>
      <c r="K90" s="111" t="s">
        <v>1366</v>
      </c>
      <c r="L90" s="116" t="s">
        <v>1764</v>
      </c>
      <c r="N90" s="118" t="s">
        <v>12</v>
      </c>
      <c r="O90" s="114" t="s">
        <v>12</v>
      </c>
      <c r="Q90" s="118" t="s">
        <v>12</v>
      </c>
      <c r="R90" s="114" t="s">
        <v>12</v>
      </c>
      <c r="T90" s="111" t="s">
        <v>12</v>
      </c>
      <c r="U90" s="116" t="s">
        <v>12</v>
      </c>
      <c r="V90" s="111" t="s">
        <v>12</v>
      </c>
      <c r="W90" s="116" t="s">
        <v>12</v>
      </c>
      <c r="Y90" s="108" t="s">
        <v>1674</v>
      </c>
      <c r="Z90" s="108" t="s">
        <v>8</v>
      </c>
      <c r="AA90" s="122">
        <v>46199</v>
      </c>
      <c r="AB90" s="108" t="s">
        <v>1693</v>
      </c>
      <c r="AC90" s="108" t="s">
        <v>1693</v>
      </c>
      <c r="AD90" s="108" t="s">
        <v>1693</v>
      </c>
      <c r="AE90" s="108" t="s">
        <v>1693</v>
      </c>
      <c r="AF90" s="108" t="s">
        <v>1693</v>
      </c>
      <c r="AG90" s="108" t="s">
        <v>1693</v>
      </c>
      <c r="AH90" s="108" t="s">
        <v>1693</v>
      </c>
      <c r="AI90" s="108" t="s">
        <v>1693</v>
      </c>
      <c r="AJ90" s="108" t="s">
        <v>1693</v>
      </c>
      <c r="AK90" s="108"/>
    </row>
    <row r="91" spans="1:37" ht="44.1" customHeight="1" x14ac:dyDescent="0.25">
      <c r="A91" s="110" t="s">
        <v>1766</v>
      </c>
      <c r="B91" s="108" t="s">
        <v>1472</v>
      </c>
      <c r="C91" s="108" t="s">
        <v>1768</v>
      </c>
      <c r="D91" s="207" t="s">
        <v>1801</v>
      </c>
      <c r="E91" s="208">
        <v>0.40049999999999997</v>
      </c>
      <c r="F91" s="220">
        <v>465.26020107839747</v>
      </c>
      <c r="G91" s="108" t="s">
        <v>24</v>
      </c>
      <c r="H91" s="110" t="s">
        <v>42</v>
      </c>
      <c r="J91" s="111">
        <v>1</v>
      </c>
      <c r="K91" s="111" t="s">
        <v>215</v>
      </c>
      <c r="L91" s="116" t="s">
        <v>1762</v>
      </c>
      <c r="N91" s="118" t="s">
        <v>12</v>
      </c>
      <c r="O91" s="114" t="s">
        <v>12</v>
      </c>
      <c r="Q91" s="118" t="s">
        <v>12</v>
      </c>
      <c r="R91" s="114" t="s">
        <v>12</v>
      </c>
      <c r="T91" s="111" t="s">
        <v>12</v>
      </c>
      <c r="U91" s="116" t="s">
        <v>12</v>
      </c>
      <c r="V91" s="111" t="s">
        <v>12</v>
      </c>
      <c r="W91" s="116" t="s">
        <v>12</v>
      </c>
      <c r="Y91" s="108" t="s">
        <v>1674</v>
      </c>
      <c r="Z91" s="108" t="s">
        <v>8</v>
      </c>
      <c r="AA91" s="122">
        <v>46199</v>
      </c>
      <c r="AB91" s="108" t="s">
        <v>1693</v>
      </c>
      <c r="AC91" s="108" t="s">
        <v>1693</v>
      </c>
      <c r="AD91" s="108" t="s">
        <v>1693</v>
      </c>
      <c r="AE91" s="108" t="s">
        <v>1693</v>
      </c>
      <c r="AF91" s="108" t="s">
        <v>1693</v>
      </c>
      <c r="AG91" s="108" t="s">
        <v>1693</v>
      </c>
      <c r="AH91" s="108" t="s">
        <v>1693</v>
      </c>
      <c r="AI91" s="108" t="s">
        <v>1693</v>
      </c>
      <c r="AJ91" s="108" t="s">
        <v>1693</v>
      </c>
      <c r="AK91" s="108"/>
    </row>
    <row r="92" spans="1:37" ht="44.1" customHeight="1" x14ac:dyDescent="0.25">
      <c r="A92" s="110" t="s">
        <v>1742</v>
      </c>
      <c r="B92" s="108" t="s">
        <v>1802</v>
      </c>
      <c r="C92" s="108" t="s">
        <v>1743</v>
      </c>
      <c r="D92" s="207" t="s">
        <v>1773</v>
      </c>
      <c r="E92" s="208">
        <v>15.71</v>
      </c>
      <c r="F92" s="203">
        <v>573.93427343616383</v>
      </c>
      <c r="G92" s="108" t="s">
        <v>24</v>
      </c>
      <c r="H92" s="110" t="s">
        <v>53</v>
      </c>
      <c r="J92" s="111">
        <v>1.5</v>
      </c>
      <c r="K92" s="111" t="s">
        <v>215</v>
      </c>
      <c r="L92" s="116" t="s">
        <v>1762</v>
      </c>
      <c r="N92" s="118" t="s">
        <v>12</v>
      </c>
      <c r="O92" s="114" t="s">
        <v>12</v>
      </c>
      <c r="Q92" s="118" t="s">
        <v>12</v>
      </c>
      <c r="R92" s="114" t="s">
        <v>12</v>
      </c>
      <c r="T92" s="111" t="s">
        <v>12</v>
      </c>
      <c r="U92" s="116" t="s">
        <v>12</v>
      </c>
      <c r="V92" s="111" t="s">
        <v>12</v>
      </c>
      <c r="W92" s="116" t="s">
        <v>12</v>
      </c>
      <c r="Y92" s="108" t="s">
        <v>1674</v>
      </c>
      <c r="Z92" s="108" t="s">
        <v>10</v>
      </c>
      <c r="AA92" s="122">
        <v>46199</v>
      </c>
      <c r="AB92" s="108" t="s">
        <v>1693</v>
      </c>
      <c r="AC92" s="108" t="s">
        <v>1693</v>
      </c>
      <c r="AD92" s="108" t="s">
        <v>1693</v>
      </c>
      <c r="AE92" s="108" t="s">
        <v>1693</v>
      </c>
      <c r="AF92" s="108" t="s">
        <v>1693</v>
      </c>
      <c r="AG92" s="108" t="s">
        <v>1693</v>
      </c>
      <c r="AH92" s="108" t="s">
        <v>1693</v>
      </c>
      <c r="AI92" s="108" t="s">
        <v>1693</v>
      </c>
      <c r="AJ92" s="108" t="s">
        <v>1693</v>
      </c>
      <c r="AK92" s="108" t="s">
        <v>1803</v>
      </c>
    </row>
    <row r="93" spans="1:37" ht="44.1" customHeight="1" x14ac:dyDescent="0.25">
      <c r="A93" s="110" t="s">
        <v>1766</v>
      </c>
      <c r="B93" s="108" t="s">
        <v>1477</v>
      </c>
      <c r="C93" s="108" t="s">
        <v>1768</v>
      </c>
      <c r="D93" s="207" t="s">
        <v>1478</v>
      </c>
      <c r="E93" s="208">
        <v>0.13750000000000001</v>
      </c>
      <c r="F93" s="220">
        <v>317.9601744250665</v>
      </c>
      <c r="G93" s="108" t="s">
        <v>24</v>
      </c>
      <c r="H93" s="110" t="s">
        <v>42</v>
      </c>
      <c r="J93" s="111">
        <v>1.6</v>
      </c>
      <c r="K93" s="111" t="s">
        <v>215</v>
      </c>
      <c r="L93" s="116" t="s">
        <v>1762</v>
      </c>
      <c r="N93" s="118" t="s">
        <v>12</v>
      </c>
      <c r="O93" s="114" t="s">
        <v>12</v>
      </c>
      <c r="Q93" s="118" t="s">
        <v>12</v>
      </c>
      <c r="R93" s="114" t="s">
        <v>12</v>
      </c>
      <c r="T93" s="111" t="s">
        <v>12</v>
      </c>
      <c r="U93" s="116" t="s">
        <v>12</v>
      </c>
      <c r="V93" s="111" t="s">
        <v>12</v>
      </c>
      <c r="W93" s="116" t="s">
        <v>12</v>
      </c>
      <c r="Y93" s="108" t="s">
        <v>1674</v>
      </c>
      <c r="Z93" s="108" t="s">
        <v>8</v>
      </c>
      <c r="AA93" s="122">
        <v>46199</v>
      </c>
      <c r="AB93" s="108" t="s">
        <v>1693</v>
      </c>
      <c r="AC93" s="108" t="s">
        <v>1693</v>
      </c>
      <c r="AD93" s="108" t="s">
        <v>1693</v>
      </c>
      <c r="AE93" s="108" t="s">
        <v>1693</v>
      </c>
      <c r="AF93" s="108" t="s">
        <v>1693</v>
      </c>
      <c r="AG93" s="108" t="s">
        <v>1693</v>
      </c>
      <c r="AH93" s="108" t="s">
        <v>1693</v>
      </c>
      <c r="AI93" s="108" t="s">
        <v>1693</v>
      </c>
      <c r="AJ93" s="108" t="s">
        <v>1693</v>
      </c>
      <c r="AK93" s="108"/>
    </row>
    <row r="94" spans="1:37" ht="46.35" customHeight="1" x14ac:dyDescent="0.25">
      <c r="A94" s="110" t="s">
        <v>1766</v>
      </c>
      <c r="B94" s="108" t="s">
        <v>1479</v>
      </c>
      <c r="C94" s="108" t="s">
        <v>1768</v>
      </c>
      <c r="D94" s="207" t="s">
        <v>1359</v>
      </c>
      <c r="E94" s="208">
        <v>0.14774400000000001</v>
      </c>
      <c r="F94" s="220">
        <v>281.14016879970018</v>
      </c>
      <c r="G94" s="108" t="s">
        <v>24</v>
      </c>
      <c r="H94" s="110" t="s">
        <v>42</v>
      </c>
      <c r="J94" s="111">
        <v>0.7</v>
      </c>
      <c r="K94" s="111" t="s">
        <v>215</v>
      </c>
      <c r="L94" s="116" t="s">
        <v>1762</v>
      </c>
      <c r="N94" s="118" t="s">
        <v>12</v>
      </c>
      <c r="O94" s="114" t="s">
        <v>12</v>
      </c>
      <c r="Q94" s="118" t="s">
        <v>12</v>
      </c>
      <c r="R94" s="114" t="s">
        <v>12</v>
      </c>
      <c r="T94" s="111" t="s">
        <v>12</v>
      </c>
      <c r="U94" s="116" t="s">
        <v>12</v>
      </c>
      <c r="V94" s="111" t="s">
        <v>12</v>
      </c>
      <c r="W94" s="116" t="s">
        <v>12</v>
      </c>
      <c r="Y94" s="108" t="s">
        <v>1674</v>
      </c>
      <c r="Z94" s="108" t="s">
        <v>8</v>
      </c>
      <c r="AA94" s="122">
        <v>46199</v>
      </c>
      <c r="AB94" s="108" t="s">
        <v>1693</v>
      </c>
      <c r="AC94" s="108" t="s">
        <v>1693</v>
      </c>
      <c r="AD94" s="108" t="s">
        <v>1693</v>
      </c>
      <c r="AE94" s="108" t="s">
        <v>1693</v>
      </c>
      <c r="AF94" s="108" t="s">
        <v>1693</v>
      </c>
      <c r="AG94" s="108" t="s">
        <v>1693</v>
      </c>
      <c r="AH94" s="108" t="s">
        <v>1693</v>
      </c>
      <c r="AI94" s="108" t="s">
        <v>1693</v>
      </c>
      <c r="AJ94" s="108" t="s">
        <v>1693</v>
      </c>
      <c r="AK94" s="108"/>
    </row>
    <row r="95" spans="1:37" ht="44.1" customHeight="1" x14ac:dyDescent="0.25">
      <c r="A95" s="189" t="s">
        <v>1804</v>
      </c>
      <c r="B95" s="108" t="s">
        <v>46</v>
      </c>
      <c r="C95" s="108"/>
      <c r="D95" s="207" t="s">
        <v>221</v>
      </c>
      <c r="E95" s="208">
        <v>36.24</v>
      </c>
      <c r="F95" s="203">
        <v>128107.04</v>
      </c>
      <c r="G95" s="108" t="s">
        <v>34</v>
      </c>
      <c r="H95" s="110" t="s">
        <v>42</v>
      </c>
      <c r="J95" s="111">
        <v>1.8</v>
      </c>
      <c r="K95" s="111" t="s">
        <v>1805</v>
      </c>
      <c r="L95" s="116" t="s">
        <v>12</v>
      </c>
      <c r="N95" s="118" t="s">
        <v>12</v>
      </c>
      <c r="O95" s="114" t="s">
        <v>12</v>
      </c>
      <c r="Q95" s="108" t="s">
        <v>12</v>
      </c>
      <c r="R95" s="115" t="s">
        <v>12</v>
      </c>
      <c r="T95" s="140">
        <v>840</v>
      </c>
      <c r="U95" s="141">
        <v>820</v>
      </c>
      <c r="V95" s="111" t="s">
        <v>1806</v>
      </c>
      <c r="W95" s="116" t="s">
        <v>12</v>
      </c>
      <c r="Y95" s="122">
        <v>46078</v>
      </c>
      <c r="Z95" s="108" t="s">
        <v>8</v>
      </c>
      <c r="AA95" s="122">
        <v>46093</v>
      </c>
      <c r="AB95" s="122">
        <v>46237</v>
      </c>
      <c r="AC95" s="122">
        <v>46204</v>
      </c>
      <c r="AD95" s="122" t="s">
        <v>1684</v>
      </c>
      <c r="AE95" s="122">
        <v>46219</v>
      </c>
      <c r="AF95" s="122">
        <v>46219</v>
      </c>
      <c r="AG95" s="122">
        <v>46269</v>
      </c>
      <c r="AH95" s="122">
        <v>46279</v>
      </c>
      <c r="AI95" s="108" t="s">
        <v>1750</v>
      </c>
      <c r="AJ95" s="108" t="s">
        <v>1690</v>
      </c>
      <c r="AK95" s="108"/>
    </row>
    <row r="96" spans="1:37" ht="44.1" customHeight="1" x14ac:dyDescent="0.25">
      <c r="A96" s="110" t="s">
        <v>1686</v>
      </c>
      <c r="B96" s="108" t="s">
        <v>1308</v>
      </c>
      <c r="C96" s="108"/>
      <c r="D96" s="110" t="s">
        <v>1807</v>
      </c>
      <c r="E96" s="108">
        <v>59.36</v>
      </c>
      <c r="F96" s="203">
        <v>0</v>
      </c>
      <c r="G96" s="108" t="s">
        <v>24</v>
      </c>
      <c r="H96" s="110" t="s">
        <v>45</v>
      </c>
      <c r="J96" s="111" t="s">
        <v>12</v>
      </c>
      <c r="K96" s="111" t="s">
        <v>12</v>
      </c>
      <c r="L96" s="116" t="s">
        <v>12</v>
      </c>
      <c r="N96" s="118" t="s">
        <v>12</v>
      </c>
      <c r="O96" s="114" t="s">
        <v>12</v>
      </c>
      <c r="P96" s="50"/>
      <c r="Q96" s="108" t="s">
        <v>12</v>
      </c>
      <c r="R96" s="115" t="s">
        <v>12</v>
      </c>
      <c r="S96" s="50"/>
      <c r="T96" s="111" t="s">
        <v>12</v>
      </c>
      <c r="U96" s="116" t="s">
        <v>12</v>
      </c>
      <c r="V96" s="125" t="s">
        <v>12</v>
      </c>
      <c r="W96" s="116" t="s">
        <v>12</v>
      </c>
      <c r="Y96" s="108" t="s">
        <v>1674</v>
      </c>
      <c r="Z96" s="108" t="s">
        <v>8</v>
      </c>
      <c r="AA96" s="108" t="s">
        <v>12</v>
      </c>
      <c r="AB96" s="108" t="s">
        <v>12</v>
      </c>
      <c r="AC96" s="108" t="s">
        <v>12</v>
      </c>
      <c r="AD96" s="108" t="s">
        <v>1693</v>
      </c>
      <c r="AE96" s="108" t="s">
        <v>12</v>
      </c>
      <c r="AF96" s="108" t="s">
        <v>12</v>
      </c>
      <c r="AG96" s="108" t="s">
        <v>12</v>
      </c>
      <c r="AH96" s="108" t="s">
        <v>12</v>
      </c>
      <c r="AI96" s="108" t="s">
        <v>12</v>
      </c>
      <c r="AJ96" s="108" t="s">
        <v>1693</v>
      </c>
      <c r="AK96" s="108" t="s">
        <v>1808</v>
      </c>
    </row>
    <row r="97" spans="1:37" ht="44.1" customHeight="1" x14ac:dyDescent="0.25">
      <c r="A97" s="110" t="s">
        <v>1686</v>
      </c>
      <c r="B97" s="110" t="s">
        <v>1809</v>
      </c>
      <c r="C97" s="110"/>
      <c r="D97" s="207" t="s">
        <v>1810</v>
      </c>
      <c r="E97" s="108">
        <v>43.23</v>
      </c>
      <c r="F97" s="203">
        <v>0</v>
      </c>
      <c r="G97" s="108" t="s">
        <v>24</v>
      </c>
      <c r="H97" s="110" t="s">
        <v>1811</v>
      </c>
      <c r="J97" s="111" t="s">
        <v>12</v>
      </c>
      <c r="K97" s="111" t="s">
        <v>12</v>
      </c>
      <c r="L97" s="116" t="s">
        <v>12</v>
      </c>
      <c r="N97" s="118" t="s">
        <v>12</v>
      </c>
      <c r="O97" s="114" t="s">
        <v>12</v>
      </c>
      <c r="P97" s="50"/>
      <c r="Q97" s="108" t="s">
        <v>12</v>
      </c>
      <c r="R97" s="115" t="s">
        <v>12</v>
      </c>
      <c r="S97" s="50"/>
      <c r="T97" s="111" t="s">
        <v>12</v>
      </c>
      <c r="U97" s="116" t="s">
        <v>12</v>
      </c>
      <c r="V97" s="111" t="s">
        <v>12</v>
      </c>
      <c r="W97" s="116" t="s">
        <v>12</v>
      </c>
      <c r="Y97" s="108" t="s">
        <v>1674</v>
      </c>
      <c r="Z97" s="108" t="s">
        <v>8</v>
      </c>
      <c r="AA97" s="108" t="s">
        <v>12</v>
      </c>
      <c r="AB97" s="108" t="s">
        <v>12</v>
      </c>
      <c r="AC97" s="108" t="s">
        <v>12</v>
      </c>
      <c r="AD97" s="108" t="s">
        <v>1693</v>
      </c>
      <c r="AE97" s="108" t="s">
        <v>12</v>
      </c>
      <c r="AF97" s="108" t="s">
        <v>12</v>
      </c>
      <c r="AG97" s="108" t="s">
        <v>12</v>
      </c>
      <c r="AH97" s="108" t="s">
        <v>12</v>
      </c>
      <c r="AI97" s="108" t="s">
        <v>12</v>
      </c>
      <c r="AJ97" s="108" t="s">
        <v>1693</v>
      </c>
      <c r="AK97" s="108" t="s">
        <v>1812</v>
      </c>
    </row>
    <row r="98" spans="1:37" ht="44.1" customHeight="1" x14ac:dyDescent="0.25">
      <c r="A98" s="108"/>
      <c r="B98" s="108" t="s">
        <v>311</v>
      </c>
      <c r="C98" s="108"/>
      <c r="D98" s="207" t="s">
        <v>1813</v>
      </c>
      <c r="E98" s="207">
        <v>18.899999999999999</v>
      </c>
      <c r="F98" s="220"/>
      <c r="G98" s="207" t="s">
        <v>37</v>
      </c>
      <c r="H98" s="110" t="s">
        <v>42</v>
      </c>
      <c r="J98" s="111" t="s">
        <v>12</v>
      </c>
      <c r="K98" s="111" t="s">
        <v>12</v>
      </c>
      <c r="L98" s="116" t="s">
        <v>12</v>
      </c>
      <c r="N98" s="118" t="s">
        <v>12</v>
      </c>
      <c r="O98" s="114" t="s">
        <v>12</v>
      </c>
      <c r="Q98" s="108" t="s">
        <v>12</v>
      </c>
      <c r="R98" s="115" t="s">
        <v>12</v>
      </c>
      <c r="T98" s="111">
        <v>500</v>
      </c>
      <c r="U98" s="116">
        <v>470</v>
      </c>
      <c r="V98" s="111">
        <v>500</v>
      </c>
      <c r="W98" s="116">
        <v>475</v>
      </c>
      <c r="Y98" s="108" t="s">
        <v>1674</v>
      </c>
      <c r="Z98" s="108" t="s">
        <v>8</v>
      </c>
      <c r="AA98" s="122">
        <v>46199</v>
      </c>
      <c r="AB98" s="122">
        <v>46237</v>
      </c>
      <c r="AC98" s="122">
        <v>46237</v>
      </c>
      <c r="AD98" s="108" t="s">
        <v>1679</v>
      </c>
      <c r="AE98" s="108" t="s">
        <v>1710</v>
      </c>
      <c r="AF98" s="108"/>
      <c r="AG98" s="108"/>
      <c r="AH98" s="108"/>
      <c r="AI98" s="108"/>
      <c r="AJ98" s="108" t="s">
        <v>1814</v>
      </c>
      <c r="AK98" s="108"/>
    </row>
    <row r="99" spans="1:37" ht="44.1" customHeight="1" x14ac:dyDescent="0.25">
      <c r="A99" s="108"/>
      <c r="B99" s="108" t="s">
        <v>386</v>
      </c>
      <c r="C99" s="108"/>
      <c r="D99" s="207" t="s">
        <v>1815</v>
      </c>
      <c r="E99" s="207">
        <v>11.18</v>
      </c>
      <c r="F99" s="220"/>
      <c r="G99" s="207" t="s">
        <v>37</v>
      </c>
      <c r="H99" s="110" t="s">
        <v>42</v>
      </c>
      <c r="J99" s="111" t="s">
        <v>12</v>
      </c>
      <c r="K99" s="111" t="s">
        <v>12</v>
      </c>
      <c r="L99" s="116" t="s">
        <v>12</v>
      </c>
      <c r="N99" s="118" t="s">
        <v>12</v>
      </c>
      <c r="O99" s="114" t="s">
        <v>12</v>
      </c>
      <c r="Q99" s="108" t="s">
        <v>12</v>
      </c>
      <c r="R99" s="115" t="s">
        <v>12</v>
      </c>
      <c r="T99" s="111">
        <v>325</v>
      </c>
      <c r="U99" s="116">
        <v>308</v>
      </c>
      <c r="V99" s="111">
        <v>720</v>
      </c>
      <c r="W99" s="116">
        <v>688</v>
      </c>
      <c r="Y99" s="108" t="s">
        <v>1674</v>
      </c>
      <c r="Z99" s="108" t="s">
        <v>8</v>
      </c>
      <c r="AA99" s="122">
        <v>46199</v>
      </c>
      <c r="AB99" s="122">
        <v>46237</v>
      </c>
      <c r="AC99" s="122">
        <v>46237</v>
      </c>
      <c r="AD99" s="108" t="s">
        <v>1679</v>
      </c>
      <c r="AE99" s="108" t="s">
        <v>1710</v>
      </c>
      <c r="AF99" s="108"/>
      <c r="AG99" s="108"/>
      <c r="AH99" s="108"/>
      <c r="AI99" s="108"/>
      <c r="AJ99" s="108" t="s">
        <v>1814</v>
      </c>
      <c r="AK99" s="108"/>
    </row>
    <row r="100" spans="1:37" ht="44.1" customHeight="1" x14ac:dyDescent="0.25">
      <c r="A100" s="108"/>
      <c r="B100" s="108" t="s">
        <v>404</v>
      </c>
      <c r="C100" s="108"/>
      <c r="D100" s="207" t="s">
        <v>1816</v>
      </c>
      <c r="E100" s="207">
        <v>8</v>
      </c>
      <c r="F100" s="220"/>
      <c r="G100" s="207" t="s">
        <v>37</v>
      </c>
      <c r="H100" s="110" t="s">
        <v>42</v>
      </c>
      <c r="J100" s="111" t="s">
        <v>12</v>
      </c>
      <c r="K100" s="111" t="s">
        <v>12</v>
      </c>
      <c r="L100" s="116" t="s">
        <v>12</v>
      </c>
      <c r="N100" s="118" t="s">
        <v>12</v>
      </c>
      <c r="O100" s="114" t="s">
        <v>12</v>
      </c>
      <c r="Q100" s="108" t="s">
        <v>12</v>
      </c>
      <c r="R100" s="115" t="s">
        <v>12</v>
      </c>
      <c r="T100" s="111">
        <v>300</v>
      </c>
      <c r="U100" s="116">
        <v>285</v>
      </c>
      <c r="V100" s="111">
        <v>470</v>
      </c>
      <c r="W100" s="116">
        <v>450</v>
      </c>
      <c r="Y100" s="108" t="s">
        <v>1674</v>
      </c>
      <c r="Z100" s="108" t="s">
        <v>8</v>
      </c>
      <c r="AA100" s="122">
        <v>46199</v>
      </c>
      <c r="AB100" s="122">
        <v>46237</v>
      </c>
      <c r="AC100" s="122">
        <v>46237</v>
      </c>
      <c r="AD100" s="108" t="s">
        <v>1679</v>
      </c>
      <c r="AE100" s="108" t="s">
        <v>1710</v>
      </c>
      <c r="AF100" s="108"/>
      <c r="AG100" s="108"/>
      <c r="AH100" s="108"/>
      <c r="AI100" s="108"/>
      <c r="AJ100" s="108" t="s">
        <v>1814</v>
      </c>
      <c r="AK100" s="108"/>
    </row>
    <row r="101" spans="1:37" ht="44.1" customHeight="1" x14ac:dyDescent="0.25">
      <c r="A101" s="189" t="s">
        <v>1817</v>
      </c>
      <c r="B101" s="108" t="s">
        <v>1818</v>
      </c>
      <c r="C101" s="108"/>
      <c r="D101" s="207" t="s">
        <v>1528</v>
      </c>
      <c r="E101" s="108">
        <v>6.88</v>
      </c>
      <c r="F101" s="203">
        <v>29532.29</v>
      </c>
      <c r="G101" s="108" t="s">
        <v>34</v>
      </c>
      <c r="H101" s="110" t="s">
        <v>53</v>
      </c>
      <c r="J101" s="111">
        <v>6</v>
      </c>
      <c r="K101" s="111" t="s">
        <v>12</v>
      </c>
      <c r="L101" s="116" t="s">
        <v>12</v>
      </c>
      <c r="N101" s="120" t="s">
        <v>12</v>
      </c>
      <c r="O101" s="114" t="s">
        <v>12</v>
      </c>
      <c r="Q101" s="108" t="s">
        <v>12</v>
      </c>
      <c r="R101" s="115" t="s">
        <v>12</v>
      </c>
      <c r="T101" s="111">
        <v>1050</v>
      </c>
      <c r="U101" s="116" t="s">
        <v>12</v>
      </c>
      <c r="V101" s="111">
        <v>1540</v>
      </c>
      <c r="W101" s="116">
        <v>2690</v>
      </c>
      <c r="Y101" s="108" t="s">
        <v>8</v>
      </c>
      <c r="Z101" s="108" t="s">
        <v>12</v>
      </c>
      <c r="AA101" s="108" t="s">
        <v>12</v>
      </c>
      <c r="AB101" s="108" t="s">
        <v>12</v>
      </c>
      <c r="AC101" s="108" t="s">
        <v>12</v>
      </c>
      <c r="AD101" s="122" t="s">
        <v>1684</v>
      </c>
      <c r="AE101" s="108" t="s">
        <v>1710</v>
      </c>
      <c r="AF101" s="108" t="s">
        <v>12</v>
      </c>
      <c r="AG101" s="108" t="s">
        <v>12</v>
      </c>
      <c r="AH101" s="108" t="s">
        <v>12</v>
      </c>
      <c r="AI101" s="108" t="s">
        <v>1750</v>
      </c>
      <c r="AJ101" s="108" t="s">
        <v>1680</v>
      </c>
      <c r="AK101" s="108" t="s">
        <v>1819</v>
      </c>
    </row>
    <row r="102" spans="1:37" ht="44.1" customHeight="1" x14ac:dyDescent="0.25">
      <c r="A102" s="108"/>
      <c r="B102" s="108" t="s">
        <v>275</v>
      </c>
      <c r="C102" s="108"/>
      <c r="D102" s="207" t="s">
        <v>276</v>
      </c>
      <c r="E102" s="108">
        <v>25.574999999999999</v>
      </c>
      <c r="F102" s="220"/>
      <c r="G102" s="108" t="s">
        <v>34</v>
      </c>
      <c r="H102" s="110" t="s">
        <v>54</v>
      </c>
      <c r="J102" s="119">
        <v>2.75</v>
      </c>
      <c r="K102" s="117" t="s">
        <v>1820</v>
      </c>
      <c r="L102" s="114" t="s">
        <v>12</v>
      </c>
      <c r="N102" s="118" t="s">
        <v>12</v>
      </c>
      <c r="O102" s="114" t="s">
        <v>12</v>
      </c>
      <c r="Q102" s="118" t="s">
        <v>12</v>
      </c>
      <c r="R102" s="114" t="s">
        <v>12</v>
      </c>
      <c r="T102" s="111">
        <v>640</v>
      </c>
      <c r="U102" s="116">
        <v>610</v>
      </c>
      <c r="V102" s="111">
        <v>290</v>
      </c>
      <c r="W102" s="116">
        <v>285</v>
      </c>
      <c r="Y102" s="108" t="s">
        <v>1674</v>
      </c>
      <c r="Z102" s="108" t="s">
        <v>8</v>
      </c>
      <c r="AA102" s="122">
        <v>46199</v>
      </c>
      <c r="AB102" s="108" t="s">
        <v>1693</v>
      </c>
      <c r="AC102" s="108" t="s">
        <v>1693</v>
      </c>
      <c r="AD102" s="108" t="s">
        <v>1693</v>
      </c>
      <c r="AE102" s="108" t="s">
        <v>1693</v>
      </c>
      <c r="AF102" s="108" t="s">
        <v>1693</v>
      </c>
      <c r="AG102" s="108" t="s">
        <v>1693</v>
      </c>
      <c r="AH102" s="108" t="s">
        <v>1693</v>
      </c>
      <c r="AI102" s="108" t="s">
        <v>1693</v>
      </c>
      <c r="AJ102" s="108" t="s">
        <v>1693</v>
      </c>
      <c r="AK102" s="108" t="s">
        <v>1821</v>
      </c>
    </row>
    <row r="103" spans="1:37" ht="44.85" customHeight="1" x14ac:dyDescent="0.25">
      <c r="A103" s="189" t="s">
        <v>1822</v>
      </c>
      <c r="B103" s="108" t="s">
        <v>328</v>
      </c>
      <c r="C103" s="108"/>
      <c r="D103" s="207" t="s">
        <v>1823</v>
      </c>
      <c r="E103" s="108">
        <v>16.989999999999998</v>
      </c>
      <c r="F103" s="220">
        <v>70963.59</v>
      </c>
      <c r="G103" s="108" t="s">
        <v>34</v>
      </c>
      <c r="H103" s="110" t="s">
        <v>54</v>
      </c>
      <c r="J103" s="119">
        <v>2</v>
      </c>
      <c r="K103" s="117" t="s">
        <v>12</v>
      </c>
      <c r="L103" s="114" t="s">
        <v>12</v>
      </c>
      <c r="N103" s="118" t="s">
        <v>12</v>
      </c>
      <c r="O103" s="114" t="s">
        <v>12</v>
      </c>
      <c r="Q103" s="118" t="s">
        <v>12</v>
      </c>
      <c r="R103" s="114" t="s">
        <v>12</v>
      </c>
      <c r="T103" s="108">
        <v>400</v>
      </c>
      <c r="U103" s="108">
        <v>366</v>
      </c>
      <c r="V103" s="108" t="s">
        <v>12</v>
      </c>
      <c r="W103" s="122" t="s">
        <v>12</v>
      </c>
      <c r="X103" s="122"/>
      <c r="Y103" s="122">
        <v>46142</v>
      </c>
      <c r="Z103" s="108" t="s">
        <v>8</v>
      </c>
      <c r="AA103" s="122">
        <v>46199</v>
      </c>
      <c r="AB103" s="122">
        <v>46304</v>
      </c>
      <c r="AC103" s="108"/>
      <c r="AD103" s="108"/>
      <c r="AE103" s="108"/>
      <c r="AF103" s="108"/>
      <c r="AG103" s="108"/>
      <c r="AH103" s="108"/>
      <c r="AI103" s="108"/>
      <c r="AJ103" s="108" t="s">
        <v>1702</v>
      </c>
      <c r="AK103" s="108"/>
    </row>
    <row r="104" spans="1:37" ht="44.1" customHeight="1" x14ac:dyDescent="0.25">
      <c r="A104" s="108"/>
      <c r="B104" s="108" t="s">
        <v>1007</v>
      </c>
      <c r="C104" s="108"/>
      <c r="D104" s="207" t="s">
        <v>1824</v>
      </c>
      <c r="E104" s="108">
        <v>37.409999999999997</v>
      </c>
      <c r="F104" s="203">
        <v>115203.58357199997</v>
      </c>
      <c r="G104" s="108" t="s">
        <v>27</v>
      </c>
      <c r="H104" s="110" t="s">
        <v>42</v>
      </c>
      <c r="J104" s="108">
        <v>8.75</v>
      </c>
      <c r="K104" s="112" t="s">
        <v>1825</v>
      </c>
      <c r="L104" s="116" t="s">
        <v>1826</v>
      </c>
      <c r="N104" s="120" t="s">
        <v>1673</v>
      </c>
      <c r="O104" s="114" t="s">
        <v>1673</v>
      </c>
      <c r="Q104" s="108" t="s">
        <v>12</v>
      </c>
      <c r="R104" s="115" t="s">
        <v>12</v>
      </c>
      <c r="T104" s="108">
        <v>1400</v>
      </c>
      <c r="U104" s="121" t="s">
        <v>1827</v>
      </c>
      <c r="V104" s="108">
        <v>7665</v>
      </c>
      <c r="W104" s="121" t="s">
        <v>1828</v>
      </c>
      <c r="Y104" s="122">
        <v>46172</v>
      </c>
      <c r="Z104" s="215" t="s">
        <v>8</v>
      </c>
      <c r="AA104" s="198" t="s">
        <v>1693</v>
      </c>
      <c r="AB104" s="198" t="s">
        <v>1693</v>
      </c>
      <c r="AC104" s="198" t="s">
        <v>1693</v>
      </c>
      <c r="AD104" s="198" t="s">
        <v>1693</v>
      </c>
      <c r="AE104" s="198" t="s">
        <v>1693</v>
      </c>
      <c r="AF104" s="198" t="s">
        <v>1693</v>
      </c>
      <c r="AG104" s="198" t="s">
        <v>1693</v>
      </c>
      <c r="AH104" s="198" t="s">
        <v>1693</v>
      </c>
      <c r="AI104" s="198" t="s">
        <v>1693</v>
      </c>
      <c r="AJ104" s="198" t="s">
        <v>1693</v>
      </c>
      <c r="AK104" s="110" t="s">
        <v>1829</v>
      </c>
    </row>
    <row r="105" spans="1:37" ht="61.35" customHeight="1" x14ac:dyDescent="0.25">
      <c r="A105" s="108"/>
      <c r="B105" s="108" t="s">
        <v>280</v>
      </c>
      <c r="C105" s="108"/>
      <c r="D105" s="207" t="s">
        <v>1112</v>
      </c>
      <c r="E105" s="108">
        <v>29.09</v>
      </c>
      <c r="F105" s="203">
        <v>44357.51</v>
      </c>
      <c r="G105" s="108" t="s">
        <v>27</v>
      </c>
      <c r="H105" s="110" t="s">
        <v>36</v>
      </c>
      <c r="J105" s="108">
        <v>7</v>
      </c>
      <c r="K105" s="111" t="s">
        <v>1830</v>
      </c>
      <c r="L105" s="116" t="s">
        <v>12</v>
      </c>
      <c r="N105" s="120" t="s">
        <v>1673</v>
      </c>
      <c r="O105" s="114" t="s">
        <v>12</v>
      </c>
      <c r="Q105" s="108" t="s">
        <v>12</v>
      </c>
      <c r="R105" s="115" t="s">
        <v>12</v>
      </c>
      <c r="T105" s="108">
        <v>1300</v>
      </c>
      <c r="U105" s="116" t="s">
        <v>12</v>
      </c>
      <c r="V105" s="123" t="s">
        <v>1831</v>
      </c>
      <c r="W105" s="121" t="s">
        <v>1832</v>
      </c>
      <c r="Y105" s="122">
        <v>46203</v>
      </c>
      <c r="Z105" s="216" t="s">
        <v>12</v>
      </c>
      <c r="AA105" s="216" t="s">
        <v>12</v>
      </c>
      <c r="AB105" s="148" t="s">
        <v>12</v>
      </c>
      <c r="AC105" s="108" t="s">
        <v>12</v>
      </c>
      <c r="AD105" s="108" t="s">
        <v>1684</v>
      </c>
      <c r="AE105" s="108" t="s">
        <v>1710</v>
      </c>
      <c r="AF105" s="108" t="s">
        <v>12</v>
      </c>
      <c r="AG105" s="108" t="s">
        <v>12</v>
      </c>
      <c r="AH105" s="108" t="s">
        <v>12</v>
      </c>
      <c r="AI105" s="108"/>
      <c r="AJ105" s="108" t="s">
        <v>1680</v>
      </c>
      <c r="AK105" s="108"/>
    </row>
    <row r="106" spans="1:37" ht="44.1" customHeight="1" x14ac:dyDescent="0.25">
      <c r="A106" s="108"/>
      <c r="B106" s="108" t="s">
        <v>1003</v>
      </c>
      <c r="C106" s="108"/>
      <c r="D106" s="207" t="s">
        <v>958</v>
      </c>
      <c r="E106" s="108">
        <v>30.92</v>
      </c>
      <c r="F106" s="220">
        <v>0</v>
      </c>
      <c r="G106" s="108" t="s">
        <v>27</v>
      </c>
      <c r="H106" s="110" t="s">
        <v>39</v>
      </c>
      <c r="J106" s="111">
        <v>10.75</v>
      </c>
      <c r="K106" s="111" t="s">
        <v>1833</v>
      </c>
      <c r="L106" s="116" t="s">
        <v>1834</v>
      </c>
      <c r="N106" s="120" t="s">
        <v>1673</v>
      </c>
      <c r="O106" s="114" t="s">
        <v>12</v>
      </c>
      <c r="Q106" s="108" t="s">
        <v>12</v>
      </c>
      <c r="R106" s="115" t="s">
        <v>12</v>
      </c>
      <c r="T106" s="111" t="s">
        <v>12</v>
      </c>
      <c r="U106" s="116" t="s">
        <v>12</v>
      </c>
      <c r="V106" s="111" t="s">
        <v>12</v>
      </c>
      <c r="W106" s="116" t="s">
        <v>12</v>
      </c>
      <c r="Y106" s="122">
        <v>46238</v>
      </c>
      <c r="Z106" s="215" t="s">
        <v>8</v>
      </c>
      <c r="AA106" s="198">
        <v>46269</v>
      </c>
      <c r="AB106" s="217">
        <v>46286</v>
      </c>
      <c r="AC106" s="108"/>
      <c r="AD106" s="108"/>
      <c r="AE106" s="108"/>
      <c r="AF106" s="108"/>
      <c r="AG106" s="108"/>
      <c r="AH106" s="108"/>
      <c r="AI106" s="108"/>
      <c r="AJ106" s="108" t="s">
        <v>1702</v>
      </c>
      <c r="AK106" s="108"/>
    </row>
    <row r="107" spans="1:37" ht="44.1" customHeight="1" x14ac:dyDescent="0.25">
      <c r="A107" s="108"/>
      <c r="B107" s="108" t="s">
        <v>1047</v>
      </c>
      <c r="C107" s="108"/>
      <c r="D107" s="207" t="s">
        <v>1034</v>
      </c>
      <c r="E107" s="108">
        <v>13.39</v>
      </c>
      <c r="F107" s="203">
        <v>27672.57</v>
      </c>
      <c r="G107" s="108" t="s">
        <v>27</v>
      </c>
      <c r="H107" s="110" t="s">
        <v>51</v>
      </c>
      <c r="J107" s="108">
        <v>7.25</v>
      </c>
      <c r="K107" s="111" t="s">
        <v>1835</v>
      </c>
      <c r="L107" s="116" t="s">
        <v>1836</v>
      </c>
      <c r="N107" s="120" t="s">
        <v>1673</v>
      </c>
      <c r="O107" s="114" t="s">
        <v>12</v>
      </c>
      <c r="Q107" s="108" t="s">
        <v>12</v>
      </c>
      <c r="R107" s="115" t="s">
        <v>12</v>
      </c>
      <c r="T107" s="111" t="s">
        <v>12</v>
      </c>
      <c r="U107" s="116" t="s">
        <v>12</v>
      </c>
      <c r="V107" s="111" t="s">
        <v>12</v>
      </c>
      <c r="W107" s="116" t="s">
        <v>12</v>
      </c>
      <c r="Y107" s="122">
        <v>46238</v>
      </c>
      <c r="Z107" s="215" t="s">
        <v>8</v>
      </c>
      <c r="AA107" s="198">
        <v>46240</v>
      </c>
      <c r="AB107" s="217">
        <v>46247</v>
      </c>
      <c r="AC107" s="122">
        <v>46247</v>
      </c>
      <c r="AD107" s="122" t="s">
        <v>1684</v>
      </c>
      <c r="AE107" s="108" t="s">
        <v>12</v>
      </c>
      <c r="AF107" s="108" t="s">
        <v>12</v>
      </c>
      <c r="AG107" s="122">
        <v>46266</v>
      </c>
      <c r="AH107" s="122">
        <v>46266</v>
      </c>
      <c r="AI107" s="108"/>
      <c r="AJ107" s="108" t="s">
        <v>1680</v>
      </c>
      <c r="AK107" s="108" t="s">
        <v>1837</v>
      </c>
    </row>
    <row r="108" spans="1:37" ht="44.1" customHeight="1" x14ac:dyDescent="0.25">
      <c r="A108" s="108"/>
      <c r="B108" s="108" t="s">
        <v>1033</v>
      </c>
      <c r="C108" s="108"/>
      <c r="D108" s="207" t="s">
        <v>1034</v>
      </c>
      <c r="E108" s="108">
        <v>13.94</v>
      </c>
      <c r="F108" s="203">
        <v>14891.724396000045</v>
      </c>
      <c r="G108" s="108" t="s">
        <v>27</v>
      </c>
      <c r="H108" s="110" t="s">
        <v>51</v>
      </c>
      <c r="J108" s="108">
        <v>7.75</v>
      </c>
      <c r="K108" s="111" t="s">
        <v>1838</v>
      </c>
      <c r="L108" s="116" t="s">
        <v>1839</v>
      </c>
      <c r="N108" s="120" t="s">
        <v>1840</v>
      </c>
      <c r="O108" s="114" t="s">
        <v>12</v>
      </c>
      <c r="Q108" s="108" t="s">
        <v>12</v>
      </c>
      <c r="R108" s="115" t="s">
        <v>12</v>
      </c>
      <c r="T108" s="111" t="s">
        <v>12</v>
      </c>
      <c r="U108" s="116" t="s">
        <v>12</v>
      </c>
      <c r="V108" s="111" t="s">
        <v>12</v>
      </c>
      <c r="W108" s="116" t="s">
        <v>12</v>
      </c>
      <c r="Y108" s="122">
        <v>46238</v>
      </c>
      <c r="Z108" s="215" t="s">
        <v>8</v>
      </c>
      <c r="AA108" s="198">
        <v>46240</v>
      </c>
      <c r="AB108" s="217">
        <v>46247</v>
      </c>
      <c r="AC108" s="122">
        <v>46247</v>
      </c>
      <c r="AD108" s="122" t="s">
        <v>1684</v>
      </c>
      <c r="AE108" s="108" t="s">
        <v>12</v>
      </c>
      <c r="AF108" s="108" t="s">
        <v>12</v>
      </c>
      <c r="AG108" s="122">
        <v>46266</v>
      </c>
      <c r="AH108" s="122">
        <v>46266</v>
      </c>
      <c r="AI108" s="108"/>
      <c r="AJ108" s="108" t="s">
        <v>1680</v>
      </c>
      <c r="AK108" s="108" t="s">
        <v>1837</v>
      </c>
    </row>
    <row r="109" spans="1:37" ht="44.1" customHeight="1" x14ac:dyDescent="0.25">
      <c r="A109" s="108"/>
      <c r="B109" s="108" t="s">
        <v>1023</v>
      </c>
      <c r="C109" s="108"/>
      <c r="D109" s="207" t="s">
        <v>1024</v>
      </c>
      <c r="E109" s="108">
        <v>26.39</v>
      </c>
      <c r="F109" s="220">
        <v>3778.79</v>
      </c>
      <c r="G109" s="108" t="s">
        <v>27</v>
      </c>
      <c r="H109" s="110" t="s">
        <v>39</v>
      </c>
      <c r="J109" s="108">
        <v>6</v>
      </c>
      <c r="K109" s="111" t="s">
        <v>1841</v>
      </c>
      <c r="L109" s="116" t="s">
        <v>12</v>
      </c>
      <c r="N109" s="120" t="s">
        <v>1672</v>
      </c>
      <c r="O109" s="114" t="s">
        <v>1678</v>
      </c>
      <c r="Q109" s="108" t="s">
        <v>12</v>
      </c>
      <c r="R109" s="115" t="s">
        <v>12</v>
      </c>
      <c r="T109" s="111" t="s">
        <v>12</v>
      </c>
      <c r="U109" s="116" t="s">
        <v>12</v>
      </c>
      <c r="V109" s="111" t="s">
        <v>12</v>
      </c>
      <c r="W109" s="116" t="s">
        <v>12</v>
      </c>
      <c r="Y109" s="122">
        <v>46240</v>
      </c>
      <c r="Z109" s="215" t="s">
        <v>8</v>
      </c>
      <c r="AA109" s="198">
        <v>46269</v>
      </c>
      <c r="AB109" s="217">
        <v>46286</v>
      </c>
      <c r="AC109" s="108"/>
      <c r="AD109" s="108"/>
      <c r="AE109" s="108"/>
      <c r="AF109" s="108"/>
      <c r="AG109" s="108"/>
      <c r="AH109" s="108"/>
      <c r="AI109" s="108"/>
      <c r="AJ109" s="108" t="s">
        <v>1702</v>
      </c>
      <c r="AK109" s="108"/>
    </row>
    <row r="110" spans="1:37" ht="44.1" customHeight="1" x14ac:dyDescent="0.25">
      <c r="A110" s="108"/>
      <c r="B110" s="108" t="s">
        <v>1041</v>
      </c>
      <c r="C110" s="108"/>
      <c r="D110" s="207" t="s">
        <v>972</v>
      </c>
      <c r="E110" s="108">
        <v>14.55</v>
      </c>
      <c r="F110" s="218">
        <v>12996.11</v>
      </c>
      <c r="G110" s="108" t="s">
        <v>27</v>
      </c>
      <c r="H110" s="110" t="s">
        <v>39</v>
      </c>
      <c r="J110" s="111">
        <v>7.75</v>
      </c>
      <c r="K110" s="111" t="s">
        <v>1842</v>
      </c>
      <c r="L110" s="116" t="s">
        <v>1843</v>
      </c>
      <c r="N110" s="120" t="s">
        <v>1683</v>
      </c>
      <c r="O110" s="114" t="s">
        <v>1678</v>
      </c>
      <c r="Q110" s="108" t="s">
        <v>12</v>
      </c>
      <c r="R110" s="115" t="s">
        <v>12</v>
      </c>
      <c r="T110" s="111" t="s">
        <v>12</v>
      </c>
      <c r="U110" s="116" t="s">
        <v>12</v>
      </c>
      <c r="V110" s="111" t="s">
        <v>12</v>
      </c>
      <c r="W110" s="116" t="s">
        <v>12</v>
      </c>
      <c r="Y110" s="122">
        <v>46241</v>
      </c>
      <c r="Z110" s="215" t="s">
        <v>10</v>
      </c>
      <c r="AA110" s="216"/>
      <c r="AB110" s="148"/>
      <c r="AC110" s="108"/>
      <c r="AD110" s="108"/>
      <c r="AE110" s="108"/>
      <c r="AF110" s="108"/>
      <c r="AG110" s="108"/>
      <c r="AH110" s="108"/>
      <c r="AI110" s="108"/>
      <c r="AJ110" s="108" t="s">
        <v>1747</v>
      </c>
      <c r="AK110" s="108" t="s">
        <v>1844</v>
      </c>
    </row>
    <row r="111" spans="1:37" ht="60" x14ac:dyDescent="0.25">
      <c r="A111" s="108"/>
      <c r="B111" s="110" t="s">
        <v>1845</v>
      </c>
      <c r="C111" s="108"/>
      <c r="D111" s="207" t="s">
        <v>1846</v>
      </c>
      <c r="E111" s="108" t="s">
        <v>161</v>
      </c>
      <c r="F111" s="108"/>
      <c r="G111" s="108" t="s">
        <v>34</v>
      </c>
      <c r="H111" s="110" t="s">
        <v>53</v>
      </c>
      <c r="J111" s="108">
        <v>5.75</v>
      </c>
      <c r="K111" s="108">
        <v>0.25</v>
      </c>
      <c r="L111" s="116" t="s">
        <v>12</v>
      </c>
      <c r="N111" s="111" t="s">
        <v>12</v>
      </c>
      <c r="O111" s="114" t="s">
        <v>12</v>
      </c>
      <c r="Q111" s="108" t="s">
        <v>12</v>
      </c>
      <c r="R111" s="115" t="s">
        <v>12</v>
      </c>
      <c r="T111" s="111" t="s">
        <v>12</v>
      </c>
      <c r="U111" s="116" t="s">
        <v>12</v>
      </c>
      <c r="V111" s="123" t="s">
        <v>1847</v>
      </c>
      <c r="W111" s="121" t="s">
        <v>1848</v>
      </c>
      <c r="Y111" s="122">
        <v>46248</v>
      </c>
      <c r="Z111" s="215" t="s">
        <v>8</v>
      </c>
      <c r="AA111" s="198">
        <v>46276</v>
      </c>
      <c r="AB111" s="217">
        <v>46297</v>
      </c>
      <c r="AC111" s="108"/>
      <c r="AD111" s="108"/>
      <c r="AE111" s="108"/>
      <c r="AF111" s="108"/>
      <c r="AG111" s="108"/>
      <c r="AH111" s="108"/>
      <c r="AI111" s="108"/>
      <c r="AJ111" s="108" t="s">
        <v>1849</v>
      </c>
      <c r="AK111" s="108" t="s">
        <v>1850</v>
      </c>
    </row>
    <row r="112" spans="1:37" ht="44.1" customHeight="1" x14ac:dyDescent="0.25">
      <c r="A112" s="108"/>
      <c r="B112" s="108"/>
      <c r="C112" s="108"/>
      <c r="D112" s="109"/>
      <c r="E112" s="119"/>
      <c r="F112" s="119"/>
      <c r="G112" s="108"/>
      <c r="H112" s="110"/>
      <c r="J112" s="111"/>
      <c r="K112" s="111"/>
      <c r="L112" s="116"/>
      <c r="N112" s="120"/>
      <c r="O112" s="114"/>
      <c r="Q112" s="108"/>
      <c r="R112" s="115"/>
      <c r="T112" s="111"/>
      <c r="U112" s="116"/>
      <c r="V112" s="111"/>
      <c r="W112" s="116"/>
      <c r="Y112" s="126"/>
      <c r="Z112" s="136"/>
      <c r="AA112" s="211"/>
      <c r="AB112" s="137"/>
      <c r="AC112" s="126"/>
      <c r="AD112" s="126"/>
      <c r="AE112" s="126"/>
      <c r="AF112" s="126"/>
      <c r="AG112" s="126"/>
      <c r="AH112" s="126"/>
      <c r="AI112" s="126"/>
      <c r="AJ112" s="126"/>
      <c r="AK112" s="126"/>
    </row>
    <row r="113" spans="1:37" ht="44.1" customHeight="1" x14ac:dyDescent="0.25">
      <c r="A113" s="108"/>
      <c r="B113" s="108"/>
      <c r="C113" s="108"/>
      <c r="D113" s="109"/>
      <c r="E113" s="119"/>
      <c r="F113" s="119"/>
      <c r="G113" s="108"/>
      <c r="H113" s="110"/>
      <c r="J113" s="111"/>
      <c r="K113" s="111"/>
      <c r="L113" s="116"/>
      <c r="N113" s="120"/>
      <c r="O113" s="114"/>
      <c r="Q113" s="108"/>
      <c r="R113" s="115"/>
      <c r="T113" s="111"/>
      <c r="U113" s="116"/>
      <c r="V113" s="111"/>
      <c r="W113" s="116"/>
      <c r="Y113" s="126"/>
      <c r="Z113" s="136"/>
      <c r="AA113" s="126"/>
      <c r="AB113" s="137"/>
      <c r="AC113" s="126"/>
      <c r="AD113" s="126"/>
      <c r="AE113" s="126"/>
      <c r="AF113" s="126"/>
      <c r="AG113" s="126"/>
      <c r="AH113" s="126"/>
      <c r="AI113" s="126"/>
      <c r="AJ113" s="126"/>
      <c r="AK113" s="126"/>
    </row>
    <row r="114" spans="1:37" ht="44.1" customHeight="1" x14ac:dyDescent="0.25">
      <c r="A114" s="108"/>
      <c r="B114" s="108"/>
      <c r="C114" s="108"/>
      <c r="D114" s="109"/>
      <c r="E114" s="119"/>
      <c r="F114" s="119"/>
      <c r="G114" s="108"/>
      <c r="H114" s="110"/>
      <c r="J114" s="111"/>
      <c r="K114" s="111"/>
      <c r="L114" s="116"/>
      <c r="N114" s="120"/>
      <c r="O114" s="114"/>
      <c r="Q114" s="108"/>
      <c r="R114" s="115"/>
      <c r="T114" s="111"/>
      <c r="U114" s="116"/>
      <c r="V114" s="111"/>
      <c r="W114" s="116"/>
      <c r="Y114" s="126"/>
      <c r="Z114" s="136"/>
      <c r="AA114" s="210"/>
      <c r="AB114" s="137"/>
      <c r="AC114" s="126"/>
      <c r="AD114" s="126"/>
      <c r="AE114" s="126"/>
      <c r="AF114" s="126"/>
      <c r="AG114" s="126"/>
      <c r="AH114" s="126"/>
      <c r="AI114" s="126"/>
      <c r="AJ114" s="126"/>
      <c r="AK114" s="126"/>
    </row>
    <row r="115" spans="1:37" ht="44.1" customHeight="1" x14ac:dyDescent="0.25">
      <c r="A115" s="108"/>
      <c r="B115" s="108"/>
      <c r="C115" s="108"/>
      <c r="D115" s="109"/>
      <c r="E115" s="119"/>
      <c r="F115" s="119"/>
      <c r="G115" s="108"/>
      <c r="H115" s="110"/>
      <c r="J115" s="111"/>
      <c r="K115" s="111"/>
      <c r="L115" s="116"/>
      <c r="N115" s="120"/>
      <c r="O115" s="114"/>
      <c r="Q115" s="108"/>
      <c r="R115" s="115"/>
      <c r="T115" s="111"/>
      <c r="U115" s="116"/>
      <c r="V115" s="111"/>
      <c r="W115" s="116"/>
      <c r="Y115" s="126"/>
      <c r="Z115" s="136"/>
      <c r="AA115" s="138"/>
      <c r="AC115" s="126"/>
      <c r="AD115" s="126"/>
      <c r="AE115" s="126"/>
      <c r="AF115" s="126"/>
      <c r="AG115" s="126"/>
      <c r="AH115" s="126"/>
      <c r="AI115" s="126"/>
      <c r="AJ115" s="126"/>
      <c r="AK115" s="126"/>
    </row>
    <row r="116" spans="1:37" ht="44.1" customHeight="1" x14ac:dyDescent="0.25">
      <c r="A116" s="108"/>
      <c r="B116" s="108"/>
      <c r="C116" s="108"/>
      <c r="D116" s="109"/>
      <c r="E116" s="119"/>
      <c r="F116" s="119"/>
      <c r="G116" s="108"/>
      <c r="H116" s="110"/>
      <c r="J116" s="111"/>
      <c r="K116" s="111"/>
      <c r="L116" s="116"/>
      <c r="N116" s="120"/>
      <c r="O116" s="114"/>
      <c r="Q116" s="108"/>
      <c r="R116" s="115"/>
      <c r="T116" s="111"/>
      <c r="U116" s="116"/>
      <c r="V116" s="111"/>
      <c r="W116" s="116"/>
      <c r="Y116" s="126"/>
      <c r="Z116" s="136"/>
      <c r="AA116" s="138"/>
      <c r="AB116" s="137"/>
      <c r="AC116" s="126"/>
      <c r="AD116" s="126"/>
      <c r="AE116" s="126"/>
      <c r="AF116" s="126"/>
      <c r="AG116" s="126"/>
      <c r="AH116" s="126"/>
      <c r="AI116" s="126"/>
      <c r="AJ116" s="126"/>
      <c r="AK116" s="126"/>
    </row>
    <row r="117" spans="1:37" ht="44.1" customHeight="1" x14ac:dyDescent="0.25">
      <c r="A117" s="108"/>
      <c r="B117" s="108"/>
      <c r="C117" s="108"/>
      <c r="D117" s="109"/>
      <c r="E117" s="119"/>
      <c r="F117" s="119"/>
      <c r="G117" s="108"/>
      <c r="H117" s="110"/>
      <c r="J117" s="111"/>
      <c r="K117" s="111"/>
      <c r="L117" s="116"/>
      <c r="N117" s="120"/>
      <c r="O117" s="114"/>
      <c r="Q117" s="108"/>
      <c r="R117" s="115"/>
      <c r="T117" s="111"/>
      <c r="U117" s="116"/>
      <c r="V117" s="111"/>
      <c r="W117" s="116"/>
      <c r="Y117" s="126"/>
      <c r="Z117" s="136"/>
      <c r="AA117" s="138"/>
      <c r="AB117" s="137"/>
      <c r="AC117" s="126"/>
      <c r="AD117" s="126"/>
      <c r="AE117" s="126"/>
      <c r="AF117" s="126"/>
      <c r="AG117" s="126"/>
      <c r="AH117" s="126"/>
      <c r="AI117" s="126"/>
      <c r="AJ117" s="126"/>
      <c r="AK117" s="126"/>
    </row>
    <row r="118" spans="1:37" ht="44.1" customHeight="1" x14ac:dyDescent="0.25">
      <c r="A118" s="108"/>
      <c r="B118" s="108"/>
      <c r="C118" s="108"/>
      <c r="D118" s="109"/>
      <c r="E118" s="119"/>
      <c r="F118" s="119"/>
      <c r="G118" s="108"/>
      <c r="H118" s="110"/>
      <c r="J118" s="111"/>
      <c r="K118" s="111"/>
      <c r="L118" s="116"/>
      <c r="N118" s="120"/>
      <c r="O118" s="114"/>
      <c r="Q118" s="108"/>
      <c r="R118" s="115"/>
      <c r="T118" s="111"/>
      <c r="U118" s="116"/>
      <c r="V118" s="111"/>
      <c r="W118" s="116"/>
      <c r="Y118" s="126"/>
      <c r="Z118" s="136"/>
      <c r="AA118" s="138"/>
      <c r="AB118" s="137"/>
      <c r="AC118" s="126"/>
      <c r="AD118" s="126"/>
      <c r="AE118" s="126"/>
      <c r="AF118" s="126"/>
      <c r="AG118" s="126"/>
      <c r="AH118" s="126"/>
      <c r="AI118" s="126"/>
      <c r="AJ118" s="126"/>
      <c r="AK118" s="126"/>
    </row>
    <row r="119" spans="1:37" ht="15" customHeight="1" x14ac:dyDescent="0.25">
      <c r="L119" s="222">
        <v>197192</v>
      </c>
    </row>
    <row r="120" spans="1:37" ht="15" customHeight="1" x14ac:dyDescent="0.25">
      <c r="L120" s="222">
        <v>35917</v>
      </c>
      <c r="AK120" s="96">
        <v>618</v>
      </c>
    </row>
    <row r="121" spans="1:37" ht="15" customHeight="1" x14ac:dyDescent="0.25">
      <c r="L121" s="222">
        <v>218632</v>
      </c>
    </row>
    <row r="122" spans="1:37" ht="15" customHeight="1" x14ac:dyDescent="0.25">
      <c r="L122" s="222"/>
    </row>
  </sheetData>
  <autoFilter ref="A5:AM111" xr:uid="{C4FFBCF1-480D-45A5-ACB8-5A5348C4C9C4}"/>
  <mergeCells count="6">
    <mergeCell ref="Y2:AK3"/>
    <mergeCell ref="J21:L21"/>
    <mergeCell ref="T4:W4"/>
    <mergeCell ref="N4:O4"/>
    <mergeCell ref="J4:L4"/>
    <mergeCell ref="Q4:R4"/>
  </mergeCells>
  <conditionalFormatting sqref="A9:A10">
    <cfRule type="duplicateValues" dxfId="67" priority="12"/>
  </conditionalFormatting>
  <conditionalFormatting sqref="A16">
    <cfRule type="duplicateValues" dxfId="66" priority="8"/>
  </conditionalFormatting>
  <conditionalFormatting sqref="A23">
    <cfRule type="duplicateValues" dxfId="65" priority="7"/>
  </conditionalFormatting>
  <conditionalFormatting sqref="A24">
    <cfRule type="duplicateValues" dxfId="64" priority="6"/>
  </conditionalFormatting>
  <conditionalFormatting sqref="A25">
    <cfRule type="duplicateValues" dxfId="63" priority="5"/>
  </conditionalFormatting>
  <conditionalFormatting sqref="A26">
    <cfRule type="duplicateValues" dxfId="62" priority="4"/>
  </conditionalFormatting>
  <conditionalFormatting sqref="A27">
    <cfRule type="duplicateValues" dxfId="61" priority="3"/>
  </conditionalFormatting>
  <conditionalFormatting sqref="A28">
    <cfRule type="duplicateValues" dxfId="60" priority="74"/>
  </conditionalFormatting>
  <conditionalFormatting sqref="A34">
    <cfRule type="duplicateValues" dxfId="59" priority="72"/>
  </conditionalFormatting>
  <conditionalFormatting sqref="A35">
    <cfRule type="duplicateValues" dxfId="58" priority="71"/>
  </conditionalFormatting>
  <conditionalFormatting sqref="A36">
    <cfRule type="duplicateValues" dxfId="57" priority="70"/>
  </conditionalFormatting>
  <conditionalFormatting sqref="A37">
    <cfRule type="duplicateValues" dxfId="56" priority="69"/>
  </conditionalFormatting>
  <conditionalFormatting sqref="A38">
    <cfRule type="duplicateValues" dxfId="55" priority="68"/>
  </conditionalFormatting>
  <conditionalFormatting sqref="A39">
    <cfRule type="duplicateValues" dxfId="54" priority="50"/>
  </conditionalFormatting>
  <conditionalFormatting sqref="A41">
    <cfRule type="duplicateValues" dxfId="53" priority="49"/>
  </conditionalFormatting>
  <conditionalFormatting sqref="A42">
    <cfRule type="duplicateValues" dxfId="52" priority="48"/>
  </conditionalFormatting>
  <conditionalFormatting sqref="A43">
    <cfRule type="duplicateValues" dxfId="51" priority="67"/>
  </conditionalFormatting>
  <conditionalFormatting sqref="A44">
    <cfRule type="duplicateValues" dxfId="50" priority="47"/>
  </conditionalFormatting>
  <conditionalFormatting sqref="A45">
    <cfRule type="duplicateValues" dxfId="49" priority="66"/>
  </conditionalFormatting>
  <conditionalFormatting sqref="A47">
    <cfRule type="duplicateValues" dxfId="48" priority="65"/>
  </conditionalFormatting>
  <conditionalFormatting sqref="A48">
    <cfRule type="duplicateValues" dxfId="47" priority="45"/>
  </conditionalFormatting>
  <conditionalFormatting sqref="A49">
    <cfRule type="duplicateValues" dxfId="46" priority="44"/>
  </conditionalFormatting>
  <conditionalFormatting sqref="A50">
    <cfRule type="duplicateValues" dxfId="45" priority="43"/>
  </conditionalFormatting>
  <conditionalFormatting sqref="A51">
    <cfRule type="duplicateValues" dxfId="44" priority="42"/>
  </conditionalFormatting>
  <conditionalFormatting sqref="A52">
    <cfRule type="duplicateValues" dxfId="43" priority="41"/>
  </conditionalFormatting>
  <conditionalFormatting sqref="A53">
    <cfRule type="duplicateValues" dxfId="42" priority="64"/>
  </conditionalFormatting>
  <conditionalFormatting sqref="A54">
    <cfRule type="duplicateValues" dxfId="41" priority="63"/>
  </conditionalFormatting>
  <conditionalFormatting sqref="A55">
    <cfRule type="duplicateValues" dxfId="40" priority="40"/>
  </conditionalFormatting>
  <conditionalFormatting sqref="A56">
    <cfRule type="duplicateValues" dxfId="39" priority="39"/>
  </conditionalFormatting>
  <conditionalFormatting sqref="A57">
    <cfRule type="duplicateValues" dxfId="38" priority="62"/>
  </conditionalFormatting>
  <conditionalFormatting sqref="A58">
    <cfRule type="duplicateValues" dxfId="37" priority="38"/>
  </conditionalFormatting>
  <conditionalFormatting sqref="A59">
    <cfRule type="duplicateValues" dxfId="36" priority="61"/>
  </conditionalFormatting>
  <conditionalFormatting sqref="A60">
    <cfRule type="duplicateValues" dxfId="35" priority="60"/>
  </conditionalFormatting>
  <conditionalFormatting sqref="A62">
    <cfRule type="duplicateValues" dxfId="34" priority="59"/>
  </conditionalFormatting>
  <conditionalFormatting sqref="A63">
    <cfRule type="duplicateValues" dxfId="33" priority="37"/>
  </conditionalFormatting>
  <conditionalFormatting sqref="A64">
    <cfRule type="duplicateValues" dxfId="32" priority="58"/>
  </conditionalFormatting>
  <conditionalFormatting sqref="A65">
    <cfRule type="duplicateValues" dxfId="31" priority="57"/>
  </conditionalFormatting>
  <conditionalFormatting sqref="A66">
    <cfRule type="duplicateValues" dxfId="30" priority="56"/>
  </conditionalFormatting>
  <conditionalFormatting sqref="A67">
    <cfRule type="duplicateValues" dxfId="29" priority="55"/>
  </conditionalFormatting>
  <conditionalFormatting sqref="A68">
    <cfRule type="duplicateValues" dxfId="28" priority="54"/>
  </conditionalFormatting>
  <conditionalFormatting sqref="A69">
    <cfRule type="duplicateValues" dxfId="27" priority="53"/>
  </conditionalFormatting>
  <conditionalFormatting sqref="A70">
    <cfRule type="duplicateValues" dxfId="26" priority="52"/>
  </conditionalFormatting>
  <conditionalFormatting sqref="A71">
    <cfRule type="duplicateValues" dxfId="25" priority="36"/>
  </conditionalFormatting>
  <conditionalFormatting sqref="A72">
    <cfRule type="duplicateValues" dxfId="24" priority="35"/>
  </conditionalFormatting>
  <conditionalFormatting sqref="A73">
    <cfRule type="duplicateValues" dxfId="23" priority="51"/>
  </conditionalFormatting>
  <conditionalFormatting sqref="A74">
    <cfRule type="duplicateValues" dxfId="22" priority="33"/>
  </conditionalFormatting>
  <conditionalFormatting sqref="A75">
    <cfRule type="duplicateValues" dxfId="21" priority="32"/>
  </conditionalFormatting>
  <conditionalFormatting sqref="A76">
    <cfRule type="duplicateValues" dxfId="20" priority="31"/>
  </conditionalFormatting>
  <conditionalFormatting sqref="A77">
    <cfRule type="duplicateValues" dxfId="19" priority="30"/>
  </conditionalFormatting>
  <conditionalFormatting sqref="A78">
    <cfRule type="duplicateValues" dxfId="18" priority="29"/>
  </conditionalFormatting>
  <conditionalFormatting sqref="A79">
    <cfRule type="duplicateValues" dxfId="17" priority="28"/>
  </conditionalFormatting>
  <conditionalFormatting sqref="A80">
    <cfRule type="duplicateValues" dxfId="16" priority="27"/>
  </conditionalFormatting>
  <conditionalFormatting sqref="A81">
    <cfRule type="duplicateValues" dxfId="15" priority="25"/>
  </conditionalFormatting>
  <conditionalFormatting sqref="A82">
    <cfRule type="duplicateValues" dxfId="14" priority="24"/>
  </conditionalFormatting>
  <conditionalFormatting sqref="A83">
    <cfRule type="duplicateValues" dxfId="13" priority="23"/>
  </conditionalFormatting>
  <conditionalFormatting sqref="A84">
    <cfRule type="duplicateValues" dxfId="12" priority="22"/>
  </conditionalFormatting>
  <conditionalFormatting sqref="A85">
    <cfRule type="duplicateValues" dxfId="11" priority="21"/>
  </conditionalFormatting>
  <conditionalFormatting sqref="A86">
    <cfRule type="duplicateValues" dxfId="10" priority="20"/>
  </conditionalFormatting>
  <conditionalFormatting sqref="A87">
    <cfRule type="duplicateValues" dxfId="9" priority="19"/>
  </conditionalFormatting>
  <conditionalFormatting sqref="A88">
    <cfRule type="duplicateValues" dxfId="8" priority="18"/>
  </conditionalFormatting>
  <conditionalFormatting sqref="A89">
    <cfRule type="duplicateValues" dxfId="7" priority="17"/>
  </conditionalFormatting>
  <conditionalFormatting sqref="A90">
    <cfRule type="duplicateValues" dxfId="6" priority="16"/>
  </conditionalFormatting>
  <conditionalFormatting sqref="A91">
    <cfRule type="duplicateValues" dxfId="5" priority="15"/>
  </conditionalFormatting>
  <conditionalFormatting sqref="A92 A1:A2 A4:A8 A46 A61 A40 A95 A17:A22 A97:A1048576 A11:A15 A29:A33">
    <cfRule type="duplicateValues" dxfId="4" priority="81"/>
  </conditionalFormatting>
  <conditionalFormatting sqref="A93">
    <cfRule type="duplicateValues" dxfId="3" priority="14"/>
  </conditionalFormatting>
  <conditionalFormatting sqref="A94">
    <cfRule type="duplicateValues" dxfId="2" priority="13"/>
  </conditionalFormatting>
  <conditionalFormatting sqref="A96">
    <cfRule type="duplicateValues" dxfId="1" priority="1"/>
  </conditionalFormatting>
  <conditionalFormatting sqref="B1:B2 B4:B1048576">
    <cfRule type="duplicateValues" dxfId="0" priority="82"/>
  </conditionalFormatting>
  <dataValidations count="2">
    <dataValidation type="list" allowBlank="1" showInputMessage="1" showErrorMessage="1" sqref="Z11" xr:uid="{F4C3D89C-AE23-459C-875D-97CAC6AE3317}">
      <formula1>$AM$1:$AM$5</formula1>
    </dataValidation>
    <dataValidation type="list" allowBlank="1" showInputMessage="1" showErrorMessage="1" sqref="Z12:Z17 Z102:Z103 Z6:Z10 Z96:Z100 Z93:Z94 Z20:Z21 Z24:Z25 Z27:Z91" xr:uid="{C20DD203-E653-425F-BF8A-8877A281A87B}">
      <formula1>$AM$1:$AM$2</formula1>
    </dataValidation>
  </dataValidations>
  <pageMargins left="0.511811024" right="0.511811024" top="0.78740157499999996" bottom="0.78740157499999996" header="0.31496062000000002" footer="0.31496062000000002"/>
  <pageSetup paperSize="8" scale="2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3743-8135-4F32-BACA-A0CD44F9427F}">
  <dimension ref="A1:H44"/>
  <sheetViews>
    <sheetView zoomScaleNormal="100" workbookViewId="0">
      <selection activeCell="F2" sqref="F2"/>
    </sheetView>
  </sheetViews>
  <sheetFormatPr defaultRowHeight="15" x14ac:dyDescent="0.25"/>
  <cols>
    <col min="1" max="1" width="24.5703125" bestFit="1" customWidth="1"/>
    <col min="2" max="2" width="12.5703125" bestFit="1" customWidth="1"/>
    <col min="3" max="3" width="16.42578125" bestFit="1" customWidth="1"/>
    <col min="4" max="4" width="26" bestFit="1" customWidth="1"/>
    <col min="5" max="5" width="21.5703125" bestFit="1" customWidth="1"/>
    <col min="6" max="6" width="16.42578125" bestFit="1" customWidth="1"/>
    <col min="7" max="8" width="21.5703125" bestFit="1" customWidth="1"/>
  </cols>
  <sheetData>
    <row r="1" spans="1:8" x14ac:dyDescent="0.25">
      <c r="A1" s="69" t="s">
        <v>1851</v>
      </c>
      <c r="B1" s="69" t="s">
        <v>1852</v>
      </c>
      <c r="C1" s="70" t="s">
        <v>1853</v>
      </c>
      <c r="D1" s="69" t="s">
        <v>1854</v>
      </c>
      <c r="E1" s="69" t="s">
        <v>1855</v>
      </c>
      <c r="F1" s="69" t="s">
        <v>1856</v>
      </c>
      <c r="H1" s="69" t="s">
        <v>1857</v>
      </c>
    </row>
    <row r="2" spans="1:8" x14ac:dyDescent="0.25">
      <c r="A2" t="s">
        <v>946</v>
      </c>
      <c r="B2" s="50">
        <f>COUNTIF(Controle!$R$4:$R$711,A2)</f>
        <v>219</v>
      </c>
      <c r="C2" s="52">
        <f>SUMIF(Controle!$R$4:$R$711,Formulas!A2,Controle!$Y$4:$Y$711)</f>
        <v>1977.8500121879999</v>
      </c>
      <c r="D2" s="52">
        <f>SUMIF(Controle!R:R,Formulas!A2,Controle!AH:AH)</f>
        <v>1672.9061090000005</v>
      </c>
      <c r="E2" s="49">
        <f>D2/C2</f>
        <v>0.84582051151054938</v>
      </c>
      <c r="F2" s="66">
        <f>SUMIF(Controle!$R:$R,Formulas!A2,Controle!$AK:$AK)</f>
        <v>94585.794166666674</v>
      </c>
      <c r="H2" s="66">
        <f>SUMIFS(Controle!$AK:$AK,Controle!$AO:$AO,"Sim",Controle!$R:$R,Formulas!A2)</f>
        <v>76538.63416666667</v>
      </c>
    </row>
    <row r="3" spans="1:8" x14ac:dyDescent="0.25">
      <c r="A3" t="s">
        <v>167</v>
      </c>
      <c r="B3" s="50">
        <f>COUNTIF(Controle!$R$4:$R$711,A3)</f>
        <v>271</v>
      </c>
      <c r="C3" s="52">
        <f>SUMIF(Controle!$R$4:$R$711,Formulas!A3,Controle!$Y$4:$Y$711)</f>
        <v>1317.7913101999993</v>
      </c>
      <c r="D3" s="52">
        <f>SUMIF(Controle!R:R,Formulas!A3,Controle!AH:AH)</f>
        <v>1207.8360363999989</v>
      </c>
      <c r="E3" s="49">
        <f t="shared" ref="E3:E5" si="0">D3/C3</f>
        <v>0.91656093574990061</v>
      </c>
      <c r="F3" s="66">
        <f>SUMIF(Controle!$R:$R,Formulas!A3,Controle!$AK:$AK)</f>
        <v>312341.39</v>
      </c>
      <c r="H3" s="66">
        <f>SUMIFS(Controle!$AK:$AK,Controle!$AO:$AO,"Sim",Controle!$R:$R,Formulas!A3)</f>
        <v>281102.23999999993</v>
      </c>
    </row>
    <row r="4" spans="1:8" x14ac:dyDescent="0.25">
      <c r="A4" t="s">
        <v>272</v>
      </c>
      <c r="B4" s="50">
        <f>COUNTIF(Controle!$R$4:$R$711,A4)</f>
        <v>92</v>
      </c>
      <c r="C4" s="52">
        <f>SUMIF(Controle!$R$4:$R$711,Formulas!A4,Controle!$Y$4:$Y$711)</f>
        <v>1118.2558657600009</v>
      </c>
      <c r="D4" s="52">
        <f>SUMIF(Controle!R:R,Formulas!A4,Controle!AH:AH)</f>
        <v>1118.2558657600009</v>
      </c>
      <c r="E4" s="49">
        <f t="shared" si="0"/>
        <v>1</v>
      </c>
      <c r="F4" s="66">
        <f>SUMIF(Controle!$R:$R,Formulas!A4,Controle!$AK:$AK)</f>
        <v>136436.7233333333</v>
      </c>
      <c r="H4" s="66">
        <f>SUMIFS(Controle!$AK:$AK,Controle!$AO:$AO,"Sim",Controle!$R:$R,Formulas!A4)</f>
        <v>108718.67750000002</v>
      </c>
    </row>
    <row r="5" spans="1:8" x14ac:dyDescent="0.25">
      <c r="A5" t="s">
        <v>205</v>
      </c>
      <c r="B5" s="50">
        <f>COUNTIF(Controle!$R$4:$R$711,A5)</f>
        <v>123</v>
      </c>
      <c r="C5" s="52">
        <f>SUMIF(Controle!$R$4:$R$711,Formulas!A5,Controle!$Y$4:$Y$711)</f>
        <v>126.36337076589314</v>
      </c>
      <c r="D5" s="52">
        <f>SUMIF(Controle!R:R,Formulas!A5,Controle!AH:AH)</f>
        <v>79.376605200000014</v>
      </c>
      <c r="E5" s="49">
        <f t="shared" si="0"/>
        <v>0.62816150533889237</v>
      </c>
      <c r="F5" s="66">
        <f>SUMIF(Controle!$R:$R,Formulas!A5,Controle!$AK:$AK)</f>
        <v>12517.415833333334</v>
      </c>
      <c r="H5" s="66">
        <f>SUMIFS(Controle!$AK:$AK,Controle!$AO:$AO,"Sim",Controle!$R:$R,Formulas!A5)</f>
        <v>1333.3333333333333</v>
      </c>
    </row>
    <row r="6" spans="1:8" x14ac:dyDescent="0.25">
      <c r="A6" s="53" t="s">
        <v>1858</v>
      </c>
      <c r="B6" s="54">
        <f>SUM(B2:B5)</f>
        <v>705</v>
      </c>
      <c r="C6" s="55">
        <f t="shared" ref="C6:F6" si="1">SUM(C2:C5)</f>
        <v>4540.260558913893</v>
      </c>
      <c r="D6" s="55">
        <f t="shared" si="1"/>
        <v>4078.3746163600008</v>
      </c>
      <c r="E6" s="56">
        <f>D6/C6</f>
        <v>0.8982688467852199</v>
      </c>
      <c r="F6" s="67">
        <f t="shared" si="1"/>
        <v>555881.32333333336</v>
      </c>
      <c r="H6" s="67">
        <f>SUM(H2:H5)</f>
        <v>467692.88499999995</v>
      </c>
    </row>
    <row r="9" spans="1:8" x14ac:dyDescent="0.25">
      <c r="A9" s="69" t="s">
        <v>1859</v>
      </c>
      <c r="B9" s="69" t="s">
        <v>1860</v>
      </c>
      <c r="C9" s="69" t="s">
        <v>1861</v>
      </c>
      <c r="D9" s="69" t="s">
        <v>1862</v>
      </c>
      <c r="E9" s="69" t="s">
        <v>1863</v>
      </c>
    </row>
    <row r="10" spans="1:8" x14ac:dyDescent="0.25">
      <c r="A10" s="47" t="s">
        <v>1575</v>
      </c>
      <c r="B10">
        <f>COUNTIF(Controle!L:L,Formulas!A11)</f>
        <v>49</v>
      </c>
      <c r="C10" s="57">
        <f>SUMIF(Controle!L:L,Formulas!A11,Controle!Y:Y)</f>
        <v>785.4710321599996</v>
      </c>
      <c r="D10" s="58">
        <f>C10/SUM($C$10:$C$41)</f>
        <v>0.16621137046299039</v>
      </c>
      <c r="E10" s="66">
        <f>SUMIF(Controle!$L:$L,A10,Controle!$AK:$AK)</f>
        <v>190703.86999999997</v>
      </c>
    </row>
    <row r="11" spans="1:8" x14ac:dyDescent="0.25">
      <c r="A11" s="47" t="s">
        <v>1301</v>
      </c>
      <c r="B11">
        <f>COUNTIF(Controle!L:L,Formulas!A13)</f>
        <v>19</v>
      </c>
      <c r="C11" s="57">
        <f>SUMIF(Controle!L:L,Formulas!A13,Controle!Y:Y)</f>
        <v>549.75396899999998</v>
      </c>
      <c r="D11" s="58">
        <f t="shared" ref="D11:D41" si="2">C11/SUM($C$10:$C$41)</f>
        <v>0.11633192933122105</v>
      </c>
      <c r="E11" s="66">
        <f>SUMIF(Controle!$L:$L,A11,Controle!$AK:$AK)</f>
        <v>101921.69083333333</v>
      </c>
    </row>
    <row r="12" spans="1:8" x14ac:dyDescent="0.25">
      <c r="A12" s="47" t="s">
        <v>943</v>
      </c>
      <c r="B12">
        <f>COUNTIF(Controle!L:L,Formulas!A10)</f>
        <v>116</v>
      </c>
      <c r="C12" s="57">
        <f>SUMIF(Controle!L:L,Formulas!A10,Controle!Y:Y)</f>
        <v>1495.2929327396321</v>
      </c>
      <c r="D12" s="58">
        <f t="shared" si="2"/>
        <v>0.31641483570797313</v>
      </c>
      <c r="E12" s="66">
        <f>SUMIF(Controle!$L:$L,A12,Controle!$AK:$AK)</f>
        <v>21095.15</v>
      </c>
    </row>
    <row r="13" spans="1:8" x14ac:dyDescent="0.25">
      <c r="A13" s="47" t="s">
        <v>36</v>
      </c>
      <c r="B13">
        <f>COUNTIF(Controle!L:L,Formulas!A14)</f>
        <v>49</v>
      </c>
      <c r="C13" s="57">
        <f>SUMIF(Controle!L:L,Formulas!A14,Controle!Y:Y)</f>
        <v>428.0555561999999</v>
      </c>
      <c r="D13" s="58">
        <f t="shared" si="2"/>
        <v>9.0579662033681313E-2</v>
      </c>
      <c r="E13" s="66">
        <f>SUMIF(Controle!$L:$L,A13,Controle!$AK:$AK)</f>
        <v>136579.37999999998</v>
      </c>
    </row>
    <row r="14" spans="1:8" x14ac:dyDescent="0.25">
      <c r="A14" s="47" t="s">
        <v>191</v>
      </c>
      <c r="B14">
        <f>COUNTIF(Controle!L:L,Formulas!A16)</f>
        <v>5</v>
      </c>
      <c r="C14" s="57">
        <f>SUMIF(Controle!L:L,Formulas!A16,Controle!Y:Y)</f>
        <v>158.08382</v>
      </c>
      <c r="D14" s="58">
        <f t="shared" si="2"/>
        <v>3.3451683505079835E-2</v>
      </c>
      <c r="E14" s="66">
        <f>SUMIF(Controle!$L:$L,A14,Controle!$AK:$AK)</f>
        <v>34023.895833333328</v>
      </c>
    </row>
    <row r="15" spans="1:8" x14ac:dyDescent="0.25">
      <c r="A15" s="47" t="s">
        <v>54</v>
      </c>
      <c r="B15">
        <f>COUNTIF(Controle!L:L,Formulas!A12)</f>
        <v>3</v>
      </c>
      <c r="C15" s="57">
        <f>SUMIF(Controle!L:L,Formulas!A12,Controle!Y:Y)</f>
        <v>591.89744440000004</v>
      </c>
      <c r="D15" s="58">
        <f t="shared" si="2"/>
        <v>0.12524979455540983</v>
      </c>
      <c r="E15" s="66">
        <f>SUMIF(Controle!$L:$L,A15,Controle!$AK:$AK)</f>
        <v>18301.009999999998</v>
      </c>
    </row>
    <row r="16" spans="1:8" x14ac:dyDescent="0.25">
      <c r="A16" s="47" t="s">
        <v>53</v>
      </c>
      <c r="B16">
        <f>COUNTIF(Controle!L:L,Formulas!A17)</f>
        <v>3</v>
      </c>
      <c r="C16" s="57">
        <f>SUMIF(Controle!L:L,Formulas!A17,Controle!Y:Y)</f>
        <v>96.302503999999999</v>
      </c>
      <c r="D16" s="58">
        <f t="shared" si="2"/>
        <v>2.0378308700755614E-2</v>
      </c>
      <c r="E16" s="66">
        <f>SUMIF(Controle!$L:$L,A16,Controle!$AK:$AK)</f>
        <v>8786.4108333333334</v>
      </c>
    </row>
    <row r="17" spans="1:5" x14ac:dyDescent="0.25">
      <c r="A17" s="47" t="s">
        <v>1312</v>
      </c>
      <c r="B17">
        <f>COUNTIF(Controle!L:L,Formulas!A15)</f>
        <v>5</v>
      </c>
      <c r="C17" s="57">
        <f>SUMIF(Controle!L:L,Formulas!A15,Controle!Y:Y)</f>
        <v>276.70172439999999</v>
      </c>
      <c r="D17" s="58">
        <f t="shared" si="2"/>
        <v>5.8552092870343249E-2</v>
      </c>
      <c r="E17" s="66">
        <f>SUMIF(Controle!$L:$L,A17,Controle!$AK:$AK)</f>
        <v>17038.2366666667</v>
      </c>
    </row>
    <row r="18" spans="1:5" x14ac:dyDescent="0.25">
      <c r="A18" s="47" t="s">
        <v>51</v>
      </c>
      <c r="B18">
        <f>COUNTIF(Controle!L:L,Formulas!A19)</f>
        <v>32</v>
      </c>
      <c r="C18" s="57">
        <f>SUMIF(Controle!L:L,Formulas!A18,Controle!Y:Y)</f>
        <v>76.593212600000001</v>
      </c>
      <c r="D18" s="58">
        <f t="shared" si="2"/>
        <v>1.6207679612831299E-2</v>
      </c>
      <c r="E18" s="66">
        <f>SUMIF(Controle!$L:$L,A18,Controle!$AK:$AK)</f>
        <v>6889.2191666666677</v>
      </c>
    </row>
    <row r="19" spans="1:5" x14ac:dyDescent="0.25">
      <c r="A19" s="47" t="s">
        <v>45</v>
      </c>
      <c r="B19">
        <f>COUNTIF(Controle!L:L,Formulas!A23)</f>
        <v>3</v>
      </c>
      <c r="C19" s="57">
        <f>SUMIF(Controle!L:L,Formulas!A23,Controle!Y:Y)</f>
        <v>18.406885600000003</v>
      </c>
      <c r="D19" s="58">
        <f t="shared" si="2"/>
        <v>3.8950305692601024E-3</v>
      </c>
      <c r="E19" s="66">
        <f>SUMIF(Controle!$L:$L,A19,Controle!$AK:$AK)</f>
        <v>11009.71</v>
      </c>
    </row>
    <row r="20" spans="1:5" x14ac:dyDescent="0.25">
      <c r="A20" s="47" t="s">
        <v>1323</v>
      </c>
      <c r="B20">
        <f>COUNTIF(Controle!L:L,Formulas!A18)</f>
        <v>9</v>
      </c>
      <c r="C20" s="57">
        <f>SUMIF(Controle!L:L,Formulas!A19,Controle!Y:Y)</f>
        <v>60.163052100000002</v>
      </c>
      <c r="D20" s="58">
        <f t="shared" si="2"/>
        <v>1.2730938419560134E-2</v>
      </c>
      <c r="E20" s="66">
        <f>SUMIF(Controle!$L:$L,A20,Controle!$AK:$AK)</f>
        <v>0</v>
      </c>
    </row>
    <row r="21" spans="1:5" x14ac:dyDescent="0.25">
      <c r="A21" s="47" t="s">
        <v>1075</v>
      </c>
      <c r="B21">
        <f>COUNTIF(Controle!L:L,Formulas!A25)</f>
        <v>1</v>
      </c>
      <c r="C21" s="57">
        <f>SUMIF(Controle!L:L,Formulas!A25,Controle!Y:Y)</f>
        <v>13.171541200000002</v>
      </c>
      <c r="D21" s="58">
        <f t="shared" si="2"/>
        <v>2.7871937020279461E-3</v>
      </c>
      <c r="E21" s="66">
        <f>SUMIF(Controle!$L:$L,A21,Controle!$AK:$AK)</f>
        <v>0</v>
      </c>
    </row>
    <row r="22" spans="1:5" x14ac:dyDescent="0.25">
      <c r="A22" s="47" t="s">
        <v>533</v>
      </c>
      <c r="B22">
        <f>COUNTIF(Controle!L:L,Formulas!A30)</f>
        <v>5</v>
      </c>
      <c r="C22" s="57">
        <f>SUMIF(Controle!L:L,Formulas!A30,Controle!Y:Y)</f>
        <v>7.7206400000000004</v>
      </c>
      <c r="D22" s="58">
        <f t="shared" si="2"/>
        <v>1.6337434516490023E-3</v>
      </c>
      <c r="E22" s="66">
        <f>SUMIF(Controle!$L:$L,A22,Controle!$AK:$AK)</f>
        <v>0</v>
      </c>
    </row>
    <row r="23" spans="1:5" x14ac:dyDescent="0.25">
      <c r="A23" s="47" t="s">
        <v>363</v>
      </c>
      <c r="B23">
        <f>COUNTIF(Controle!L:L,Formulas!A21)</f>
        <v>27</v>
      </c>
      <c r="C23" s="57">
        <f>SUMIF(Controle!L:L,Formulas!A21,Controle!Y:Y)</f>
        <v>28.773540199999992</v>
      </c>
      <c r="D23" s="58">
        <f t="shared" si="2"/>
        <v>6.0886899120421766E-3</v>
      </c>
      <c r="E23" s="66">
        <f>SUMIF(Controle!$L:$L,A23,Controle!$AK:$AK)</f>
        <v>4586.75</v>
      </c>
    </row>
    <row r="24" spans="1:5" x14ac:dyDescent="0.25">
      <c r="A24" s="47" t="s">
        <v>1505</v>
      </c>
      <c r="B24">
        <f>COUNTIF(Controle!L:L,Formulas!A32)</f>
        <v>4</v>
      </c>
      <c r="C24" s="57">
        <f>SUMIF(Controle!L:L,Formulas!A33,Controle!Y:Y)</f>
        <v>5.140169600000001</v>
      </c>
      <c r="D24" s="58">
        <f t="shared" si="2"/>
        <v>1.0876971888813974E-3</v>
      </c>
      <c r="E24" s="66">
        <f>SUMIF(Controle!$L:$L,A24,Controle!$AK:$AK)</f>
        <v>0</v>
      </c>
    </row>
    <row r="25" spans="1:5" x14ac:dyDescent="0.25">
      <c r="A25" s="47" t="s">
        <v>359</v>
      </c>
      <c r="B25">
        <f>COUNTIF(Controle!L:L,Formulas!A20)</f>
        <v>1</v>
      </c>
      <c r="C25" s="57">
        <f>SUMIF(Controle!L:L,Formulas!A20,Controle!Y:Y)</f>
        <v>38.054016000000004</v>
      </c>
      <c r="D25" s="58">
        <f t="shared" si="2"/>
        <v>8.0525059384903789E-3</v>
      </c>
      <c r="E25" s="66">
        <f>SUMIF(Controle!$L:$L,A25,Controle!$AK:$AK)</f>
        <v>0</v>
      </c>
    </row>
    <row r="26" spans="1:5" x14ac:dyDescent="0.25">
      <c r="A26" s="47" t="s">
        <v>1371</v>
      </c>
      <c r="B26">
        <f>COUNTIF(Controle!L:L,Formulas!A22)</f>
        <v>164</v>
      </c>
      <c r="C26" s="57">
        <f>SUMIF(Controle!L:L,Formulas!A22,Controle!Y:Y)</f>
        <v>21.629499810013968</v>
      </c>
      <c r="D26" s="58">
        <f t="shared" si="2"/>
        <v>4.5769591221781689E-3</v>
      </c>
      <c r="E26" s="66">
        <f>SUMIF(Controle!$L:$L,A26,Controle!$AK:$AK)</f>
        <v>0</v>
      </c>
    </row>
    <row r="27" spans="1:5" x14ac:dyDescent="0.25">
      <c r="A27" s="47" t="s">
        <v>484</v>
      </c>
      <c r="B27">
        <f>COUNTIF(Controle!L:L,Formulas!A27)</f>
        <v>4</v>
      </c>
      <c r="C27" s="57">
        <f>SUMIF(Controle!L:L,Formulas!A27,Controle!Y:Y)</f>
        <v>10.8375348</v>
      </c>
      <c r="D27" s="58">
        <f t="shared" si="2"/>
        <v>2.2933010102165335E-3</v>
      </c>
      <c r="E27" s="66">
        <f>SUMIF(Controle!$L:$L,A27,Controle!$AK:$AK)</f>
        <v>0</v>
      </c>
    </row>
    <row r="28" spans="1:5" x14ac:dyDescent="0.25">
      <c r="A28" s="47" t="s">
        <v>524</v>
      </c>
      <c r="B28">
        <f>COUNTIF(Controle!L:L,Formulas!A31)</f>
        <v>3</v>
      </c>
      <c r="C28" s="57">
        <f>SUMIF(Controle!L:L,Formulas!A31,Controle!Y:Y)</f>
        <v>6.8861032000000009</v>
      </c>
      <c r="D28" s="58">
        <f t="shared" si="2"/>
        <v>1.4571494086473712E-3</v>
      </c>
      <c r="E28" s="66">
        <f>SUMIF(Controle!$L:$L,A28,Controle!$AK:$AK)</f>
        <v>1375.29</v>
      </c>
    </row>
    <row r="29" spans="1:5" x14ac:dyDescent="0.25">
      <c r="A29" s="47" t="s">
        <v>398</v>
      </c>
      <c r="B29">
        <f>COUNTIF(Controle!L:L,Formulas!A24)</f>
        <v>40</v>
      </c>
      <c r="C29" s="57">
        <f>SUMIF(Controle!L:L,Formulas!A24,Controle!Y:Y)</f>
        <v>13.238027559019763</v>
      </c>
      <c r="D29" s="58">
        <f t="shared" si="2"/>
        <v>2.8012626980791181E-3</v>
      </c>
      <c r="E29" s="66">
        <f>SUMIF(Controle!$L:$L,A29,Controle!$AK:$AK)</f>
        <v>0</v>
      </c>
    </row>
    <row r="30" spans="1:5" x14ac:dyDescent="0.25">
      <c r="A30" s="47" t="s">
        <v>464</v>
      </c>
      <c r="B30">
        <f>COUNTIF(Controle!L:L,Formulas!A26)</f>
        <v>1</v>
      </c>
      <c r="C30" s="57">
        <f>SUMIF(Controle!L:L,Formulas!A26,Controle!Y:Y)</f>
        <v>11.460180600000001</v>
      </c>
      <c r="D30" s="58">
        <f t="shared" si="2"/>
        <v>2.4250573799535964E-3</v>
      </c>
      <c r="E30" s="66">
        <f>SUMIF(Controle!$L:$L,A30,Controle!$AK:$AK)</f>
        <v>0</v>
      </c>
    </row>
    <row r="31" spans="1:5" x14ac:dyDescent="0.25">
      <c r="A31" s="47" t="s">
        <v>1083</v>
      </c>
      <c r="B31">
        <f>COUNTIF(Controle!L:L,Formulas!A29)</f>
        <v>1</v>
      </c>
      <c r="C31" s="57">
        <f>SUMIF(Controle!L:L,Formulas!A29,Controle!Y:Y)</f>
        <v>8.2602999999999973</v>
      </c>
      <c r="D31" s="58">
        <f t="shared" si="2"/>
        <v>1.7479394238892434E-3</v>
      </c>
      <c r="E31" s="66">
        <f>SUMIF(Controle!$L:$L,A31,Controle!$AK:$AK)</f>
        <v>0</v>
      </c>
    </row>
    <row r="32" spans="1:5" x14ac:dyDescent="0.25">
      <c r="A32" s="47" t="s">
        <v>1501</v>
      </c>
      <c r="B32">
        <f>COUNTIF(Controle!L:L,Formulas!A28)</f>
        <v>12</v>
      </c>
      <c r="C32" s="57">
        <f>SUMIF(Controle!L:L,Formulas!A28,Controle!Y:Y)</f>
        <v>10.716850400000002</v>
      </c>
      <c r="D32" s="58">
        <f t="shared" si="2"/>
        <v>2.2677633153860293E-3</v>
      </c>
      <c r="E32" s="66">
        <f>SUMIF(Controle!$L:$L,A32,Controle!$AK:$AK)</f>
        <v>0</v>
      </c>
    </row>
    <row r="33" spans="1:5" x14ac:dyDescent="0.25">
      <c r="A33" s="47" t="s">
        <v>1100</v>
      </c>
      <c r="B33">
        <f>COUNTIF(Controle!L:L,Formulas!A33)</f>
        <v>95</v>
      </c>
      <c r="C33" s="57">
        <f>SUMIF(Controle!L:L,Formulas!A32,Controle!Y:Y)</f>
        <v>6.8948535531977937</v>
      </c>
      <c r="D33" s="58">
        <f t="shared" si="2"/>
        <v>1.4590010468841638E-3</v>
      </c>
      <c r="E33" s="66">
        <f>SUMIF(Controle!$L:$L,A33,Controle!$AK:$AK)</f>
        <v>0</v>
      </c>
    </row>
    <row r="34" spans="1:5" x14ac:dyDescent="0.25">
      <c r="A34" s="47" t="s">
        <v>1509</v>
      </c>
      <c r="B34">
        <f>COUNTIF(Controle!L:L,Formulas!A34)</f>
        <v>6</v>
      </c>
      <c r="C34" s="57">
        <f>SUMIF(Controle!L:L,Formulas!A35,Controle!Y:Y)</f>
        <v>0</v>
      </c>
      <c r="D34" s="58">
        <f t="shared" si="2"/>
        <v>0</v>
      </c>
      <c r="E34" s="66">
        <f>SUMIF(Controle!$L:$L,A34,Controle!$AK:$AK)</f>
        <v>0</v>
      </c>
    </row>
    <row r="35" spans="1:5" x14ac:dyDescent="0.25">
      <c r="A35" s="47" t="s">
        <v>1864</v>
      </c>
      <c r="B35">
        <f>COUNTIF(Controle!L:L,Formulas!A35)</f>
        <v>0</v>
      </c>
      <c r="C35" s="57">
        <f>SUMIF(Controle!L:L,Formulas!A34,Controle!Y:Y)</f>
        <v>4.0205312145299814</v>
      </c>
      <c r="D35" s="58">
        <f t="shared" si="2"/>
        <v>8.5077358145034174E-4</v>
      </c>
      <c r="E35" s="66">
        <f>SUMIF(Controle!$L:$L,A35,Controle!$AK:$AK)</f>
        <v>0</v>
      </c>
    </row>
    <row r="36" spans="1:5" x14ac:dyDescent="0.25">
      <c r="A36" s="47" t="s">
        <v>27</v>
      </c>
      <c r="B36">
        <f>COUNTIF(Controle!L:L,Formulas!A36)</f>
        <v>7</v>
      </c>
      <c r="C36" s="57">
        <f>SUMIF(Controle!L:L,Formulas!A36,Controle!Y:Y)</f>
        <v>1.1003415999999999</v>
      </c>
      <c r="D36" s="58">
        <f t="shared" si="2"/>
        <v>2.3284026759141542E-4</v>
      </c>
      <c r="E36" s="66">
        <f>SUMIF(Controle!$L:$L,A36,Controle!$AK:$AK)</f>
        <v>238.71</v>
      </c>
    </row>
    <row r="37" spans="1:5" x14ac:dyDescent="0.25">
      <c r="A37" s="47" t="s">
        <v>1136</v>
      </c>
      <c r="B37">
        <f>COUNTIF(Controle!L:L,Formulas!A38)</f>
        <v>1</v>
      </c>
      <c r="C37" s="57">
        <f>SUMIF(Controle!L:L,Formulas!A40,Controle!Y:Y)</f>
        <v>0</v>
      </c>
      <c r="D37" s="58">
        <f t="shared" si="2"/>
        <v>0</v>
      </c>
      <c r="E37" s="66">
        <f>SUMIF(Controle!$L:$L,A37,Controle!$AK:$AK)</f>
        <v>0</v>
      </c>
    </row>
    <row r="38" spans="1:5" x14ac:dyDescent="0.25">
      <c r="A38" s="47" t="s">
        <v>1536</v>
      </c>
      <c r="B38">
        <f>COUNTIF(Controle!L:L,Formulas!A37)</f>
        <v>2</v>
      </c>
      <c r="C38" s="57">
        <f>SUMIF(Controle!L:L,Formulas!A41,Controle!Y:Y)</f>
        <v>0</v>
      </c>
      <c r="D38" s="58">
        <f t="shared" si="2"/>
        <v>0</v>
      </c>
      <c r="E38" s="66">
        <f>SUMIF(Controle!$L:$L,A38,Controle!$AK:$AK)</f>
        <v>0</v>
      </c>
    </row>
    <row r="39" spans="1:5" x14ac:dyDescent="0.25">
      <c r="A39" s="47" t="s">
        <v>1558</v>
      </c>
      <c r="B39">
        <f>COUNTIF(Controle!L:L,Formulas!A39)</f>
        <v>5</v>
      </c>
      <c r="C39" s="57">
        <f>SUMIF(Controle!L:L,Formulas!A39,Controle!Y:Y)</f>
        <v>9.6941777499999993E-2</v>
      </c>
      <c r="D39" s="58">
        <f t="shared" si="2"/>
        <v>2.0513583612477665E-5</v>
      </c>
      <c r="E39" s="66">
        <f>SUMIF(Controle!$L:$L,A39,Controle!$AK:$AK)</f>
        <v>0</v>
      </c>
    </row>
    <row r="40" spans="1:5" x14ac:dyDescent="0.25">
      <c r="A40" s="47"/>
      <c r="B40">
        <f>COUNTIF(Controle!L:L,Formulas!A41)</f>
        <v>19</v>
      </c>
      <c r="C40" s="57">
        <f>SUMIF(Controle!L:L,Formulas!A37,Controle!Y:Y)</f>
        <v>0.64959699999999998</v>
      </c>
      <c r="D40" s="58">
        <f t="shared" si="2"/>
        <v>1.3745943923830625E-4</v>
      </c>
      <c r="E40" s="66">
        <f>SUMIF(Controle!$L:$L,A40,Controle!$AK:$AK)</f>
        <v>0</v>
      </c>
    </row>
    <row r="41" spans="1:5" x14ac:dyDescent="0.25">
      <c r="A41" s="47">
        <v>0</v>
      </c>
      <c r="B41">
        <f>COUNTIF(Controle!L:L,Formulas!A43)</f>
        <v>19</v>
      </c>
      <c r="C41" s="57">
        <f>SUMIF(Controle!L:L,Formulas!A38,Controle!Y:Y)</f>
        <v>0.3630488</v>
      </c>
      <c r="D41" s="58">
        <f t="shared" si="2"/>
        <v>7.6823760676450166E-5</v>
      </c>
      <c r="E41" s="66">
        <f>SUMIF(Controle!$L:$L,A41,Controle!$AK:$AK)</f>
        <v>0</v>
      </c>
    </row>
    <row r="42" spans="1:5" x14ac:dyDescent="0.25">
      <c r="A42" s="59" t="s">
        <v>1858</v>
      </c>
      <c r="B42" s="53">
        <f>SUM(B10:B41)</f>
        <v>710</v>
      </c>
      <c r="C42" s="61">
        <f>SUM(C10:C41)</f>
        <v>4725.7358505138927</v>
      </c>
      <c r="D42" s="60">
        <f>SUM(D10:D41)</f>
        <v>1</v>
      </c>
      <c r="E42" s="68">
        <f>SUM(E10:E41)</f>
        <v>552549.32333333325</v>
      </c>
    </row>
    <row r="43" spans="1:5" x14ac:dyDescent="0.25">
      <c r="A43" s="47"/>
      <c r="C43" s="57"/>
      <c r="D43" s="48"/>
    </row>
    <row r="44" spans="1:5" x14ac:dyDescent="0.25">
      <c r="A44" s="47"/>
    </row>
  </sheetData>
  <autoFilter ref="A9:D41" xr:uid="{4D813743-8135-4F32-BACA-A0CD44F9427F}">
    <sortState xmlns:xlrd2="http://schemas.microsoft.com/office/spreadsheetml/2017/richdata2" ref="A10:D41">
      <sortCondition descending="1" ref="C9:C41"/>
    </sortState>
  </autoFilter>
  <sortState xmlns:xlrd2="http://schemas.microsoft.com/office/spreadsheetml/2017/richdata2" ref="A10:D41">
    <sortCondition descending="1" ref="D9:D41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ab1930-d403-4c69-b2cd-8cc48f527d10" xsi:nil="true"/>
    <lcf76f155ced4ddcb4097134ff3c332f xmlns="c06ce65c-ed18-47f4-a957-afd315448c9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27649CF29EFE48B02377D08B4D4D2B" ma:contentTypeVersion="11" ma:contentTypeDescription="Crie um novo documento." ma:contentTypeScope="" ma:versionID="b5712d053a6364e25a7eed67b83bd543">
  <xsd:schema xmlns:xsd="http://www.w3.org/2001/XMLSchema" xmlns:xs="http://www.w3.org/2001/XMLSchema" xmlns:p="http://schemas.microsoft.com/office/2006/metadata/properties" xmlns:ns2="c06ce65c-ed18-47f4-a957-afd315448c9c" xmlns:ns3="f5ab1930-d403-4c69-b2cd-8cc48f527d10" targetNamespace="http://schemas.microsoft.com/office/2006/metadata/properties" ma:root="true" ma:fieldsID="5f9e9bd46678fb3be4523e0016dec7e4" ns2:_="" ns3:_="">
    <xsd:import namespace="c06ce65c-ed18-47f4-a957-afd315448c9c"/>
    <xsd:import namespace="f5ab1930-d403-4c69-b2cd-8cc48f527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ce65c-ed18-47f4-a957-afd315448c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d1f8024-b835-45a2-a23a-fb2d16ad56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b1930-d403-4c69-b2cd-8cc48f527d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447033-4c72-47d1-a22c-5e651f971dba}" ma:internalName="TaxCatchAll" ma:showField="CatchAllData" ma:web="f5ab1930-d403-4c69-b2cd-8cc48f527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26D3A-03CC-4B3D-9F98-6F77A1AEA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495743-F761-4961-A762-7A3D120C6961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c06ce65c-ed18-47f4-a957-afd315448c9c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f5ab1930-d403-4c69-b2cd-8cc48f527d10"/>
  </ds:schemaRefs>
</ds:datastoreItem>
</file>

<file path=customXml/itemProps3.xml><?xml version="1.0" encoding="utf-8"?>
<ds:datastoreItem xmlns:ds="http://schemas.openxmlformats.org/officeDocument/2006/customXml" ds:itemID="{59443FB2-AD94-4FFF-8817-F253987A6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ce65c-ed18-47f4-a957-afd315448c9c"/>
    <ds:schemaRef ds:uri="f5ab1930-d403-4c69-b2cd-8cc48f527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Insights Propostas</vt:lpstr>
      <vt:lpstr>Análise Propostas</vt:lpstr>
      <vt:lpstr>Controle</vt:lpstr>
      <vt:lpstr>A.Propostas</vt:lpstr>
      <vt:lpstr>Formulas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Gomes Nunes</dc:creator>
  <cp:keywords/>
  <dc:description/>
  <cp:lastModifiedBy>Natali de Sousa Camargo</cp:lastModifiedBy>
  <cp:revision/>
  <dcterms:created xsi:type="dcterms:W3CDTF">2026-01-28T19:47:17Z</dcterms:created>
  <dcterms:modified xsi:type="dcterms:W3CDTF">2026-10-01T14:39:33Z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0x0101002727649CF29EFE48B02377D08B4D4D2B</vt:lpwstr>
  </property>
  <property fmtid="{D5CDD505-2E9C-101B-9397-08002B2CF9AE}" pid="3" name="MediaServiceImageTags">
    <vt:lpwstr/>
  </property>
</Properties>
</file>